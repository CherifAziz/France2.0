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8.xml" ContentType="application/vnd.openxmlformats-officedocument.drawingml.chart+xml"/>
  <Override PartName="/xl/drawings/drawing11.xml" ContentType="application/vnd.openxmlformats-officedocument.drawingml.chartshapes+xml"/>
  <Override PartName="/xl/charts/chart9.xml" ContentType="application/vnd.openxmlformats-officedocument.drawingml.chart+xml"/>
  <Override PartName="/xl/drawings/drawing12.xml" ContentType="application/vnd.openxmlformats-officedocument.drawingml.chartshapes+xml"/>
  <Override PartName="/xl/charts/chart10.xml" ContentType="application/vnd.openxmlformats-officedocument.drawingml.chart+xml"/>
  <Override PartName="/xl/drawings/drawing1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S:\EspaceDESL\Publications\Colloc\2026\Cursives\envoi\6 Chapitres à corriger et remettre en ligne suite à relecture MEP\"/>
    </mc:Choice>
  </mc:AlternateContent>
  <bookViews>
    <workbookView xWindow="4065" yWindow="135" windowWidth="16320" windowHeight="12225" tabRatio="648" activeTab="5"/>
  </bookViews>
  <sheets>
    <sheet name="1" sheetId="20" r:id="rId1"/>
    <sheet name="1-1 Coll Terr" sheetId="26" r:id="rId2"/>
    <sheet name="1-2 finances" sheetId="28" r:id="rId3"/>
    <sheet name="1-3 fiscalité" sheetId="25" r:id="rId4"/>
    <sheet name="1-4 Transferts" sheetId="23" r:id="rId5"/>
    <sheet name="1-5 FPT" sheetId="29" r:id="rId6"/>
  </sheets>
  <definedNames>
    <definedName name="_BQ4.1" localSheetId="1" hidden="1">#REF!</definedName>
    <definedName name="_BQ4.1" localSheetId="3" hidden="1">#REF!</definedName>
    <definedName name="_BQ4.1" localSheetId="5" hidden="1">#REF!</definedName>
    <definedName name="_BQ4.1" hidden="1">#REF!</definedName>
    <definedName name="_xlnm._FilterDatabase" localSheetId="3" hidden="1">'1-3 fiscalité'!$H$8:$P$8</definedName>
    <definedName name="RATIOS_STRATES" localSheetId="1">#REF!</definedName>
    <definedName name="RATIOS_STRATES" localSheetId="3">#REF!</definedName>
    <definedName name="RATIOS_STRATES" localSheetId="5">#REF!</definedName>
    <definedName name="_xlnm.Print_Area" localSheetId="1">'1-1 Coll Terr'!$A$1:$H$48</definedName>
    <definedName name="_xlnm.Print_Area" localSheetId="2">'1-2 finances'!$A$1:$F$51</definedName>
    <definedName name="_xlnm.Print_Area" localSheetId="3">'1-3 fiscalité'!$A$1:$F$33</definedName>
    <definedName name="_xlnm.Print_Area" localSheetId="4">'1-4 Transferts'!$A$1:$H$49</definedName>
    <definedName name="_xlnm.Print_Area" localSheetId="5">'1-5 FPT'!$A$1:$G$53</definedName>
  </definedNames>
  <calcPr calcId="162913"/>
</workbook>
</file>

<file path=xl/calcChain.xml><?xml version="1.0" encoding="utf-8"?>
<calcChain xmlns="http://schemas.openxmlformats.org/spreadsheetml/2006/main">
  <c r="L42" i="26" l="1"/>
  <c r="N42" i="26" l="1"/>
  <c r="O42" i="26"/>
  <c r="P42" i="26"/>
  <c r="Q42" i="26"/>
  <c r="R42" i="26"/>
  <c r="S42" i="26"/>
  <c r="T42" i="26"/>
  <c r="U42" i="26"/>
  <c r="V42" i="26"/>
  <c r="W42" i="26"/>
  <c r="X42" i="26"/>
  <c r="Y42" i="26"/>
  <c r="M42" i="26"/>
  <c r="L36" i="26" l="1"/>
  <c r="N23" i="26"/>
  <c r="O23" i="26"/>
  <c r="P23" i="26"/>
  <c r="Q23" i="26"/>
  <c r="R23" i="26"/>
  <c r="S23" i="26"/>
  <c r="T23" i="26"/>
  <c r="U23" i="26"/>
  <c r="V23" i="26"/>
  <c r="W23" i="26"/>
  <c r="X23" i="26"/>
  <c r="Y23" i="26"/>
  <c r="Z23" i="26"/>
  <c r="AA23" i="26"/>
  <c r="M36" i="26" s="1"/>
  <c r="AB23" i="26"/>
  <c r="N36" i="26" s="1"/>
  <c r="AC23" i="26"/>
  <c r="O36" i="26" s="1"/>
  <c r="AD23" i="26"/>
  <c r="P36" i="26" s="1"/>
  <c r="AE23" i="26"/>
  <c r="Q36" i="26" s="1"/>
  <c r="AF23" i="26"/>
  <c r="R36" i="26" s="1"/>
  <c r="AG23" i="26"/>
  <c r="S36" i="26" s="1"/>
  <c r="AH23" i="26"/>
  <c r="T36" i="26" s="1"/>
  <c r="AI23" i="26"/>
  <c r="U36" i="26" s="1"/>
  <c r="AJ23" i="26"/>
  <c r="V36" i="26" s="1"/>
  <c r="AK23" i="26"/>
  <c r="W36" i="26" s="1"/>
  <c r="AL23" i="26"/>
  <c r="X36" i="26" s="1"/>
  <c r="AM23" i="26"/>
  <c r="Y36" i="26" s="1"/>
  <c r="M23" i="26"/>
  <c r="B49" i="23" l="1"/>
</calcChain>
</file>

<file path=xl/sharedStrings.xml><?xml version="1.0" encoding="utf-8"?>
<sst xmlns="http://schemas.openxmlformats.org/spreadsheetml/2006/main" count="147" uniqueCount="130">
  <si>
    <t>Ensemble</t>
  </si>
  <si>
    <t>Départements</t>
  </si>
  <si>
    <t xml:space="preserve">LES CHIFFRES CLÉS </t>
  </si>
  <si>
    <t xml:space="preserve">DES COLLECTIVITÉS </t>
  </si>
  <si>
    <t>LOCALES</t>
  </si>
  <si>
    <t>Chapitre</t>
  </si>
  <si>
    <t>Communautés d'agglomération (CA)</t>
  </si>
  <si>
    <t>Communautés de communes (CC)</t>
  </si>
  <si>
    <t>Nombre de communes</t>
  </si>
  <si>
    <t>Communes isolées</t>
  </si>
  <si>
    <t>(a) Y compris la métropole de Lyon.</t>
  </si>
  <si>
    <t>Dépenses de fonctionnement</t>
  </si>
  <si>
    <t>Recettes de fonctionnement</t>
  </si>
  <si>
    <t>Taux d'épargne brute</t>
  </si>
  <si>
    <t>Besoin (-) ou capacité (+) de financement</t>
  </si>
  <si>
    <t xml:space="preserve">Bloc communal </t>
  </si>
  <si>
    <t>Évolution</t>
  </si>
  <si>
    <t>(a) Hors remboursement de dette.</t>
  </si>
  <si>
    <t>(b) Hors emprunts.</t>
  </si>
  <si>
    <t>Source : DGFIP,comptes de gestion - budgets principaux ; calculs DGCL.</t>
  </si>
  <si>
    <t>Épargne 
brute</t>
  </si>
  <si>
    <t>Encours 
de dette</t>
  </si>
  <si>
    <t>CFE</t>
  </si>
  <si>
    <t>CVAE</t>
  </si>
  <si>
    <t>IFER</t>
  </si>
  <si>
    <t>TASCOM</t>
  </si>
  <si>
    <t>TICPE</t>
  </si>
  <si>
    <t>TSCA</t>
  </si>
  <si>
    <t>TEOM</t>
  </si>
  <si>
    <t>DMTO</t>
  </si>
  <si>
    <t>Foncier bâti (FB)</t>
  </si>
  <si>
    <t>Taxe d'habitation (TH)</t>
  </si>
  <si>
    <t>Source : DGFIP,REI ; calculs DGCL.</t>
  </si>
  <si>
    <t>Données pour les graphiques (ne pas maquetter)</t>
  </si>
  <si>
    <r>
      <rPr>
        <b/>
        <sz val="22"/>
        <color theme="4" tint="-0.249977111117893"/>
        <rFont val="Arial"/>
        <family val="2"/>
      </rPr>
      <t>1</t>
    </r>
    <r>
      <rPr>
        <b/>
        <sz val="18"/>
        <color theme="4" tint="-0.249977111117893"/>
        <rFont val="Arial"/>
        <family val="2"/>
      </rPr>
      <t>-1 Les chiffres clés des collectivités locales</t>
    </r>
  </si>
  <si>
    <r>
      <rPr>
        <b/>
        <sz val="22"/>
        <color theme="4" tint="-0.249977111117893"/>
        <rFont val="Arial"/>
        <family val="2"/>
      </rPr>
      <t>1</t>
    </r>
    <r>
      <rPr>
        <b/>
        <sz val="18"/>
        <color theme="4" tint="-0.249977111117893"/>
        <rFont val="Arial"/>
        <family val="2"/>
      </rPr>
      <t>-2 Les chiffres clés des finances locales</t>
    </r>
  </si>
  <si>
    <t>Niveau (en %)</t>
  </si>
  <si>
    <t>Taxe d'apprentissage</t>
  </si>
  <si>
    <r>
      <rPr>
        <b/>
        <sz val="22"/>
        <color theme="4" tint="-0.249977111117893"/>
        <rFont val="Arial"/>
        <family val="2"/>
      </rPr>
      <t>1</t>
    </r>
    <r>
      <rPr>
        <b/>
        <sz val="18"/>
        <color theme="4" tint="-0.249977111117893"/>
        <rFont val="Arial"/>
        <family val="2"/>
      </rPr>
      <t>-3 Les chiffres clés de la fiscalité locale</t>
    </r>
  </si>
  <si>
    <r>
      <rPr>
        <b/>
        <sz val="22"/>
        <color theme="4" tint="-0.249977111117893"/>
        <rFont val="Arial"/>
        <family val="2"/>
      </rPr>
      <t>1</t>
    </r>
    <r>
      <rPr>
        <b/>
        <sz val="18"/>
        <color theme="4" tint="-0.249977111117893"/>
        <rFont val="Arial"/>
        <family val="2"/>
      </rPr>
      <t>-5 Les chiffres clés de la fonction publique territoriale</t>
    </r>
  </si>
  <si>
    <t>Ensemble FPT</t>
  </si>
  <si>
    <t>Fonction publique territoriale 
(FPT)</t>
  </si>
  <si>
    <t xml:space="preserve">Fonction publique 
de l'État 
(FPE) </t>
  </si>
  <si>
    <t>Indéterminée</t>
  </si>
  <si>
    <t xml:space="preserve">Catégorie A </t>
  </si>
  <si>
    <t xml:space="preserve">Catégorie B </t>
  </si>
  <si>
    <t>Catégorie C</t>
  </si>
  <si>
    <r>
      <rPr>
        <b/>
        <sz val="22"/>
        <color theme="4" tint="-0.249977111117893"/>
        <rFont val="Arial"/>
        <family val="2"/>
      </rPr>
      <t>1</t>
    </r>
    <r>
      <rPr>
        <b/>
        <sz val="18"/>
        <color theme="4" tint="-0.249977111117893"/>
        <rFont val="Arial"/>
        <family val="2"/>
      </rPr>
      <t>-4 Les chiffres clés des transferts de l'État aux collectivités</t>
    </r>
  </si>
  <si>
    <t>Communautés urbaines (CU)</t>
  </si>
  <si>
    <t>Taux de croissance annuels des principaux agrégats comptables</t>
  </si>
  <si>
    <t>Dépenses de 
fonctionnement</t>
  </si>
  <si>
    <t>Recettes de 
fonctionnement</t>
  </si>
  <si>
    <t>Dépenses 
d'investissement</t>
  </si>
  <si>
    <t>Recettes 
d'investissement</t>
  </si>
  <si>
    <t>Voir fiche 4-1</t>
  </si>
  <si>
    <t>Source : DGCL - Données DGFIP, comptes de gestion - budgets principaux.</t>
  </si>
  <si>
    <t>Source : DGCL. Données : Insee, SIASP.</t>
  </si>
  <si>
    <r>
      <rPr>
        <b/>
        <sz val="10"/>
        <rFont val="Arial"/>
        <family val="2"/>
      </rPr>
      <t xml:space="preserve">1-1 </t>
    </r>
    <r>
      <rPr>
        <sz val="10"/>
        <rFont val="Arial"/>
        <family val="2"/>
      </rPr>
      <t>Les chiffres clés des collectivités locales</t>
    </r>
  </si>
  <si>
    <r>
      <rPr>
        <b/>
        <sz val="10"/>
        <rFont val="Arial"/>
        <family val="2"/>
      </rPr>
      <t>1-2</t>
    </r>
    <r>
      <rPr>
        <sz val="10"/>
        <rFont val="Arial"/>
        <family val="2"/>
      </rPr>
      <t xml:space="preserve"> Les chiffres clés des finances locales</t>
    </r>
  </si>
  <si>
    <r>
      <rPr>
        <b/>
        <sz val="10"/>
        <rFont val="Arial"/>
        <family val="2"/>
      </rPr>
      <t xml:space="preserve">1-3 </t>
    </r>
    <r>
      <rPr>
        <sz val="10"/>
        <rFont val="Arial"/>
        <family val="2"/>
      </rPr>
      <t>Les chiffres clés de la fiscalité locale</t>
    </r>
  </si>
  <si>
    <r>
      <rPr>
        <b/>
        <sz val="10"/>
        <rFont val="Arial"/>
        <family val="2"/>
      </rPr>
      <t>1-4</t>
    </r>
    <r>
      <rPr>
        <sz val="10"/>
        <rFont val="Arial"/>
        <family val="2"/>
      </rPr>
      <t xml:space="preserve"> Les chiffres clés des transferts de l'État aux collectivités</t>
    </r>
  </si>
  <si>
    <r>
      <rPr>
        <b/>
        <sz val="10"/>
        <rFont val="Arial"/>
        <family val="2"/>
      </rPr>
      <t xml:space="preserve">1-5 </t>
    </r>
    <r>
      <rPr>
        <sz val="10"/>
        <rFont val="Arial"/>
        <family val="2"/>
      </rPr>
      <t>Les chiffres clés de la fonction publique territoriale</t>
    </r>
  </si>
  <si>
    <t>Source : DGCL. Données DGFiP, REI et Comptes de gestion - budgets principaux et annexes.</t>
  </si>
  <si>
    <t>Versement mobilité</t>
  </si>
  <si>
    <t>Régions et CTU</t>
  </si>
  <si>
    <t>Total des transferts</t>
  </si>
  <si>
    <t>Concours de l'État</t>
  </si>
  <si>
    <t>Fiscalité transférée</t>
  </si>
  <si>
    <t>Contreparties de dégrèvements et transferts divers</t>
  </si>
  <si>
    <t>(a) Fonds de sauvegarde des départements ; Ressources formation professionnelle et apprentissage.</t>
  </si>
  <si>
    <t xml:space="preserve">Produit des principales recettes fiscales </t>
  </si>
  <si>
    <t>Fraction de TVA</t>
  </si>
  <si>
    <t>Source : Lois de finances initiale.</t>
  </si>
  <si>
    <t>2022*</t>
  </si>
  <si>
    <t>&lt; 100h.</t>
  </si>
  <si>
    <t>100-200 h.</t>
  </si>
  <si>
    <t>200-500 h.</t>
  </si>
  <si>
    <t>500-1000 h.</t>
  </si>
  <si>
    <t>1000-2000 h.</t>
  </si>
  <si>
    <t>2000-3500 h.</t>
  </si>
  <si>
    <t>3500-5000 h.</t>
  </si>
  <si>
    <t>5-10 000 h.</t>
  </si>
  <si>
    <t>10-20 000 h.</t>
  </si>
  <si>
    <t>20-50 000 h.</t>
  </si>
  <si>
    <t>50-80 000 h.</t>
  </si>
  <si>
    <t>80-100 000 h.</t>
  </si>
  <si>
    <t>100-300 000 h.</t>
  </si>
  <si>
    <t>&gt; 300 000 h.</t>
  </si>
  <si>
    <t>Ensemble des communes</t>
  </si>
  <si>
    <t>Mission RCT 
3,8 Md€</t>
  </si>
  <si>
    <t>TVA transférée
5,3 Md€</t>
  </si>
  <si>
    <t>Produit des amendes
0,8 Md€</t>
  </si>
  <si>
    <t>Source : PLF 2025.</t>
  </si>
  <si>
    <t>Les finances des collectivités locales en 2025 (voir fiches 4-1 à 4-6)</t>
  </si>
  <si>
    <t>Niveau (en milliards d'euros)</t>
  </si>
  <si>
    <t>Dépenses d'investissement (a)</t>
  </si>
  <si>
    <t>Recettes d'investissement (b)</t>
  </si>
  <si>
    <t>&gt; voir fiche 2-2</t>
  </si>
  <si>
    <t>Au 1er janvier 2026, la France métropolitaine et les départements d'Outre-Mer comptent 34 875 communes, soit le même nombre qu'en 2025.</t>
  </si>
  <si>
    <t>Source : Insee, code officiel géographique</t>
  </si>
  <si>
    <t>Champ : France métropolitaine + DOM.</t>
  </si>
  <si>
    <t xml:space="preserve">Nombre d'EPCI à fiscalité propre
</t>
  </si>
  <si>
    <t>Source : DGCL, Banatic</t>
  </si>
  <si>
    <t>&gt; voir fiche 2-5a</t>
  </si>
  <si>
    <r>
      <t>Métropoles</t>
    </r>
    <r>
      <rPr>
        <vertAlign val="superscript"/>
        <sz val="10"/>
        <color theme="0" tint="-0.499984740745262"/>
        <rFont val="Arial"/>
        <family val="2"/>
      </rPr>
      <t xml:space="preserve"> (a)</t>
    </r>
  </si>
  <si>
    <t>Population totale</t>
  </si>
  <si>
    <t>Nombre d'EPCI à fiscalité propre</t>
  </si>
  <si>
    <r>
      <t>68,4 millions d'habitants en France au 1</t>
    </r>
    <r>
      <rPr>
        <b/>
        <vertAlign val="superscript"/>
        <sz val="16"/>
        <color theme="3"/>
        <rFont val="Arial"/>
        <family val="2"/>
      </rPr>
      <t>er</t>
    </r>
    <r>
      <rPr>
        <b/>
        <sz val="16"/>
        <color theme="3"/>
        <rFont val="Arial"/>
        <family val="2"/>
      </rPr>
      <t xml:space="preserve"> janvier 2026, répartis 
dans 18 régions, 101 départements et 34 875 communes.</t>
    </r>
  </si>
  <si>
    <t>Population totale = population municipale + population comptée à part.</t>
  </si>
  <si>
    <t>Au cours des années 2010, le nombre d'EPCI à fiscalité propre a baissé, sous l'effet notamment de la mise en place des schémas départementaux de coopération intercommunale (SDCI). Au 1er janvier 2026, on compte 1 252 EPCI à fiscalité propre.</t>
  </si>
  <si>
    <t>Au 1er janvier 2026, les métropoles regroupent 20,1  millions d'habitants (en incluant la métropole de Lyon), au sens de leur population totale.</t>
  </si>
  <si>
    <t xml:space="preserve">(a) Métropoles y compris la métropole de Lyon. </t>
  </si>
  <si>
    <t>Sources : DGCL, Banatic ; Insee, recensement de la population</t>
  </si>
  <si>
    <t xml:space="preserve">Données pour les graphiques </t>
  </si>
  <si>
    <t xml:space="preserve">Pop totale - France métropolitaine + DOM </t>
  </si>
  <si>
    <t>TOTAL</t>
  </si>
  <si>
    <t xml:space="preserve">Les produits de la fiscalité directe locale sont de 69,5 Md€ en 2025, en hausse de 1,4 %.
(voir fiche 5-1). </t>
  </si>
  <si>
    <t>Les transferts de l'État aux collectivités territoriales représentent 108,3Md€ en 2026. La réforme de la taxe d'habitation est à l'origine de la baisse des contreparties de dégrèvements en 2021.
(voir fiche 6-1)</t>
  </si>
  <si>
    <t>Répartition en 2026 par type de transfert</t>
  </si>
  <si>
    <t xml:space="preserve">Transferts financiers de l'Etat aux collectivités territoriales en 2026 (108,3 Md€ ) </t>
  </si>
  <si>
    <t>Dotation globale de 
fonctionnement (DGF)
27,4 Md€</t>
  </si>
  <si>
    <t>Autres prélèvements
sur recettes (PSR)
16,5 Md€</t>
  </si>
  <si>
    <t>Subventions 
des ministères
4,4 Md€</t>
  </si>
  <si>
    <t>Contrepartie 
de dégrèvements 
législatifs
4,6 Md€</t>
  </si>
  <si>
    <t>Fiscalité transférée 
(hors formation 
professionnelle)
42,4 Md€</t>
  </si>
  <si>
    <t>Autres concours (a)
3,1 Md€</t>
  </si>
  <si>
    <t>Par rapport aux autres versants de la fonction publique, la FPT se caractérise par une forte proportion d'agents de catégorie C (69%) et une faible proportion d'agents de catégorie A (13 %).
(voir fiche 8-11)</t>
  </si>
  <si>
    <t>Le nombre d'agents territoriaux par habitant est de 14,5 agents en équivalent temps plein pour 1000 habitants. Ce taux d'administration est plus faible dans les petites communes et plus élevé dans les grandes.   (voir fiche 8-8)</t>
  </si>
  <si>
    <t>En 2025, les dépenses de fonctionnement des collectivités locales ont augmenté de + 1,4 % 
et leurs investissements de + 1,7 %.</t>
  </si>
  <si>
    <t>Au 31/12/2024 on compte 2,1 millions d'agents dans la fonction publique territoriale (FPT). Cet effectif a augmenté de 0,3 % par rapport à 2023.
* nouvelle série à partir de 2022
(voir fiche 8-2a)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</si>
</sst>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4" formatCode="_-* #,##0.00\ &quot;€&quot;_-;\-* #,##0.00\ &quot;€&quot;_-;_-* &quot;-&quot;??\ &quot;€&quot;_-;_-@_-"/>
    <numFmt numFmtId="164" formatCode="_-* #,##0.00\ _€_-;\-* #,##0.00\ _€_-;_-* &quot;-&quot;??\ _€_-;_-@_-"/>
    <numFmt numFmtId="165" formatCode="0.0%"/>
    <numFmt numFmtId="166" formatCode="0.0"/>
    <numFmt numFmtId="167" formatCode="#,##0.0"/>
    <numFmt numFmtId="168" formatCode="0.0&quot; années&quot;"/>
    <numFmt numFmtId="169" formatCode="\+0.0%;\-0.0%"/>
    <numFmt numFmtId="170" formatCode="\+0.0;\-0.0"/>
    <numFmt numFmtId="171" formatCode="0.0&quot; ans&quot;"/>
    <numFmt numFmtId="172" formatCode="###0"/>
    <numFmt numFmtId="173" formatCode="\+0.0&quot; pt&quot;;\-0.0&quot; pt&quot;"/>
    <numFmt numFmtId="174" formatCode="0_ ;\-0\ "/>
    <numFmt numFmtId="175" formatCode="0.0_ ;\-0.0\ "/>
    <numFmt numFmtId="176" formatCode="_-* #,##0\ _€_-;\-* #,##0\ _€_-;_-* &quot;-&quot;??\ _€_-;_-@_-"/>
    <numFmt numFmtId="177" formatCode="\+0.0&quot; pts&quot;;\-0.0&quot; pts&quot;"/>
    <numFmt numFmtId="178" formatCode="###0.0"/>
  </numFmts>
  <fonts count="79">
    <font>
      <sz val="10"/>
      <name val="Arial"/>
    </font>
    <font>
      <sz val="11"/>
      <color theme="1"/>
      <name val="Calibri"/>
      <family val="2"/>
      <scheme val="minor"/>
    </font>
    <font>
      <sz val="10"/>
      <name val="Arial"/>
      <family val="2"/>
    </font>
    <font>
      <sz val="8"/>
      <name val="Arial"/>
      <family val="2"/>
    </font>
    <font>
      <b/>
      <sz val="14"/>
      <name val="Arial"/>
      <family val="2"/>
    </font>
    <font>
      <b/>
      <sz val="12"/>
      <name val="Arial"/>
      <family val="2"/>
    </font>
    <font>
      <b/>
      <sz val="10"/>
      <name val="Arial"/>
      <family val="2"/>
    </font>
    <font>
      <sz val="10"/>
      <name val="Arial"/>
      <family val="2"/>
    </font>
    <font>
      <i/>
      <sz val="10"/>
      <name val="Arial"/>
      <family val="2"/>
    </font>
    <font>
      <b/>
      <sz val="9"/>
      <name val="Arial"/>
      <family val="2"/>
    </font>
    <font>
      <sz val="10"/>
      <name val="MS Sans Serif"/>
      <family val="2"/>
    </font>
    <font>
      <sz val="12"/>
      <name val="MS Sans Serif"/>
      <family val="2"/>
    </font>
    <font>
      <sz val="9.5"/>
      <name val="Arial"/>
      <family val="2"/>
    </font>
    <font>
      <sz val="10"/>
      <name val="Arial"/>
      <family val="2"/>
    </font>
    <font>
      <sz val="24"/>
      <name val="Arial"/>
      <family val="2"/>
    </font>
    <font>
      <b/>
      <sz val="24"/>
      <name val="Arial"/>
      <family val="2"/>
    </font>
    <font>
      <sz val="12"/>
      <name val="Arial"/>
      <family val="2"/>
    </font>
    <font>
      <sz val="9"/>
      <name val="Arial"/>
      <family val="2"/>
    </font>
    <font>
      <sz val="11"/>
      <name val="Arial"/>
      <family val="2"/>
    </font>
    <font>
      <sz val="11"/>
      <color indexed="8"/>
      <name val="Calibri"/>
      <family val="2"/>
    </font>
    <font>
      <i/>
      <sz val="9.5"/>
      <name val="Arial"/>
      <family val="2"/>
    </font>
    <font>
      <b/>
      <sz val="11"/>
      <name val="Arial"/>
      <family val="2"/>
    </font>
    <font>
      <b/>
      <sz val="11"/>
      <color rgb="FF000000"/>
      <name val="Arial"/>
      <family val="2"/>
    </font>
    <font>
      <b/>
      <sz val="9.5"/>
      <name val="Arial"/>
      <family val="2"/>
    </font>
    <font>
      <b/>
      <sz val="11"/>
      <color theme="1"/>
      <name val="Calibri"/>
      <family val="2"/>
      <scheme val="minor"/>
    </font>
    <font>
      <b/>
      <sz val="9.5"/>
      <color theme="4" tint="-0.249977111117893"/>
      <name val="Arial"/>
      <family val="2"/>
    </font>
    <font>
      <b/>
      <i/>
      <sz val="10"/>
      <name val="Arial"/>
      <family val="2"/>
    </font>
    <font>
      <i/>
      <sz val="11"/>
      <color indexed="8"/>
      <name val="Calibri"/>
      <family val="2"/>
    </font>
    <font>
      <b/>
      <sz val="10"/>
      <color theme="4" tint="-0.249977111117893"/>
      <name val="Arial"/>
      <family val="2"/>
    </font>
    <font>
      <i/>
      <sz val="9"/>
      <color theme="4" tint="-0.249977111117893"/>
      <name val="Arial"/>
      <family val="2"/>
    </font>
    <font>
      <sz val="9"/>
      <color indexed="8"/>
      <name val="Arial"/>
      <family val="2"/>
    </font>
    <font>
      <b/>
      <sz val="16"/>
      <color theme="4" tint="-0.249977111117893"/>
      <name val="Arial"/>
      <family val="2"/>
    </font>
    <font>
      <b/>
      <sz val="20"/>
      <name val="Arial"/>
      <family val="2"/>
    </font>
    <font>
      <sz val="10"/>
      <color indexed="8"/>
      <name val="Arial"/>
      <family val="2"/>
    </font>
    <font>
      <b/>
      <sz val="18"/>
      <color theme="4" tint="-0.249977111117893"/>
      <name val="Arial"/>
      <family val="2"/>
    </font>
    <font>
      <sz val="10"/>
      <name val="Arial"/>
      <family val="2"/>
    </font>
    <font>
      <sz val="10"/>
      <color theme="1"/>
      <name val="Arial"/>
      <family val="2"/>
    </font>
    <font>
      <b/>
      <i/>
      <sz val="11"/>
      <color theme="1"/>
      <name val="Calibri"/>
      <family val="2"/>
      <scheme val="minor"/>
    </font>
    <font>
      <i/>
      <sz val="9"/>
      <color theme="1"/>
      <name val="Arial"/>
      <family val="2"/>
    </font>
    <font>
      <i/>
      <sz val="10"/>
      <color theme="1"/>
      <name val="Arial"/>
      <family val="2"/>
    </font>
    <font>
      <b/>
      <i/>
      <sz val="10"/>
      <color theme="1"/>
      <name val="Arial"/>
      <family val="2"/>
    </font>
    <font>
      <i/>
      <sz val="9"/>
      <color rgb="FF000000"/>
      <name val="StoneSerif-Italic"/>
    </font>
    <font>
      <sz val="9"/>
      <name val="MS Sans Serif"/>
      <family val="2"/>
    </font>
    <font>
      <b/>
      <sz val="22"/>
      <color theme="4" tint="-0.249977111117893"/>
      <name val="Arial"/>
      <family val="2"/>
    </font>
    <font>
      <b/>
      <sz val="11"/>
      <name val="Calibri"/>
      <family val="2"/>
      <scheme val="minor"/>
    </font>
    <font>
      <b/>
      <sz val="12"/>
      <color theme="4" tint="-0.249977111117893"/>
      <name val="Arial"/>
      <family val="2"/>
    </font>
    <font>
      <b/>
      <sz val="10"/>
      <color rgb="FFFF0000"/>
      <name val="Arial"/>
      <family val="2"/>
    </font>
    <font>
      <i/>
      <sz val="9"/>
      <name val="Arial"/>
      <family val="2"/>
    </font>
    <font>
      <sz val="9.5"/>
      <color theme="0" tint="-0.499984740745262"/>
      <name val="Arial"/>
      <family val="2"/>
    </font>
    <font>
      <sz val="9.5"/>
      <color theme="3"/>
      <name val="Arial"/>
      <family val="2"/>
    </font>
    <font>
      <sz val="12"/>
      <color theme="0" tint="-0.499984740745262"/>
      <name val="Arial"/>
      <family val="2"/>
    </font>
    <font>
      <b/>
      <sz val="10"/>
      <color theme="0" tint="-0.499984740745262"/>
      <name val="Arial"/>
      <family val="2"/>
    </font>
    <font>
      <i/>
      <sz val="10"/>
      <color theme="0" tint="-0.499984740745262"/>
      <name val="Arial"/>
      <family val="2"/>
    </font>
    <font>
      <sz val="10"/>
      <color theme="0" tint="-0.499984740745262"/>
      <name val="Arial"/>
      <family val="2"/>
    </font>
    <font>
      <vertAlign val="superscript"/>
      <sz val="10"/>
      <color theme="0" tint="-0.499984740745262"/>
      <name val="Arial"/>
      <family val="2"/>
    </font>
    <font>
      <i/>
      <sz val="8"/>
      <color theme="0" tint="-0.499984740745262"/>
      <name val="Arial"/>
      <family val="2"/>
    </font>
    <font>
      <sz val="8"/>
      <color theme="0" tint="-0.499984740745262"/>
      <name val="Arial"/>
      <family val="2"/>
    </font>
    <font>
      <i/>
      <sz val="10"/>
      <color theme="3"/>
      <name val="Calibri"/>
      <family val="2"/>
    </font>
    <font>
      <b/>
      <sz val="16"/>
      <color theme="3"/>
      <name val="Arial"/>
      <family val="2"/>
    </font>
    <font>
      <i/>
      <sz val="10"/>
      <color theme="3"/>
      <name val="Calibri"/>
      <family val="2"/>
      <scheme val="minor"/>
    </font>
    <font>
      <b/>
      <vertAlign val="superscript"/>
      <sz val="16"/>
      <color theme="3"/>
      <name val="Arial"/>
      <family val="2"/>
    </font>
    <font>
      <sz val="9.5"/>
      <color theme="0" tint="-0.34998626667073579"/>
      <name val="Arial"/>
      <family val="2"/>
    </font>
    <font>
      <sz val="8"/>
      <color theme="0" tint="-0.34998626667073579"/>
      <name val="Arial"/>
      <family val="2"/>
    </font>
    <font>
      <sz val="10"/>
      <color rgb="FFFF0000"/>
      <name val="Arial"/>
      <family val="2"/>
    </font>
    <font>
      <sz val="10"/>
      <color rgb="FF00B050"/>
      <name val="Arial"/>
      <family val="2"/>
    </font>
    <font>
      <sz val="10"/>
      <color rgb="FFC00000"/>
      <name val="MS Sans Serif"/>
      <family val="2"/>
    </font>
    <font>
      <sz val="10"/>
      <color rgb="FFC00000"/>
      <name val="Arial"/>
      <family val="2"/>
    </font>
    <font>
      <b/>
      <sz val="10"/>
      <color rgb="FFC00000"/>
      <name val="Arial"/>
      <family val="2"/>
    </font>
    <font>
      <sz val="9"/>
      <color rgb="FFC00000"/>
      <name val="MS Sans Serif"/>
      <family val="2"/>
    </font>
    <font>
      <i/>
      <sz val="10"/>
      <color rgb="FFFF0000"/>
      <name val="Arial"/>
      <family val="2"/>
    </font>
    <font>
      <b/>
      <sz val="9.5"/>
      <color theme="0" tint="-0.499984740745262"/>
      <name val="Arial"/>
      <family val="2"/>
    </font>
    <font>
      <b/>
      <sz val="11"/>
      <color theme="0" tint="-0.499984740745262"/>
      <name val="Arial"/>
      <family val="2"/>
    </font>
    <font>
      <b/>
      <sz val="14"/>
      <color theme="0" tint="-0.499984740745262"/>
      <name val="Arial"/>
      <family val="2"/>
    </font>
    <font>
      <sz val="10"/>
      <color theme="0" tint="-0.499984740745262"/>
      <name val="MS Sans Serif"/>
      <family val="2"/>
    </font>
    <font>
      <sz val="11"/>
      <color theme="0" tint="-0.499984740745262"/>
      <name val="Calibri"/>
      <family val="2"/>
    </font>
    <font>
      <sz val="9"/>
      <color theme="0" tint="-0.499984740745262"/>
      <name val="Arial"/>
      <family val="2"/>
    </font>
    <font>
      <b/>
      <sz val="9"/>
      <color theme="0" tint="-0.499984740745262"/>
      <name val="Arial"/>
      <family val="2"/>
    </font>
    <font>
      <b/>
      <sz val="11"/>
      <color theme="0" tint="-0.499984740745262"/>
      <name val="Calibri"/>
      <family val="2"/>
    </font>
    <font>
      <i/>
      <sz val="11"/>
      <name val="Calibri"/>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5">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rgb="FF000000"/>
      </top>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medium">
        <color indexed="8"/>
      </right>
      <top/>
      <bottom/>
      <diagonal/>
    </border>
    <border>
      <left style="thin">
        <color indexed="8"/>
      </left>
      <right style="thin">
        <color indexed="8"/>
      </right>
      <top/>
      <bottom/>
      <diagonal/>
    </border>
    <border>
      <left style="medium">
        <color indexed="8"/>
      </left>
      <right style="medium">
        <color indexed="8"/>
      </right>
      <top/>
      <bottom style="medium">
        <color indexed="8"/>
      </bottom>
      <diagonal/>
    </border>
    <border>
      <left style="thin">
        <color indexed="8"/>
      </left>
      <right style="thin">
        <color indexed="8"/>
      </right>
      <top/>
      <bottom style="medium">
        <color indexed="8"/>
      </bottom>
      <diagonal/>
    </border>
    <border>
      <left/>
      <right style="medium">
        <color indexed="8"/>
      </right>
      <top style="medium">
        <color indexed="8"/>
      </top>
      <bottom style="medium">
        <color indexed="8"/>
      </bottom>
      <diagonal/>
    </border>
    <border>
      <left style="thin">
        <color indexed="8"/>
      </left>
      <right style="medium">
        <color indexed="8"/>
      </right>
      <top style="medium">
        <color indexed="8"/>
      </top>
      <bottom/>
      <diagonal/>
    </border>
    <border>
      <left style="thin">
        <color indexed="8"/>
      </left>
      <right style="medium">
        <color indexed="8"/>
      </right>
      <top/>
      <bottom/>
      <diagonal/>
    </border>
    <border>
      <left style="thin">
        <color indexed="8"/>
      </left>
      <right style="medium">
        <color indexed="8"/>
      </right>
      <top/>
      <bottom style="medium">
        <color indexed="8"/>
      </bottom>
      <diagonal/>
    </border>
  </borders>
  <cellStyleXfs count="16">
    <xf numFmtId="0" fontId="0" fillId="0" borderId="0"/>
    <xf numFmtId="164" fontId="2" fillId="0" borderId="0" applyFont="0" applyFill="0" applyBorder="0" applyAlignment="0" applyProtection="0"/>
    <xf numFmtId="0" fontId="13" fillId="0" borderId="0"/>
    <xf numFmtId="0" fontId="11" fillId="0" borderId="0"/>
    <xf numFmtId="9" fontId="2" fillId="0" borderId="0" applyFont="0" applyFill="0" applyBorder="0" applyAlignment="0" applyProtection="0"/>
    <xf numFmtId="0" fontId="2" fillId="0" borderId="0"/>
    <xf numFmtId="0" fontId="19" fillId="0" borderId="0"/>
    <xf numFmtId="164" fontId="19"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0" fontId="2" fillId="0" borderId="0"/>
    <xf numFmtId="44" fontId="35" fillId="0" borderId="0" applyFont="0" applyFill="0" applyBorder="0" applyAlignment="0" applyProtection="0"/>
    <xf numFmtId="9" fontId="19" fillId="0" borderId="0" applyFont="0" applyFill="0" applyBorder="0" applyAlignment="0" applyProtection="0"/>
  </cellStyleXfs>
  <cellXfs count="305">
    <xf numFmtId="0" fontId="0" fillId="0" borderId="0" xfId="0"/>
    <xf numFmtId="0" fontId="7" fillId="0" borderId="0" xfId="2" applyFont="1"/>
    <xf numFmtId="0" fontId="5" fillId="0" borderId="0" xfId="2" applyFont="1" applyAlignment="1">
      <alignment horizontal="center"/>
    </xf>
    <xf numFmtId="0" fontId="14" fillId="0" borderId="0" xfId="2" applyFont="1" applyAlignment="1">
      <alignment horizontal="left"/>
    </xf>
    <xf numFmtId="0" fontId="16" fillId="0" borderId="0" xfId="2" applyFont="1"/>
    <xf numFmtId="0" fontId="19" fillId="0" borderId="0" xfId="6" applyNumberFormat="1" applyFont="1" applyFill="1" applyBorder="1" applyAlignment="1" applyProtection="1"/>
    <xf numFmtId="0" fontId="15" fillId="0" borderId="0" xfId="2" applyFont="1" applyAlignment="1">
      <alignment horizontal="center"/>
    </xf>
    <xf numFmtId="0" fontId="15" fillId="0" borderId="0" xfId="2" applyFont="1" applyAlignment="1">
      <alignment horizontal="left"/>
    </xf>
    <xf numFmtId="0" fontId="15" fillId="0" borderId="0" xfId="2" applyFont="1" applyAlignment="1">
      <alignment horizontal="right"/>
    </xf>
    <xf numFmtId="0" fontId="12" fillId="0" borderId="0" xfId="3" applyFont="1" applyFill="1" applyAlignment="1">
      <alignment vertical="center"/>
    </xf>
    <xf numFmtId="0" fontId="12" fillId="2" borderId="0" xfId="3" applyFont="1" applyFill="1" applyAlignment="1">
      <alignment vertical="center"/>
    </xf>
    <xf numFmtId="0" fontId="0" fillId="2" borderId="0" xfId="0" applyFill="1"/>
    <xf numFmtId="0" fontId="8" fillId="2" borderId="0" xfId="0" applyFont="1" applyFill="1"/>
    <xf numFmtId="0" fontId="21" fillId="2" borderId="0" xfId="0" applyFont="1" applyFill="1"/>
    <xf numFmtId="166" fontId="19" fillId="0" borderId="0" xfId="6" applyNumberFormat="1" applyFont="1" applyFill="1" applyBorder="1" applyAlignment="1" applyProtection="1"/>
    <xf numFmtId="166" fontId="24" fillId="2" borderId="0" xfId="0" applyNumberFormat="1" applyFont="1" applyFill="1" applyBorder="1" applyAlignment="1">
      <alignment horizontal="right" indent="2"/>
    </xf>
    <xf numFmtId="166" fontId="0" fillId="2" borderId="0" xfId="0" applyNumberFormat="1" applyFill="1" applyBorder="1" applyAlignment="1">
      <alignment horizontal="right" indent="2"/>
    </xf>
    <xf numFmtId="0" fontId="4" fillId="2" borderId="0" xfId="0" applyFont="1" applyFill="1" applyAlignment="1">
      <alignment horizontal="left"/>
    </xf>
    <xf numFmtId="2" fontId="2" fillId="2" borderId="0" xfId="0" applyNumberFormat="1" applyFont="1" applyFill="1" applyBorder="1" applyAlignment="1">
      <alignment horizontal="left" indent="1"/>
    </xf>
    <xf numFmtId="0" fontId="12" fillId="3" borderId="0" xfId="3" applyFont="1" applyFill="1" applyAlignment="1">
      <alignment vertical="center"/>
    </xf>
    <xf numFmtId="0" fontId="34" fillId="3" borderId="0" xfId="3" applyFont="1" applyFill="1" applyAlignment="1">
      <alignment vertical="center"/>
    </xf>
    <xf numFmtId="0" fontId="0" fillId="3" borderId="0" xfId="0" applyFill="1"/>
    <xf numFmtId="0" fontId="12" fillId="2" borderId="0" xfId="3" applyFont="1" applyFill="1" applyBorder="1" applyAlignment="1">
      <alignment vertical="center"/>
    </xf>
    <xf numFmtId="0" fontId="25" fillId="2" borderId="0" xfId="3" applyFont="1" applyFill="1" applyBorder="1" applyAlignment="1">
      <alignment horizontal="center" vertical="center" wrapText="1"/>
    </xf>
    <xf numFmtId="0" fontId="12" fillId="2" borderId="0" xfId="3" applyFont="1" applyFill="1" applyBorder="1" applyAlignment="1">
      <alignment horizontal="center" vertical="center"/>
    </xf>
    <xf numFmtId="3" fontId="12" fillId="2" borderId="0" xfId="3" applyNumberFormat="1" applyFont="1" applyFill="1" applyBorder="1" applyAlignment="1">
      <alignment horizontal="right" vertical="center" indent="1"/>
    </xf>
    <xf numFmtId="165" fontId="12" fillId="2" borderId="0" xfId="4" applyNumberFormat="1" applyFont="1" applyFill="1" applyBorder="1" applyAlignment="1">
      <alignment horizontal="right" vertical="center" indent="1"/>
    </xf>
    <xf numFmtId="0" fontId="20" fillId="2" borderId="0" xfId="3" applyFont="1" applyFill="1" applyBorder="1" applyAlignment="1">
      <alignment vertical="center"/>
    </xf>
    <xf numFmtId="0" fontId="0" fillId="2" borderId="0" xfId="0" applyFill="1" applyBorder="1"/>
    <xf numFmtId="0" fontId="12" fillId="2" borderId="0" xfId="3" applyFont="1" applyFill="1" applyBorder="1" applyAlignment="1">
      <alignment horizontal="left" vertical="center" indent="1"/>
    </xf>
    <xf numFmtId="3" fontId="12" fillId="2" borderId="0" xfId="3" applyNumberFormat="1" applyFont="1" applyFill="1" applyBorder="1" applyAlignment="1">
      <alignment horizontal="right" vertical="center" indent="2"/>
    </xf>
    <xf numFmtId="3" fontId="12" fillId="2" borderId="0" xfId="4" applyNumberFormat="1" applyFont="1" applyFill="1" applyBorder="1" applyAlignment="1">
      <alignment horizontal="right" vertical="center" indent="4"/>
    </xf>
    <xf numFmtId="167" fontId="12" fillId="2" borderId="0" xfId="4" applyNumberFormat="1" applyFont="1" applyFill="1" applyBorder="1" applyAlignment="1">
      <alignment horizontal="right" vertical="center" indent="3"/>
    </xf>
    <xf numFmtId="167" fontId="12" fillId="2" borderId="0" xfId="3" applyNumberFormat="1" applyFont="1" applyFill="1" applyBorder="1" applyAlignment="1">
      <alignment horizontal="right" vertical="center" indent="3"/>
    </xf>
    <xf numFmtId="3" fontId="23" fillId="2" borderId="0" xfId="3" applyNumberFormat="1" applyFont="1" applyFill="1" applyBorder="1" applyAlignment="1">
      <alignment horizontal="right" vertical="center" indent="2"/>
    </xf>
    <xf numFmtId="3" fontId="23" fillId="2" borderId="0" xfId="4" applyNumberFormat="1" applyFont="1" applyFill="1" applyBorder="1" applyAlignment="1">
      <alignment horizontal="right" vertical="center" indent="4"/>
    </xf>
    <xf numFmtId="167" fontId="23" fillId="2" borderId="0" xfId="4" applyNumberFormat="1" applyFont="1" applyFill="1" applyBorder="1" applyAlignment="1">
      <alignment horizontal="right" vertical="center" indent="3"/>
    </xf>
    <xf numFmtId="167" fontId="23" fillId="2" borderId="0" xfId="3" applyNumberFormat="1" applyFont="1" applyFill="1" applyBorder="1" applyAlignment="1">
      <alignment horizontal="right" vertical="center" indent="3"/>
    </xf>
    <xf numFmtId="0" fontId="12" fillId="2" borderId="0" xfId="3" applyFont="1" applyFill="1" applyBorder="1" applyAlignment="1">
      <alignment horizontal="left" vertical="center"/>
    </xf>
    <xf numFmtId="3" fontId="12" fillId="2" borderId="0" xfId="3" quotePrefix="1" applyNumberFormat="1" applyFont="1" applyFill="1" applyBorder="1" applyAlignment="1">
      <alignment horizontal="right" vertical="center" indent="1"/>
    </xf>
    <xf numFmtId="0" fontId="23" fillId="2" borderId="0" xfId="3" applyFont="1" applyFill="1" applyBorder="1" applyAlignment="1">
      <alignment horizontal="left" vertical="center" indent="1"/>
    </xf>
    <xf numFmtId="3" fontId="23" fillId="2" borderId="0" xfId="3" applyNumberFormat="1" applyFont="1" applyFill="1" applyBorder="1" applyAlignment="1">
      <alignment horizontal="right" vertical="center" indent="1"/>
    </xf>
    <xf numFmtId="0" fontId="20" fillId="2" borderId="0" xfId="3" applyFont="1" applyFill="1" applyBorder="1" applyAlignment="1">
      <alignment horizontal="left" vertical="center" indent="1"/>
    </xf>
    <xf numFmtId="3" fontId="20" fillId="2" borderId="0" xfId="3" applyNumberFormat="1" applyFont="1" applyFill="1" applyBorder="1" applyAlignment="1">
      <alignment horizontal="right" vertical="center" indent="2"/>
    </xf>
    <xf numFmtId="3" fontId="20" fillId="2" borderId="0" xfId="4" applyNumberFormat="1" applyFont="1" applyFill="1" applyBorder="1" applyAlignment="1">
      <alignment horizontal="right" vertical="center" indent="4"/>
    </xf>
    <xf numFmtId="167" fontId="20" fillId="2" borderId="0" xfId="4" applyNumberFormat="1" applyFont="1" applyFill="1" applyBorder="1" applyAlignment="1">
      <alignment horizontal="right" vertical="center" indent="3"/>
    </xf>
    <xf numFmtId="167" fontId="20" fillId="2" borderId="0" xfId="3" applyNumberFormat="1" applyFont="1" applyFill="1" applyBorder="1" applyAlignment="1">
      <alignment horizontal="right" vertical="center" indent="3"/>
    </xf>
    <xf numFmtId="0" fontId="0" fillId="2" borderId="0" xfId="2" applyFont="1" applyFill="1" applyBorder="1" applyAlignment="1">
      <alignment vertical="center"/>
    </xf>
    <xf numFmtId="166" fontId="0" fillId="2" borderId="0" xfId="2" applyNumberFormat="1" applyFont="1" applyFill="1" applyBorder="1" applyAlignment="1">
      <alignment vertical="center"/>
    </xf>
    <xf numFmtId="16" fontId="32" fillId="2" borderId="0" xfId="2" quotePrefix="1" applyNumberFormat="1" applyFont="1" applyFill="1" applyBorder="1" applyAlignment="1">
      <alignment vertical="center"/>
    </xf>
    <xf numFmtId="0" fontId="2" fillId="2" borderId="0" xfId="2" applyFont="1" applyFill="1" applyBorder="1" applyAlignment="1">
      <alignment vertical="center"/>
    </xf>
    <xf numFmtId="0" fontId="18" fillId="2" borderId="0" xfId="0" applyFont="1" applyFill="1"/>
    <xf numFmtId="0" fontId="0" fillId="2" borderId="0" xfId="2" applyFont="1" applyFill="1" applyAlignment="1">
      <alignment vertical="center"/>
    </xf>
    <xf numFmtId="0" fontId="6" fillId="2" borderId="0" xfId="2" applyFont="1" applyFill="1" applyAlignment="1">
      <alignment vertical="center"/>
    </xf>
    <xf numFmtId="165" fontId="0" fillId="2" borderId="0" xfId="4" applyNumberFormat="1" applyFont="1" applyFill="1" applyAlignment="1">
      <alignment vertical="center"/>
    </xf>
    <xf numFmtId="0" fontId="2" fillId="2" borderId="0" xfId="2" applyFont="1" applyFill="1" applyAlignment="1">
      <alignment vertical="center"/>
    </xf>
    <xf numFmtId="0" fontId="2" fillId="2" borderId="0" xfId="0" applyFont="1" applyFill="1"/>
    <xf numFmtId="0" fontId="6" fillId="2" borderId="0" xfId="14" applyNumberFormat="1" applyFont="1" applyFill="1" applyBorder="1" applyAlignment="1">
      <alignment horizontal="left" vertical="center" wrapText="1"/>
    </xf>
    <xf numFmtId="2" fontId="24" fillId="2" borderId="1" xfId="0" applyNumberFormat="1" applyFont="1" applyFill="1" applyBorder="1"/>
    <xf numFmtId="166" fontId="24" fillId="2" borderId="1" xfId="0" applyNumberFormat="1" applyFont="1" applyFill="1" applyBorder="1" applyAlignment="1">
      <alignment horizontal="center"/>
    </xf>
    <xf numFmtId="0" fontId="6" fillId="2" borderId="2" xfId="14" applyNumberFormat="1" applyFont="1" applyFill="1" applyBorder="1" applyAlignment="1">
      <alignment horizontal="left" vertical="center" wrapText="1"/>
    </xf>
    <xf numFmtId="166" fontId="24" fillId="2" borderId="2" xfId="0" applyNumberFormat="1" applyFont="1" applyFill="1" applyBorder="1" applyAlignment="1">
      <alignment horizontal="right" indent="2"/>
    </xf>
    <xf numFmtId="2" fontId="8" fillId="2" borderId="3" xfId="0" applyNumberFormat="1" applyFont="1" applyFill="1" applyBorder="1" applyAlignment="1">
      <alignment horizontal="left" indent="1"/>
    </xf>
    <xf numFmtId="0" fontId="8" fillId="2" borderId="0" xfId="0" applyFont="1" applyFill="1" applyBorder="1"/>
    <xf numFmtId="2" fontId="8" fillId="2" borderId="0" xfId="0" applyNumberFormat="1" applyFont="1" applyFill="1" applyBorder="1" applyAlignment="1">
      <alignment horizontal="left" indent="1"/>
    </xf>
    <xf numFmtId="166" fontId="0" fillId="2" borderId="0" xfId="0" applyNumberFormat="1" applyFill="1" applyBorder="1" applyAlignment="1">
      <alignment horizontal="center" vertical="center"/>
    </xf>
    <xf numFmtId="166" fontId="0" fillId="2" borderId="2" xfId="0" applyNumberFormat="1" applyFill="1" applyBorder="1" applyAlignment="1">
      <alignment horizontal="center" vertical="center"/>
    </xf>
    <xf numFmtId="166" fontId="24" fillId="2" borderId="0" xfId="0" applyNumberFormat="1" applyFont="1" applyFill="1" applyBorder="1" applyAlignment="1">
      <alignment horizontal="center" vertical="center"/>
    </xf>
    <xf numFmtId="0" fontId="36" fillId="2" borderId="0" xfId="0" applyFont="1" applyFill="1" applyBorder="1"/>
    <xf numFmtId="0" fontId="36" fillId="2" borderId="0" xfId="0" applyFont="1" applyFill="1"/>
    <xf numFmtId="0" fontId="38" fillId="2" borderId="0" xfId="0" applyFont="1" applyFill="1" applyBorder="1"/>
    <xf numFmtId="165" fontId="39" fillId="2" borderId="0" xfId="4" applyNumberFormat="1" applyFont="1" applyFill="1" applyBorder="1" applyAlignment="1">
      <alignment horizontal="right" indent="2"/>
    </xf>
    <xf numFmtId="165" fontId="40" fillId="2" borderId="0" xfId="4" applyNumberFormat="1" applyFont="1" applyFill="1" applyBorder="1" applyAlignment="1">
      <alignment horizontal="right" indent="2"/>
    </xf>
    <xf numFmtId="0" fontId="39" fillId="2" borderId="0" xfId="0" applyFont="1" applyFill="1"/>
    <xf numFmtId="171" fontId="39" fillId="2" borderId="0" xfId="0" applyNumberFormat="1" applyFont="1" applyFill="1" applyBorder="1" applyAlignment="1">
      <alignment horizontal="right" indent="2"/>
    </xf>
    <xf numFmtId="171" fontId="40" fillId="2" borderId="0" xfId="0" applyNumberFormat="1" applyFont="1" applyFill="1" applyBorder="1" applyAlignment="1">
      <alignment horizontal="right" indent="2"/>
    </xf>
    <xf numFmtId="16" fontId="31" fillId="2" borderId="0" xfId="3" applyNumberFormat="1" applyFont="1" applyFill="1" applyAlignment="1">
      <alignment vertical="center" wrapText="1"/>
    </xf>
    <xf numFmtId="16" fontId="31" fillId="2" borderId="0" xfId="3" applyNumberFormat="1" applyFont="1" applyFill="1" applyAlignment="1">
      <alignment vertical="center"/>
    </xf>
    <xf numFmtId="169" fontId="8" fillId="2" borderId="0" xfId="4" applyNumberFormat="1" applyFont="1" applyFill="1" applyBorder="1" applyAlignment="1">
      <alignment horizontal="center" vertical="center"/>
    </xf>
    <xf numFmtId="2" fontId="2" fillId="2" borderId="3" xfId="0" applyNumberFormat="1" applyFont="1" applyFill="1" applyBorder="1" applyAlignment="1">
      <alignment horizontal="left" indent="1"/>
    </xf>
    <xf numFmtId="166" fontId="44" fillId="2" borderId="1" xfId="0" applyNumberFormat="1" applyFont="1" applyFill="1" applyBorder="1" applyAlignment="1">
      <alignment horizontal="center"/>
    </xf>
    <xf numFmtId="166" fontId="6" fillId="2" borderId="0" xfId="0" applyNumberFormat="1" applyFont="1" applyFill="1" applyBorder="1" applyAlignment="1">
      <alignment horizontal="right" indent="2"/>
    </xf>
    <xf numFmtId="166" fontId="6" fillId="2" borderId="0" xfId="0" applyNumberFormat="1" applyFont="1" applyFill="1" applyBorder="1" applyAlignment="1">
      <alignment horizontal="center" vertical="center"/>
    </xf>
    <xf numFmtId="169" fontId="26" fillId="2" borderId="0" xfId="4" applyNumberFormat="1" applyFont="1" applyFill="1" applyBorder="1" applyAlignment="1">
      <alignment horizontal="center" vertical="center"/>
    </xf>
    <xf numFmtId="166" fontId="6" fillId="2" borderId="2" xfId="0" applyNumberFormat="1" applyFont="1" applyFill="1" applyBorder="1" applyAlignment="1">
      <alignment horizontal="center" vertical="center"/>
    </xf>
    <xf numFmtId="166" fontId="44" fillId="2" borderId="0" xfId="0" applyNumberFormat="1" applyFont="1" applyFill="1" applyBorder="1" applyAlignment="1">
      <alignment horizontal="center" vertical="center"/>
    </xf>
    <xf numFmtId="166" fontId="44" fillId="2" borderId="2" xfId="0" applyNumberFormat="1" applyFont="1" applyFill="1" applyBorder="1" applyAlignment="1">
      <alignment horizontal="right" indent="2"/>
    </xf>
    <xf numFmtId="165" fontId="0" fillId="2" borderId="0" xfId="0" applyNumberFormat="1" applyFill="1" applyBorder="1" applyAlignment="1">
      <alignment horizontal="center" vertical="center"/>
    </xf>
    <xf numFmtId="165" fontId="6" fillId="2" borderId="0" xfId="0" applyNumberFormat="1" applyFont="1" applyFill="1" applyBorder="1" applyAlignment="1">
      <alignment horizontal="center" vertical="center"/>
    </xf>
    <xf numFmtId="165" fontId="38" fillId="2" borderId="0" xfId="4" applyNumberFormat="1" applyFont="1" applyFill="1" applyBorder="1"/>
    <xf numFmtId="168" fontId="38" fillId="2" borderId="0" xfId="0" applyNumberFormat="1" applyFont="1" applyFill="1" applyBorder="1"/>
    <xf numFmtId="173" fontId="8" fillId="2" borderId="3" xfId="4" applyNumberFormat="1" applyFont="1" applyFill="1" applyBorder="1" applyAlignment="1">
      <alignment horizontal="center"/>
    </xf>
    <xf numFmtId="0" fontId="34" fillId="0" borderId="0" xfId="3" applyFont="1" applyFill="1" applyAlignment="1">
      <alignment vertical="center"/>
    </xf>
    <xf numFmtId="0" fontId="10" fillId="0" borderId="0" xfId="5" applyFont="1" applyFill="1" applyBorder="1"/>
    <xf numFmtId="0" fontId="10" fillId="0" borderId="0" xfId="5" applyFont="1" applyFill="1"/>
    <xf numFmtId="16" fontId="31" fillId="0" borderId="0" xfId="3" applyNumberFormat="1" applyFont="1" applyFill="1" applyAlignment="1">
      <alignment vertical="center" wrapText="1"/>
    </xf>
    <xf numFmtId="16" fontId="31" fillId="0" borderId="0" xfId="3" applyNumberFormat="1" applyFont="1" applyFill="1" applyAlignment="1">
      <alignment vertical="center"/>
    </xf>
    <xf numFmtId="0" fontId="0" fillId="0" borderId="0" xfId="0" applyFill="1"/>
    <xf numFmtId="0" fontId="4" fillId="0" borderId="0" xfId="0" applyFont="1" applyFill="1" applyAlignment="1">
      <alignment horizontal="left"/>
    </xf>
    <xf numFmtId="0" fontId="36" fillId="0" borderId="0" xfId="5" applyFont="1" applyFill="1" applyBorder="1"/>
    <xf numFmtId="0" fontId="10" fillId="0" borderId="0" xfId="5" applyFont="1" applyFill="1" applyBorder="1" applyAlignment="1">
      <alignment horizontal="center" vertical="center"/>
    </xf>
    <xf numFmtId="0" fontId="42" fillId="0" borderId="0" xfId="5" applyFont="1" applyFill="1" applyBorder="1" applyAlignment="1">
      <alignment vertical="center"/>
    </xf>
    <xf numFmtId="166" fontId="6" fillId="0" borderId="0" xfId="1" applyNumberFormat="1" applyFont="1" applyFill="1" applyBorder="1" applyAlignment="1">
      <alignment horizontal="right" vertical="center" indent="2"/>
    </xf>
    <xf numFmtId="166" fontId="2" fillId="0" borderId="0" xfId="1" applyNumberFormat="1" applyFont="1" applyFill="1" applyBorder="1" applyAlignment="1">
      <alignment horizontal="right" vertical="center" wrapText="1" indent="2"/>
    </xf>
    <xf numFmtId="166" fontId="6" fillId="0" borderId="0" xfId="1" applyNumberFormat="1" applyFont="1" applyFill="1" applyBorder="1" applyAlignment="1">
      <alignment horizontal="right" vertical="center" wrapText="1" indent="2"/>
    </xf>
    <xf numFmtId="0" fontId="2" fillId="0" borderId="0" xfId="0" applyFont="1" applyFill="1" applyBorder="1" applyAlignment="1">
      <alignment horizontal="left" vertical="top" wrapText="1" indent="3"/>
    </xf>
    <xf numFmtId="0" fontId="41" fillId="0" borderId="0" xfId="0" applyFont="1" applyFill="1" applyAlignment="1"/>
    <xf numFmtId="166" fontId="17" fillId="0" borderId="0" xfId="1" applyNumberFormat="1" applyFont="1" applyFill="1" applyBorder="1" applyAlignment="1">
      <alignment vertical="center"/>
    </xf>
    <xf numFmtId="0" fontId="6" fillId="0" borderId="0" xfId="0" applyFont="1" applyFill="1" applyBorder="1"/>
    <xf numFmtId="0" fontId="8" fillId="0" borderId="0" xfId="0" applyFont="1" applyFill="1" applyBorder="1" applyAlignment="1">
      <alignment vertical="center"/>
    </xf>
    <xf numFmtId="0" fontId="2" fillId="0" borderId="0" xfId="0" applyFont="1" applyFill="1" applyBorder="1" applyAlignment="1">
      <alignment vertical="top" wrapText="1"/>
    </xf>
    <xf numFmtId="0" fontId="8" fillId="0" borderId="0" xfId="0" applyFont="1" applyFill="1" applyBorder="1" applyAlignment="1">
      <alignment vertical="top" wrapText="1"/>
    </xf>
    <xf numFmtId="3" fontId="2" fillId="0" borderId="0" xfId="0" applyNumberFormat="1" applyFont="1"/>
    <xf numFmtId="0" fontId="28" fillId="2" borderId="0" xfId="3" applyFont="1" applyFill="1" applyBorder="1" applyAlignment="1">
      <alignment horizontal="center" vertical="center" wrapText="1"/>
    </xf>
    <xf numFmtId="0" fontId="6" fillId="2" borderId="2" xfId="14" applyNumberFormat="1" applyFont="1" applyFill="1" applyBorder="1" applyAlignment="1">
      <alignment horizontal="left" vertical="center"/>
    </xf>
    <xf numFmtId="0" fontId="27" fillId="0" borderId="0" xfId="6" applyNumberFormat="1" applyFont="1" applyFill="1" applyBorder="1" applyAlignment="1" applyProtection="1"/>
    <xf numFmtId="16" fontId="5" fillId="0" borderId="0" xfId="0" quotePrefix="1" applyNumberFormat="1" applyFont="1" applyFill="1"/>
    <xf numFmtId="16" fontId="31" fillId="0" borderId="0" xfId="3" applyNumberFormat="1" applyFont="1" applyFill="1" applyAlignment="1">
      <alignment horizontal="left" vertical="center"/>
    </xf>
    <xf numFmtId="0" fontId="2" fillId="0" borderId="0" xfId="0" applyFont="1" applyFill="1"/>
    <xf numFmtId="3" fontId="0" fillId="0" borderId="0" xfId="0" applyNumberFormat="1" applyFill="1"/>
    <xf numFmtId="0" fontId="29" fillId="0" borderId="0" xfId="0" applyFont="1" applyFill="1"/>
    <xf numFmtId="0" fontId="22" fillId="0" borderId="0" xfId="0" applyFont="1" applyFill="1" applyAlignment="1">
      <alignment horizontal="left" readingOrder="1"/>
    </xf>
    <xf numFmtId="0" fontId="29" fillId="0" borderId="0" xfId="13" applyFont="1" applyFill="1" applyBorder="1" applyAlignment="1">
      <alignment vertical="center"/>
    </xf>
    <xf numFmtId="16" fontId="31" fillId="0" borderId="0" xfId="3" applyNumberFormat="1" applyFont="1" applyFill="1" applyAlignment="1">
      <alignment horizontal="left" vertical="center" wrapText="1"/>
    </xf>
    <xf numFmtId="0" fontId="18" fillId="0" borderId="0" xfId="0" applyFont="1" applyFill="1" applyAlignment="1">
      <alignment vertical="center" wrapText="1"/>
    </xf>
    <xf numFmtId="0" fontId="45" fillId="3" borderId="0" xfId="3" applyFont="1" applyFill="1" applyAlignment="1">
      <alignment vertical="center"/>
    </xf>
    <xf numFmtId="0" fontId="34" fillId="2" borderId="0" xfId="3" applyFont="1" applyFill="1" applyAlignment="1">
      <alignment vertical="center"/>
    </xf>
    <xf numFmtId="16" fontId="36" fillId="2" borderId="0" xfId="3" applyNumberFormat="1" applyFont="1" applyFill="1" applyAlignment="1">
      <alignment vertical="center"/>
    </xf>
    <xf numFmtId="166" fontId="24" fillId="3" borderId="1" xfId="0" applyNumberFormat="1" applyFont="1" applyFill="1" applyBorder="1" applyAlignment="1">
      <alignment horizontal="center"/>
    </xf>
    <xf numFmtId="166" fontId="0" fillId="3" borderId="0" xfId="0" applyNumberFormat="1" applyFill="1" applyBorder="1" applyAlignment="1">
      <alignment horizontal="right" indent="2"/>
    </xf>
    <xf numFmtId="166" fontId="0" fillId="3" borderId="0" xfId="0" applyNumberFormat="1" applyFill="1" applyBorder="1" applyAlignment="1">
      <alignment horizontal="center" vertical="center"/>
    </xf>
    <xf numFmtId="169" fontId="8" fillId="3" borderId="0" xfId="4" applyNumberFormat="1" applyFont="1" applyFill="1" applyBorder="1" applyAlignment="1">
      <alignment horizontal="center" vertical="center"/>
    </xf>
    <xf numFmtId="166" fontId="0" fillId="3" borderId="2" xfId="0" applyNumberFormat="1" applyFill="1" applyBorder="1" applyAlignment="1">
      <alignment horizontal="center" vertical="center"/>
    </xf>
    <xf numFmtId="165" fontId="0" fillId="3" borderId="0" xfId="0" applyNumberFormat="1" applyFill="1" applyBorder="1" applyAlignment="1">
      <alignment horizontal="center" vertical="center"/>
    </xf>
    <xf numFmtId="173" fontId="8" fillId="3" borderId="3" xfId="4" applyNumberFormat="1" applyFont="1" applyFill="1" applyBorder="1" applyAlignment="1">
      <alignment horizontal="center"/>
    </xf>
    <xf numFmtId="166" fontId="24" fillId="3" borderId="0" xfId="0" applyNumberFormat="1" applyFont="1" applyFill="1" applyBorder="1" applyAlignment="1">
      <alignment horizontal="center" vertical="center"/>
    </xf>
    <xf numFmtId="166" fontId="24" fillId="3" borderId="2" xfId="0" applyNumberFormat="1" applyFont="1" applyFill="1" applyBorder="1" applyAlignment="1">
      <alignment horizontal="center" vertical="center"/>
    </xf>
    <xf numFmtId="166" fontId="24" fillId="3" borderId="2" xfId="0" applyNumberFormat="1" applyFont="1" applyFill="1" applyBorder="1" applyAlignment="1">
      <alignment horizontal="right" indent="2"/>
    </xf>
    <xf numFmtId="0" fontId="21" fillId="3" borderId="0" xfId="0" applyFont="1" applyFill="1"/>
    <xf numFmtId="0" fontId="4" fillId="3" borderId="0" xfId="0" applyFont="1" applyFill="1" applyAlignment="1">
      <alignment horizontal="left"/>
    </xf>
    <xf numFmtId="0" fontId="46" fillId="2" borderId="0" xfId="0" applyFont="1" applyFill="1" applyBorder="1"/>
    <xf numFmtId="175" fontId="36" fillId="3" borderId="3" xfId="1" quotePrefix="1" applyNumberFormat="1" applyFont="1" applyFill="1" applyBorder="1" applyAlignment="1">
      <alignment horizontal="center" vertical="center"/>
    </xf>
    <xf numFmtId="175" fontId="36" fillId="2" borderId="3" xfId="1" quotePrefix="1" applyNumberFormat="1" applyFont="1" applyFill="1" applyBorder="1" applyAlignment="1">
      <alignment horizontal="center" vertical="center"/>
    </xf>
    <xf numFmtId="175" fontId="6" fillId="2" borderId="3" xfId="1" quotePrefix="1" applyNumberFormat="1" applyFont="1" applyFill="1" applyBorder="1" applyAlignment="1">
      <alignment horizontal="center" vertical="center"/>
    </xf>
    <xf numFmtId="170" fontId="24" fillId="3" borderId="0" xfId="0" applyNumberFormat="1" applyFont="1" applyFill="1" applyBorder="1" applyAlignment="1">
      <alignment horizontal="center" vertical="center"/>
    </xf>
    <xf numFmtId="170" fontId="24" fillId="2" borderId="0" xfId="0" applyNumberFormat="1" applyFont="1" applyFill="1" applyBorder="1" applyAlignment="1">
      <alignment horizontal="center" vertical="center"/>
    </xf>
    <xf numFmtId="170" fontId="44" fillId="2" borderId="0" xfId="0" applyNumberFormat="1" applyFont="1" applyFill="1" applyBorder="1" applyAlignment="1">
      <alignment horizontal="center" vertical="center"/>
    </xf>
    <xf numFmtId="169" fontId="8" fillId="3" borderId="3" xfId="4" applyNumberFormat="1" applyFont="1" applyFill="1" applyBorder="1" applyAlignment="1">
      <alignment horizontal="center" vertical="center"/>
    </xf>
    <xf numFmtId="169" fontId="8" fillId="2" borderId="3" xfId="4" applyNumberFormat="1" applyFont="1" applyFill="1" applyBorder="1" applyAlignment="1">
      <alignment horizontal="center" vertical="center"/>
    </xf>
    <xf numFmtId="169" fontId="26" fillId="2" borderId="3" xfId="4" applyNumberFormat="1" applyFont="1" applyFill="1" applyBorder="1" applyAlignment="1">
      <alignment horizontal="center" vertical="center"/>
    </xf>
    <xf numFmtId="176" fontId="36" fillId="0" borderId="0" xfId="5" applyNumberFormat="1" applyFont="1" applyFill="1" applyBorder="1"/>
    <xf numFmtId="0" fontId="2" fillId="0" borderId="0" xfId="2" applyFont="1"/>
    <xf numFmtId="176" fontId="6" fillId="0" borderId="0" xfId="0" applyNumberFormat="1" applyFont="1" applyFill="1" applyBorder="1"/>
    <xf numFmtId="176" fontId="6" fillId="0" borderId="0" xfId="1" applyNumberFormat="1" applyFont="1" applyFill="1" applyBorder="1" applyAlignment="1">
      <alignment horizontal="center"/>
    </xf>
    <xf numFmtId="3" fontId="2" fillId="0" borderId="0" xfId="0" applyNumberFormat="1" applyFont="1" applyFill="1" applyBorder="1"/>
    <xf numFmtId="2" fontId="24" fillId="2" borderId="0" xfId="0" applyNumberFormat="1" applyFont="1" applyFill="1" applyBorder="1" applyAlignment="1">
      <alignment horizontal="right" indent="2"/>
    </xf>
    <xf numFmtId="2" fontId="37" fillId="2" borderId="0" xfId="0" applyNumberFormat="1" applyFont="1" applyFill="1" applyBorder="1" applyAlignment="1">
      <alignment horizontal="right" indent="2"/>
    </xf>
    <xf numFmtId="166" fontId="19" fillId="0" borderId="0" xfId="6" applyNumberFormat="1" applyFont="1" applyFill="1" applyBorder="1" applyAlignment="1" applyProtection="1">
      <alignment horizontal="center"/>
    </xf>
    <xf numFmtId="167" fontId="0" fillId="0" borderId="0" xfId="0" applyNumberFormat="1" applyFill="1"/>
    <xf numFmtId="177" fontId="26" fillId="2" borderId="3" xfId="4" applyNumberFormat="1" applyFont="1" applyFill="1" applyBorder="1" applyAlignment="1">
      <alignment horizontal="center"/>
    </xf>
    <xf numFmtId="166" fontId="17" fillId="0" borderId="0" xfId="9" applyNumberFormat="1" applyFont="1" applyFill="1" applyBorder="1" applyAlignment="1" applyProtection="1">
      <alignment horizontal="center" vertical="center" wrapText="1"/>
    </xf>
    <xf numFmtId="0" fontId="30" fillId="0" borderId="0" xfId="9" applyNumberFormat="1" applyFont="1" applyFill="1" applyBorder="1" applyAlignment="1" applyProtection="1">
      <alignment horizontal="left" vertical="center" wrapText="1"/>
    </xf>
    <xf numFmtId="9" fontId="19" fillId="0" borderId="0" xfId="4" applyFont="1" applyFill="1" applyBorder="1" applyAlignment="1" applyProtection="1"/>
    <xf numFmtId="0" fontId="9" fillId="0" borderId="0" xfId="9" applyNumberFormat="1" applyFont="1" applyFill="1" applyBorder="1" applyAlignment="1" applyProtection="1">
      <alignment horizontal="left" vertical="center" wrapText="1"/>
    </xf>
    <xf numFmtId="0" fontId="47" fillId="2" borderId="0" xfId="5" applyFont="1" applyFill="1" applyBorder="1" applyAlignment="1">
      <alignment vertical="center" wrapText="1"/>
    </xf>
    <xf numFmtId="16" fontId="31" fillId="2" borderId="0" xfId="3" applyNumberFormat="1" applyFont="1" applyFill="1" applyAlignment="1">
      <alignment horizontal="center" vertical="center" wrapText="1"/>
    </xf>
    <xf numFmtId="16" fontId="31" fillId="2" borderId="0" xfId="3" applyNumberFormat="1" applyFont="1" applyFill="1" applyAlignment="1">
      <alignment horizontal="center" vertical="center"/>
    </xf>
    <xf numFmtId="0" fontId="16" fillId="3" borderId="0" xfId="3" applyFont="1" applyFill="1" applyAlignment="1">
      <alignment vertical="center"/>
    </xf>
    <xf numFmtId="0" fontId="16" fillId="2" borderId="0" xfId="3" applyFont="1" applyFill="1" applyAlignment="1">
      <alignment vertical="center"/>
    </xf>
    <xf numFmtId="0" fontId="48" fillId="2" borderId="0" xfId="3" applyFont="1" applyFill="1" applyBorder="1" applyAlignment="1">
      <alignment vertical="center"/>
    </xf>
    <xf numFmtId="0" fontId="49" fillId="2" borderId="0" xfId="3" applyFont="1" applyFill="1" applyBorder="1" applyAlignment="1">
      <alignment vertical="center"/>
    </xf>
    <xf numFmtId="0" fontId="45" fillId="3" borderId="0" xfId="3" applyFont="1" applyFill="1" applyAlignment="1">
      <alignment vertical="center" wrapText="1"/>
    </xf>
    <xf numFmtId="0" fontId="48" fillId="2" borderId="0" xfId="3" applyFont="1" applyFill="1" applyAlignment="1">
      <alignment vertical="center"/>
    </xf>
    <xf numFmtId="0" fontId="50" fillId="2" borderId="0" xfId="3" applyFont="1" applyFill="1" applyAlignment="1">
      <alignment vertical="center"/>
    </xf>
    <xf numFmtId="0" fontId="48" fillId="2" borderId="0" xfId="3" applyFont="1" applyFill="1" applyBorder="1" applyAlignment="1">
      <alignment horizontal="center" vertical="center"/>
    </xf>
    <xf numFmtId="3" fontId="51" fillId="2" borderId="1" xfId="5" applyNumberFormat="1" applyFont="1" applyFill="1" applyBorder="1" applyAlignment="1">
      <alignment horizontal="right"/>
    </xf>
    <xf numFmtId="172" fontId="51" fillId="2" borderId="1" xfId="5" applyNumberFormat="1" applyFont="1" applyFill="1" applyBorder="1" applyAlignment="1">
      <alignment horizontal="center"/>
    </xf>
    <xf numFmtId="0" fontId="51" fillId="2" borderId="0" xfId="14" applyNumberFormat="1" applyFont="1" applyFill="1" applyBorder="1" applyAlignment="1">
      <alignment horizontal="left" vertical="center" wrapText="1"/>
    </xf>
    <xf numFmtId="3" fontId="51" fillId="2" borderId="1" xfId="5" applyNumberFormat="1" applyFont="1" applyFill="1" applyBorder="1" applyAlignment="1">
      <alignment horizontal="left"/>
    </xf>
    <xf numFmtId="172" fontId="51" fillId="2" borderId="1" xfId="5" applyNumberFormat="1" applyFont="1" applyFill="1" applyBorder="1" applyAlignment="1">
      <alignment horizontal="right" indent="1"/>
    </xf>
    <xf numFmtId="3" fontId="53" fillId="2" borderId="0" xfId="5" applyNumberFormat="1" applyFont="1" applyFill="1" applyBorder="1" applyAlignment="1"/>
    <xf numFmtId="167" fontId="56" fillId="2" borderId="0" xfId="5" applyNumberFormat="1" applyFont="1" applyFill="1" applyBorder="1" applyAlignment="1">
      <alignment horizontal="right" indent="1"/>
    </xf>
    <xf numFmtId="3" fontId="53" fillId="2" borderId="0" xfId="5" applyNumberFormat="1" applyFont="1" applyFill="1" applyBorder="1" applyAlignment="1">
      <alignment wrapText="1"/>
    </xf>
    <xf numFmtId="3" fontId="53" fillId="2" borderId="3" xfId="5" applyNumberFormat="1" applyFont="1" applyFill="1" applyBorder="1" applyAlignment="1">
      <alignment vertical="center" wrapText="1"/>
    </xf>
    <xf numFmtId="167" fontId="56" fillId="2" borderId="3" xfId="5" applyNumberFormat="1" applyFont="1" applyFill="1" applyBorder="1" applyAlignment="1">
      <alignment horizontal="right" indent="1"/>
    </xf>
    <xf numFmtId="4" fontId="56" fillId="2" borderId="3" xfId="5" applyNumberFormat="1" applyFont="1" applyFill="1" applyBorder="1" applyAlignment="1">
      <alignment horizontal="right" indent="1"/>
    </xf>
    <xf numFmtId="0" fontId="55" fillId="2" borderId="0" xfId="3" applyFont="1" applyFill="1" applyBorder="1" applyAlignment="1">
      <alignment vertical="center"/>
    </xf>
    <xf numFmtId="3" fontId="48" fillId="2" borderId="0" xfId="3" applyNumberFormat="1" applyFont="1" applyFill="1" applyBorder="1" applyAlignment="1">
      <alignment horizontal="right" vertical="center" indent="1"/>
    </xf>
    <xf numFmtId="165" fontId="48" fillId="2" borderId="0" xfId="4" applyNumberFormat="1" applyFont="1" applyFill="1" applyBorder="1" applyAlignment="1">
      <alignment horizontal="right" vertical="center" indent="1"/>
    </xf>
    <xf numFmtId="3" fontId="53" fillId="2" borderId="0" xfId="5" applyNumberFormat="1" applyFont="1" applyFill="1" applyBorder="1" applyAlignment="1">
      <alignment horizontal="center"/>
    </xf>
    <xf numFmtId="3" fontId="53" fillId="2" borderId="0" xfId="5" applyNumberFormat="1" applyFont="1" applyFill="1" applyBorder="1" applyAlignment="1">
      <alignment horizontal="center" vertical="center"/>
    </xf>
    <xf numFmtId="0" fontId="57" fillId="0" borderId="0" xfId="0" applyFont="1" applyBorder="1"/>
    <xf numFmtId="0" fontId="48" fillId="2" borderId="0" xfId="3" applyFont="1" applyFill="1" applyBorder="1" applyAlignment="1">
      <alignment horizontal="right" vertical="center"/>
    </xf>
    <xf numFmtId="3" fontId="53" fillId="0" borderId="0" xfId="5" applyNumberFormat="1" applyFont="1" applyFill="1" applyBorder="1" applyAlignment="1">
      <alignment horizontal="center"/>
    </xf>
    <xf numFmtId="3" fontId="52" fillId="0" borderId="0" xfId="5" applyNumberFormat="1" applyFont="1" applyFill="1" applyBorder="1" applyAlignment="1">
      <alignment horizontal="center"/>
    </xf>
    <xf numFmtId="172" fontId="51" fillId="0" borderId="1" xfId="5" applyNumberFormat="1" applyFont="1" applyFill="1" applyBorder="1" applyAlignment="1">
      <alignment horizontal="center"/>
    </xf>
    <xf numFmtId="0" fontId="61" fillId="0" borderId="0" xfId="3" applyFont="1" applyFill="1" applyBorder="1" applyAlignment="1">
      <alignment vertical="center"/>
    </xf>
    <xf numFmtId="178" fontId="62" fillId="2" borderId="0" xfId="3" applyNumberFormat="1" applyFont="1" applyFill="1" applyBorder="1" applyAlignment="1">
      <alignment horizontal="center" vertical="center"/>
    </xf>
    <xf numFmtId="0" fontId="64" fillId="0" borderId="0" xfId="0" applyFont="1" applyFill="1"/>
    <xf numFmtId="0" fontId="65" fillId="0" borderId="0" xfId="5" applyFont="1" applyFill="1"/>
    <xf numFmtId="0" fontId="66" fillId="0" borderId="0" xfId="0" applyFont="1" applyFill="1"/>
    <xf numFmtId="0" fontId="65" fillId="0" borderId="0" xfId="5" applyFont="1" applyFill="1" applyBorder="1"/>
    <xf numFmtId="176" fontId="67" fillId="0" borderId="0" xfId="1" applyNumberFormat="1" applyFont="1" applyFill="1" applyBorder="1" applyAlignment="1">
      <alignment horizontal="center"/>
    </xf>
    <xf numFmtId="0" fontId="68" fillId="0" borderId="0" xfId="5" applyFont="1" applyFill="1" applyBorder="1" applyAlignment="1">
      <alignment vertical="center"/>
    </xf>
    <xf numFmtId="0" fontId="26" fillId="0" borderId="0" xfId="0" applyFont="1" applyFill="1" applyBorder="1" applyAlignment="1">
      <alignment vertical="top"/>
    </xf>
    <xf numFmtId="165" fontId="67" fillId="0" borderId="0" xfId="4" applyNumberFormat="1" applyFont="1" applyFill="1" applyBorder="1" applyAlignment="1">
      <alignment horizontal="center"/>
    </xf>
    <xf numFmtId="0" fontId="36" fillId="0" borderId="0" xfId="0" applyFont="1" applyFill="1"/>
    <xf numFmtId="0" fontId="69" fillId="0" borderId="0" xfId="0" applyFont="1" applyFill="1"/>
    <xf numFmtId="4" fontId="19" fillId="0" borderId="0" xfId="6" applyNumberFormat="1" applyFont="1" applyFill="1" applyBorder="1" applyAlignment="1" applyProtection="1"/>
    <xf numFmtId="0" fontId="63" fillId="0" borderId="0" xfId="0" applyFont="1" applyFill="1"/>
    <xf numFmtId="0" fontId="70" fillId="2" borderId="0" xfId="3" applyFont="1" applyFill="1" applyAlignment="1">
      <alignment vertical="center"/>
    </xf>
    <xf numFmtId="0" fontId="53" fillId="2" borderId="0" xfId="0" applyFont="1" applyFill="1"/>
    <xf numFmtId="0" fontId="53" fillId="0" borderId="0" xfId="0" applyFont="1" applyFill="1"/>
    <xf numFmtId="0" fontId="51" fillId="2" borderId="4" xfId="0" applyFont="1" applyFill="1" applyBorder="1" applyAlignment="1">
      <alignment horizontal="center" vertical="top" wrapText="1"/>
    </xf>
    <xf numFmtId="0" fontId="51" fillId="2" borderId="2" xfId="0" applyFont="1" applyFill="1" applyBorder="1" applyAlignment="1">
      <alignment horizontal="center" vertical="center" wrapText="1"/>
    </xf>
    <xf numFmtId="0" fontId="51" fillId="0" borderId="2" xfId="0" applyFont="1" applyFill="1" applyBorder="1" applyAlignment="1">
      <alignment horizontal="center" vertical="center" wrapText="1"/>
    </xf>
    <xf numFmtId="0" fontId="53" fillId="2" borderId="2" xfId="0" applyFont="1" applyFill="1" applyBorder="1" applyAlignment="1"/>
    <xf numFmtId="169" fontId="53" fillId="2" borderId="2" xfId="0" applyNumberFormat="1" applyFont="1" applyFill="1" applyBorder="1" applyAlignment="1">
      <alignment horizontal="center"/>
    </xf>
    <xf numFmtId="169" fontId="53" fillId="0" borderId="2" xfId="0" applyNumberFormat="1" applyFont="1" applyFill="1" applyBorder="1" applyAlignment="1">
      <alignment horizontal="center"/>
    </xf>
    <xf numFmtId="0" fontId="53" fillId="2" borderId="0" xfId="0" applyFont="1" applyFill="1" applyBorder="1" applyAlignment="1"/>
    <xf numFmtId="169" fontId="53" fillId="2" borderId="0" xfId="0" applyNumberFormat="1" applyFont="1" applyFill="1" applyBorder="1" applyAlignment="1">
      <alignment horizontal="center"/>
    </xf>
    <xf numFmtId="169" fontId="53" fillId="0" borderId="0" xfId="0" applyNumberFormat="1" applyFont="1" applyFill="1" applyBorder="1" applyAlignment="1">
      <alignment horizontal="center"/>
    </xf>
    <xf numFmtId="0" fontId="53" fillId="2" borderId="2" xfId="0" applyFont="1" applyFill="1" applyBorder="1" applyAlignment="1">
      <alignment horizontal="left" vertical="top"/>
    </xf>
    <xf numFmtId="0" fontId="53" fillId="2" borderId="4" xfId="0" applyFont="1" applyFill="1" applyBorder="1" applyAlignment="1">
      <alignment horizontal="left" vertical="top"/>
    </xf>
    <xf numFmtId="0" fontId="53" fillId="2" borderId="0" xfId="0" applyFont="1" applyFill="1" applyBorder="1" applyAlignment="1">
      <alignment horizontal="left" vertical="top"/>
    </xf>
    <xf numFmtId="0" fontId="53" fillId="2" borderId="1" xfId="0" applyFont="1" applyFill="1" applyBorder="1" applyAlignment="1">
      <alignment horizontal="left" vertical="top"/>
    </xf>
    <xf numFmtId="169" fontId="53" fillId="2" borderId="1" xfId="0" applyNumberFormat="1" applyFont="1" applyFill="1" applyBorder="1" applyAlignment="1">
      <alignment horizontal="center"/>
    </xf>
    <xf numFmtId="169" fontId="53" fillId="0" borderId="1" xfId="0" applyNumberFormat="1" applyFont="1" applyFill="1" applyBorder="1" applyAlignment="1">
      <alignment horizontal="center"/>
    </xf>
    <xf numFmtId="0" fontId="53" fillId="0" borderId="0" xfId="5" applyFont="1" applyFill="1" applyBorder="1"/>
    <xf numFmtId="0" fontId="71" fillId="0" borderId="0" xfId="0" applyFont="1" applyFill="1"/>
    <xf numFmtId="0" fontId="72" fillId="0" borderId="0" xfId="0" applyFont="1" applyFill="1" applyAlignment="1">
      <alignment horizontal="left"/>
    </xf>
    <xf numFmtId="0" fontId="52" fillId="0" borderId="0" xfId="5" applyFont="1" applyFill="1" applyBorder="1"/>
    <xf numFmtId="0" fontId="73" fillId="0" borderId="0" xfId="5" applyFont="1" applyFill="1" applyBorder="1"/>
    <xf numFmtId="0" fontId="53" fillId="0" borderId="1" xfId="5" applyFont="1" applyFill="1" applyBorder="1"/>
    <xf numFmtId="1" fontId="51" fillId="0" borderId="1" xfId="5" applyNumberFormat="1" applyFont="1" applyFill="1" applyBorder="1" applyAlignment="1">
      <alignment horizontal="center" wrapText="1"/>
    </xf>
    <xf numFmtId="0" fontId="53" fillId="0" borderId="0" xfId="0" applyFont="1" applyFill="1" applyBorder="1" applyAlignment="1">
      <alignment vertical="top" wrapText="1"/>
    </xf>
    <xf numFmtId="2" fontId="53" fillId="0" borderId="0" xfId="1" applyNumberFormat="1" applyFont="1" applyFill="1" applyBorder="1" applyAlignment="1">
      <alignment horizontal="right" vertical="center" indent="1"/>
    </xf>
    <xf numFmtId="3" fontId="53" fillId="0" borderId="0" xfId="0" applyNumberFormat="1" applyFont="1"/>
    <xf numFmtId="2" fontId="53" fillId="0" borderId="0" xfId="1" applyNumberFormat="1" applyFont="1" applyFill="1" applyBorder="1" applyAlignment="1">
      <alignment horizontal="right" vertical="center" wrapText="1" indent="1"/>
    </xf>
    <xf numFmtId="0" fontId="51" fillId="0" borderId="0" xfId="0" applyFont="1" applyFill="1" applyBorder="1" applyAlignment="1">
      <alignment vertical="top" wrapText="1"/>
    </xf>
    <xf numFmtId="2" fontId="51" fillId="0" borderId="0" xfId="1" applyNumberFormat="1" applyFont="1" applyFill="1" applyBorder="1" applyAlignment="1">
      <alignment horizontal="right" vertical="center" indent="1"/>
    </xf>
    <xf numFmtId="1" fontId="46" fillId="0" borderId="0" xfId="3" applyNumberFormat="1" applyFont="1" applyFill="1" applyAlignment="1">
      <alignment horizontal="left" vertical="center" wrapText="1"/>
    </xf>
    <xf numFmtId="1" fontId="53" fillId="0" borderId="0" xfId="0" applyNumberFormat="1" applyFont="1" applyFill="1"/>
    <xf numFmtId="1" fontId="51" fillId="0" borderId="0" xfId="5" quotePrefix="1" applyNumberFormat="1" applyFont="1" applyFill="1"/>
    <xf numFmtId="1" fontId="51" fillId="0" borderId="0" xfId="3" applyNumberFormat="1" applyFont="1" applyFill="1" applyAlignment="1">
      <alignment horizontal="right" vertical="center"/>
    </xf>
    <xf numFmtId="1" fontId="51" fillId="0" borderId="0" xfId="3" applyNumberFormat="1" applyFont="1" applyFill="1" applyAlignment="1">
      <alignment horizontal="left" vertical="center" wrapText="1"/>
    </xf>
    <xf numFmtId="0" fontId="51" fillId="3" borderId="1" xfId="5" applyFont="1" applyFill="1" applyBorder="1" applyAlignment="1">
      <alignment horizontal="center" vertical="center"/>
    </xf>
    <xf numFmtId="174" fontId="51" fillId="0" borderId="1" xfId="1" applyNumberFormat="1" applyFont="1" applyBorder="1" applyAlignment="1">
      <alignment horizontal="center" vertical="center"/>
    </xf>
    <xf numFmtId="174" fontId="51" fillId="3" borderId="1" xfId="1" applyNumberFormat="1" applyFont="1" applyFill="1" applyBorder="1" applyAlignment="1">
      <alignment horizontal="center" vertical="center"/>
    </xf>
    <xf numFmtId="0" fontId="51" fillId="0" borderId="1" xfId="5" applyFont="1" applyBorder="1" applyAlignment="1">
      <alignment horizontal="left"/>
    </xf>
    <xf numFmtId="167" fontId="51" fillId="3" borderId="1" xfId="5" applyNumberFormat="1" applyFont="1" applyFill="1" applyBorder="1" applyAlignment="1">
      <alignment horizontal="right"/>
    </xf>
    <xf numFmtId="167" fontId="51" fillId="0" borderId="1" xfId="5" applyNumberFormat="1" applyFont="1" applyFill="1" applyBorder="1" applyAlignment="1">
      <alignment horizontal="right"/>
    </xf>
    <xf numFmtId="0" fontId="53" fillId="0" borderId="0" xfId="5" applyFont="1" applyBorder="1" applyAlignment="1">
      <alignment wrapText="1"/>
    </xf>
    <xf numFmtId="167" fontId="53" fillId="3" borderId="0" xfId="5" applyNumberFormat="1" applyFont="1" applyFill="1" applyBorder="1"/>
    <xf numFmtId="167" fontId="53" fillId="0" borderId="0" xfId="5" applyNumberFormat="1" applyFont="1" applyFill="1"/>
    <xf numFmtId="167" fontId="53" fillId="3" borderId="0" xfId="5" applyNumberFormat="1" applyFont="1" applyFill="1"/>
    <xf numFmtId="167" fontId="53" fillId="0" borderId="0" xfId="5" applyNumberFormat="1" applyFont="1"/>
    <xf numFmtId="0" fontId="53" fillId="0" borderId="0" xfId="5" applyFont="1" applyBorder="1" applyAlignment="1">
      <alignment horizontal="left"/>
    </xf>
    <xf numFmtId="167" fontId="53" fillId="0" borderId="0" xfId="5" applyNumberFormat="1" applyFont="1" applyFill="1" applyBorder="1"/>
    <xf numFmtId="167" fontId="53" fillId="0" borderId="0" xfId="5" applyNumberFormat="1" applyFont="1" applyBorder="1"/>
    <xf numFmtId="167" fontId="53" fillId="3" borderId="0" xfId="5" applyNumberFormat="1" applyFont="1" applyFill="1" applyBorder="1" applyAlignment="1">
      <alignment horizontal="right"/>
    </xf>
    <xf numFmtId="167" fontId="53" fillId="0" borderId="0" xfId="5" applyNumberFormat="1" applyFont="1" applyBorder="1" applyAlignment="1">
      <alignment horizontal="right"/>
    </xf>
    <xf numFmtId="167" fontId="53" fillId="0" borderId="0" xfId="0" applyNumberFormat="1" applyFont="1" applyFill="1"/>
    <xf numFmtId="0" fontId="53" fillId="0" borderId="0" xfId="5" applyFont="1" applyAlignment="1">
      <alignment vertical="center"/>
    </xf>
    <xf numFmtId="0" fontId="51" fillId="0" borderId="0" xfId="5" applyFont="1" applyFill="1" applyAlignment="1">
      <alignment horizontal="center" vertical="center" wrapText="1"/>
    </xf>
    <xf numFmtId="0" fontId="53" fillId="0" borderId="0" xfId="0" applyFont="1" applyFill="1" applyAlignment="1">
      <alignment horizontal="left" vertical="center" wrapText="1"/>
    </xf>
    <xf numFmtId="166" fontId="53" fillId="0" borderId="0" xfId="5" applyNumberFormat="1" applyFont="1" applyFill="1" applyAlignment="1">
      <alignment vertical="center"/>
    </xf>
    <xf numFmtId="0" fontId="70" fillId="0" borderId="0" xfId="3" applyFont="1" applyFill="1" applyAlignment="1">
      <alignment vertical="center"/>
    </xf>
    <xf numFmtId="0" fontId="74" fillId="0" borderId="0" xfId="6" applyNumberFormat="1" applyFont="1" applyFill="1" applyBorder="1" applyAlignment="1" applyProtection="1"/>
    <xf numFmtId="0" fontId="51" fillId="0" borderId="0" xfId="9" applyFont="1" applyFill="1" applyAlignment="1">
      <alignment horizontal="right" vertical="center"/>
    </xf>
    <xf numFmtId="0" fontId="51" fillId="0" borderId="0" xfId="9" applyFont="1" applyFill="1" applyAlignment="1">
      <alignment horizontal="right" vertical="center" wrapText="1"/>
    </xf>
    <xf numFmtId="0" fontId="53" fillId="0" borderId="0" xfId="9" applyFont="1" applyFill="1"/>
    <xf numFmtId="169" fontId="74" fillId="0" borderId="0" xfId="6" applyNumberFormat="1" applyFont="1" applyFill="1" applyBorder="1" applyAlignment="1" applyProtection="1"/>
    <xf numFmtId="166" fontId="74" fillId="0" borderId="0" xfId="6" applyNumberFormat="1" applyFont="1" applyFill="1" applyBorder="1" applyAlignment="1" applyProtection="1"/>
    <xf numFmtId="0" fontId="75" fillId="0" borderId="0" xfId="9" applyNumberFormat="1" applyFont="1" applyFill="1" applyBorder="1" applyAlignment="1" applyProtection="1">
      <alignment horizontal="left" vertical="center" wrapText="1"/>
    </xf>
    <xf numFmtId="166" fontId="75" fillId="0" borderId="0" xfId="9" applyNumberFormat="1" applyFont="1" applyFill="1" applyBorder="1" applyAlignment="1" applyProtection="1">
      <alignment horizontal="center" vertical="center" wrapText="1"/>
    </xf>
    <xf numFmtId="166" fontId="74" fillId="0" borderId="0" xfId="6" applyNumberFormat="1" applyFont="1" applyFill="1" applyBorder="1" applyAlignment="1" applyProtection="1">
      <alignment horizontal="center"/>
    </xf>
    <xf numFmtId="0" fontId="76" fillId="0" borderId="1" xfId="9" applyNumberFormat="1" applyFont="1" applyFill="1" applyBorder="1" applyAlignment="1" applyProtection="1">
      <alignment horizontal="left" vertical="center" wrapText="1"/>
    </xf>
    <xf numFmtId="166" fontId="77" fillId="0" borderId="1" xfId="6" applyNumberFormat="1" applyFont="1" applyFill="1" applyBorder="1" applyAlignment="1" applyProtection="1"/>
    <xf numFmtId="0" fontId="78" fillId="0" borderId="0" xfId="6" applyNumberFormat="1" applyFont="1" applyFill="1" applyBorder="1" applyAlignment="1" applyProtection="1"/>
    <xf numFmtId="0" fontId="53" fillId="0" borderId="5" xfId="9" applyFont="1" applyFill="1" applyBorder="1"/>
    <xf numFmtId="0" fontId="51" fillId="0" borderId="6" xfId="9" applyFont="1" applyFill="1" applyBorder="1" applyAlignment="1">
      <alignment horizontal="center" vertical="center" wrapText="1"/>
    </xf>
    <xf numFmtId="0" fontId="51" fillId="0" borderId="11" xfId="9" applyFont="1" applyFill="1" applyBorder="1" applyAlignment="1">
      <alignment horizontal="center" vertical="center" wrapText="1"/>
    </xf>
    <xf numFmtId="0" fontId="53" fillId="0" borderId="7" xfId="9" applyFont="1" applyFill="1" applyBorder="1" applyAlignment="1"/>
    <xf numFmtId="1" fontId="53" fillId="0" borderId="8" xfId="4" applyNumberFormat="1" applyFont="1" applyFill="1" applyBorder="1" applyAlignment="1">
      <alignment vertical="center" wrapText="1"/>
    </xf>
    <xf numFmtId="1" fontId="53" fillId="0" borderId="12" xfId="4" applyNumberFormat="1" applyFont="1" applyFill="1" applyBorder="1" applyAlignment="1">
      <alignment vertical="center" wrapText="1"/>
    </xf>
    <xf numFmtId="1" fontId="53" fillId="0" borderId="13" xfId="4" applyNumberFormat="1" applyFont="1" applyFill="1" applyBorder="1" applyAlignment="1">
      <alignment vertical="center" wrapText="1"/>
    </xf>
    <xf numFmtId="1" fontId="53" fillId="0" borderId="8" xfId="4" applyNumberFormat="1" applyFont="1" applyFill="1" applyBorder="1" applyAlignment="1">
      <alignment horizontal="right"/>
    </xf>
    <xf numFmtId="1" fontId="53" fillId="0" borderId="13" xfId="4" applyNumberFormat="1" applyFont="1" applyFill="1" applyBorder="1" applyAlignment="1">
      <alignment horizontal="right"/>
    </xf>
    <xf numFmtId="0" fontId="53" fillId="0" borderId="9" xfId="9" applyFont="1" applyFill="1" applyBorder="1" applyAlignment="1"/>
    <xf numFmtId="1" fontId="53" fillId="0" borderId="10" xfId="4" applyNumberFormat="1" applyFont="1" applyFill="1" applyBorder="1" applyAlignment="1">
      <alignment horizontal="right" vertical="center"/>
    </xf>
    <xf numFmtId="1" fontId="53" fillId="0" borderId="14" xfId="4" applyNumberFormat="1" applyFont="1" applyFill="1" applyBorder="1" applyAlignment="1">
      <alignment horizontal="right" vertical="center"/>
    </xf>
    <xf numFmtId="0" fontId="59" fillId="2" borderId="0" xfId="5" applyFont="1" applyFill="1" applyBorder="1" applyAlignment="1">
      <alignment horizontal="left" vertical="center" wrapText="1"/>
    </xf>
    <xf numFmtId="16" fontId="31" fillId="2" borderId="0" xfId="3" applyNumberFormat="1" applyFont="1" applyFill="1" applyAlignment="1">
      <alignment horizontal="center" vertical="center" wrapText="1"/>
    </xf>
    <xf numFmtId="16" fontId="31" fillId="2" borderId="0" xfId="3" applyNumberFormat="1" applyFont="1" applyFill="1" applyAlignment="1">
      <alignment horizontal="center" vertical="center"/>
    </xf>
    <xf numFmtId="0" fontId="2" fillId="2" borderId="0" xfId="3" applyFont="1" applyFill="1" applyBorder="1" applyAlignment="1">
      <alignment horizontal="center" vertical="center" wrapText="1"/>
    </xf>
    <xf numFmtId="0" fontId="2" fillId="0" borderId="0" xfId="3" applyFont="1" applyFill="1" applyBorder="1" applyAlignment="1">
      <alignment horizontal="center" vertical="center" wrapText="1"/>
    </xf>
    <xf numFmtId="16" fontId="2" fillId="2" borderId="0" xfId="3" applyNumberFormat="1" applyFont="1" applyFill="1" applyAlignment="1">
      <alignment horizontal="center" vertical="center" wrapText="1"/>
    </xf>
    <xf numFmtId="16" fontId="36" fillId="2" borderId="0" xfId="3" applyNumberFormat="1" applyFont="1" applyFill="1" applyAlignment="1">
      <alignment vertical="center" wrapText="1"/>
    </xf>
    <xf numFmtId="0" fontId="36" fillId="0" borderId="0" xfId="5" applyFont="1" applyFill="1" applyBorder="1" applyAlignment="1">
      <alignment horizontal="center" vertical="center" wrapText="1"/>
    </xf>
    <xf numFmtId="0" fontId="8" fillId="0" borderId="0" xfId="0" applyFont="1" applyFill="1" applyBorder="1" applyAlignment="1">
      <alignment vertical="top" wrapText="1"/>
    </xf>
    <xf numFmtId="0" fontId="5" fillId="0" borderId="0" xfId="0" applyFont="1" applyFill="1" applyAlignment="1">
      <alignment horizontal="center"/>
    </xf>
    <xf numFmtId="0" fontId="18" fillId="0" borderId="0" xfId="0" applyFont="1" applyFill="1" applyAlignment="1">
      <alignment horizontal="center" vertical="center" wrapText="1"/>
    </xf>
    <xf numFmtId="0" fontId="33" fillId="0" borderId="0" xfId="6" applyNumberFormat="1" applyFont="1" applyFill="1" applyBorder="1" applyAlignment="1" applyProtection="1">
      <alignment horizontal="center" vertical="center" wrapText="1"/>
    </xf>
    <xf numFmtId="0" fontId="33" fillId="0" borderId="0" xfId="6" applyNumberFormat="1" applyFont="1" applyFill="1" applyBorder="1" applyAlignment="1" applyProtection="1">
      <alignment horizontal="center" wrapText="1"/>
    </xf>
  </cellXfs>
  <cellStyles count="16">
    <cellStyle name="Milliers" xfId="1" builtinId="3"/>
    <cellStyle name="Milliers 2" xfId="7"/>
    <cellStyle name="Monétaire" xfId="14" builtinId="4"/>
    <cellStyle name="Motif" xfId="2"/>
    <cellStyle name="Motif 2" xfId="5"/>
    <cellStyle name="Motif 2 2" xfId="8"/>
    <cellStyle name="Normal" xfId="0" builtinId="0"/>
    <cellStyle name="Normal 2" xfId="6"/>
    <cellStyle name="Normal 2 2" xfId="9"/>
    <cellStyle name="Normal_Chapitre_1.5" xfId="3"/>
    <cellStyle name="Normal_Chapitre_6_1.xls" xfId="13"/>
    <cellStyle name="Pourcentage" xfId="4" builtinId="5"/>
    <cellStyle name="Pourcentage 2" xfId="10"/>
    <cellStyle name="Pourcentage 2 2" xfId="11"/>
    <cellStyle name="Pourcentage 3" xfId="12"/>
    <cellStyle name="Pourcentage 4" xf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568606650974783"/>
          <c:y val="0.11213023004477382"/>
          <c:w val="0.77280198931750865"/>
          <c:h val="0.59106183418249192"/>
        </c:manualLayout>
      </c:layout>
      <c:barChart>
        <c:barDir val="col"/>
        <c:grouping val="stacked"/>
        <c:varyColors val="0"/>
        <c:ser>
          <c:idx val="0"/>
          <c:order val="0"/>
          <c:tx>
            <c:strRef>
              <c:f>'1-1 Coll Terr'!$K$37</c:f>
              <c:strCache>
                <c:ptCount val="1"/>
                <c:pt idx="0">
                  <c:v>Métropoles (a)</c:v>
                </c:pt>
              </c:strCache>
            </c:strRef>
          </c:tx>
          <c:spPr>
            <a:solidFill>
              <a:schemeClr val="accent1">
                <a:lumMod val="75000"/>
              </a:schemeClr>
            </a:solidFill>
            <a:ln>
              <a:solidFill>
                <a:schemeClr val="tx1"/>
              </a:solidFill>
            </a:ln>
          </c:spPr>
          <c:invertIfNegative val="0"/>
          <c:cat>
            <c:numRef>
              <c:f>'1-1 Coll Terr'!$S$36:$Y$36</c:f>
              <c:numCache>
                <c:formatCode>###0</c:formatCode>
                <c:ptCount val="7"/>
                <c:pt idx="0">
                  <c:v>2020</c:v>
                </c:pt>
                <c:pt idx="1">
                  <c:v>2021</c:v>
                </c:pt>
                <c:pt idx="2">
                  <c:v>2022</c:v>
                </c:pt>
                <c:pt idx="3">
                  <c:v>2023</c:v>
                </c:pt>
                <c:pt idx="4">
                  <c:v>2024</c:v>
                </c:pt>
                <c:pt idx="5">
                  <c:v>2025</c:v>
                </c:pt>
                <c:pt idx="6">
                  <c:v>2026</c:v>
                </c:pt>
              </c:numCache>
            </c:numRef>
          </c:cat>
          <c:val>
            <c:numRef>
              <c:f>'1-1 Coll Terr'!$S$37:$Y$37</c:f>
              <c:numCache>
                <c:formatCode>#\ ##0.0</c:formatCode>
                <c:ptCount val="7"/>
                <c:pt idx="0">
                  <c:v>19.433354000000001</c:v>
                </c:pt>
                <c:pt idx="1">
                  <c:v>19.569911999999999</c:v>
                </c:pt>
                <c:pt idx="2">
                  <c:v>19.701412000000001</c:v>
                </c:pt>
                <c:pt idx="3">
                  <c:v>19.764286999999999</c:v>
                </c:pt>
                <c:pt idx="4">
                  <c:v>19.860375999999999</c:v>
                </c:pt>
                <c:pt idx="5">
                  <c:v>19.971738999999999</c:v>
                </c:pt>
                <c:pt idx="6">
                  <c:v>20.083081</c:v>
                </c:pt>
              </c:numCache>
            </c:numRef>
          </c:val>
          <c:extLst>
            <c:ext xmlns:c16="http://schemas.microsoft.com/office/drawing/2014/chart" uri="{C3380CC4-5D6E-409C-BE32-E72D297353CC}">
              <c16:uniqueId val="{00000000-817E-43FC-B10E-C5864476272B}"/>
            </c:ext>
          </c:extLst>
        </c:ser>
        <c:ser>
          <c:idx val="1"/>
          <c:order val="1"/>
          <c:tx>
            <c:strRef>
              <c:f>'1-1 Coll Terr'!$K$38</c:f>
              <c:strCache>
                <c:ptCount val="1"/>
                <c:pt idx="0">
                  <c:v>Communautés urbaines (CU)</c:v>
                </c:pt>
              </c:strCache>
            </c:strRef>
          </c:tx>
          <c:spPr>
            <a:solidFill>
              <a:schemeClr val="tx2">
                <a:lumMod val="60000"/>
                <a:lumOff val="40000"/>
              </a:schemeClr>
            </a:solidFill>
            <a:ln>
              <a:solidFill>
                <a:schemeClr val="tx1"/>
              </a:solidFill>
            </a:ln>
          </c:spPr>
          <c:invertIfNegative val="0"/>
          <c:cat>
            <c:numRef>
              <c:f>'1-1 Coll Terr'!$S$36:$Y$36</c:f>
              <c:numCache>
                <c:formatCode>###0</c:formatCode>
                <c:ptCount val="7"/>
                <c:pt idx="0">
                  <c:v>2020</c:v>
                </c:pt>
                <c:pt idx="1">
                  <c:v>2021</c:v>
                </c:pt>
                <c:pt idx="2">
                  <c:v>2022</c:v>
                </c:pt>
                <c:pt idx="3">
                  <c:v>2023</c:v>
                </c:pt>
                <c:pt idx="4">
                  <c:v>2024</c:v>
                </c:pt>
                <c:pt idx="5">
                  <c:v>2025</c:v>
                </c:pt>
                <c:pt idx="6">
                  <c:v>2026</c:v>
                </c:pt>
              </c:numCache>
            </c:numRef>
          </c:cat>
          <c:val>
            <c:numRef>
              <c:f>'1-1 Coll Terr'!$S$38:$Y$38</c:f>
              <c:numCache>
                <c:formatCode>#\ ##0.0</c:formatCode>
                <c:ptCount val="7"/>
                <c:pt idx="0">
                  <c:v>3.11978</c:v>
                </c:pt>
                <c:pt idx="1">
                  <c:v>3.1280860000000001</c:v>
                </c:pt>
                <c:pt idx="2">
                  <c:v>3.1387649999999998</c:v>
                </c:pt>
                <c:pt idx="3">
                  <c:v>3.146023</c:v>
                </c:pt>
                <c:pt idx="4">
                  <c:v>3.157842</c:v>
                </c:pt>
                <c:pt idx="5">
                  <c:v>3.1751909999999999</c:v>
                </c:pt>
                <c:pt idx="6">
                  <c:v>3.1900680000000001</c:v>
                </c:pt>
              </c:numCache>
            </c:numRef>
          </c:val>
          <c:extLst>
            <c:ext xmlns:c16="http://schemas.microsoft.com/office/drawing/2014/chart" uri="{C3380CC4-5D6E-409C-BE32-E72D297353CC}">
              <c16:uniqueId val="{00000001-817E-43FC-B10E-C5864476272B}"/>
            </c:ext>
          </c:extLst>
        </c:ser>
        <c:ser>
          <c:idx val="2"/>
          <c:order val="2"/>
          <c:tx>
            <c:strRef>
              <c:f>'1-1 Coll Terr'!$K$39</c:f>
              <c:strCache>
                <c:ptCount val="1"/>
                <c:pt idx="0">
                  <c:v>Communautés d'agglomération (CA)</c:v>
                </c:pt>
              </c:strCache>
            </c:strRef>
          </c:tx>
          <c:spPr>
            <a:solidFill>
              <a:schemeClr val="accent1">
                <a:lumMod val="40000"/>
                <a:lumOff val="60000"/>
              </a:schemeClr>
            </a:solidFill>
            <a:ln>
              <a:solidFill>
                <a:schemeClr val="tx1"/>
              </a:solidFill>
            </a:ln>
          </c:spPr>
          <c:invertIfNegative val="0"/>
          <c:cat>
            <c:numRef>
              <c:f>'1-1 Coll Terr'!$S$36:$Y$36</c:f>
              <c:numCache>
                <c:formatCode>###0</c:formatCode>
                <c:ptCount val="7"/>
                <c:pt idx="0">
                  <c:v>2020</c:v>
                </c:pt>
                <c:pt idx="1">
                  <c:v>2021</c:v>
                </c:pt>
                <c:pt idx="2">
                  <c:v>2022</c:v>
                </c:pt>
                <c:pt idx="3">
                  <c:v>2023</c:v>
                </c:pt>
                <c:pt idx="4">
                  <c:v>2024</c:v>
                </c:pt>
                <c:pt idx="5">
                  <c:v>2025</c:v>
                </c:pt>
                <c:pt idx="6">
                  <c:v>2026</c:v>
                </c:pt>
              </c:numCache>
            </c:numRef>
          </c:cat>
          <c:val>
            <c:numRef>
              <c:f>'1-1 Coll Terr'!$S$39:$Y$39</c:f>
              <c:numCache>
                <c:formatCode>#\ ##0.0</c:formatCode>
                <c:ptCount val="7"/>
                <c:pt idx="0">
                  <c:v>23.370289</c:v>
                </c:pt>
                <c:pt idx="1">
                  <c:v>23.492290000000001</c:v>
                </c:pt>
                <c:pt idx="2">
                  <c:v>23.777483</c:v>
                </c:pt>
                <c:pt idx="3">
                  <c:v>23.835712999999998</c:v>
                </c:pt>
                <c:pt idx="4">
                  <c:v>24.081689000000001</c:v>
                </c:pt>
                <c:pt idx="5">
                  <c:v>24.293545999999999</c:v>
                </c:pt>
                <c:pt idx="6">
                  <c:v>24.481368</c:v>
                </c:pt>
              </c:numCache>
            </c:numRef>
          </c:val>
          <c:extLst>
            <c:ext xmlns:c16="http://schemas.microsoft.com/office/drawing/2014/chart" uri="{C3380CC4-5D6E-409C-BE32-E72D297353CC}">
              <c16:uniqueId val="{00000002-817E-43FC-B10E-C5864476272B}"/>
            </c:ext>
          </c:extLst>
        </c:ser>
        <c:ser>
          <c:idx val="3"/>
          <c:order val="3"/>
          <c:tx>
            <c:strRef>
              <c:f>'1-1 Coll Terr'!$K$40</c:f>
              <c:strCache>
                <c:ptCount val="1"/>
                <c:pt idx="0">
                  <c:v>Communautés de communes (CC)</c:v>
                </c:pt>
              </c:strCache>
            </c:strRef>
          </c:tx>
          <c:spPr>
            <a:solidFill>
              <a:schemeClr val="accent1">
                <a:lumMod val="20000"/>
                <a:lumOff val="80000"/>
              </a:schemeClr>
            </a:solidFill>
            <a:ln>
              <a:solidFill>
                <a:schemeClr val="tx1"/>
              </a:solidFill>
            </a:ln>
          </c:spPr>
          <c:invertIfNegative val="0"/>
          <c:cat>
            <c:numRef>
              <c:f>'1-1 Coll Terr'!$S$36:$Y$36</c:f>
              <c:numCache>
                <c:formatCode>###0</c:formatCode>
                <c:ptCount val="7"/>
                <c:pt idx="0">
                  <c:v>2020</c:v>
                </c:pt>
                <c:pt idx="1">
                  <c:v>2021</c:v>
                </c:pt>
                <c:pt idx="2">
                  <c:v>2022</c:v>
                </c:pt>
                <c:pt idx="3">
                  <c:v>2023</c:v>
                </c:pt>
                <c:pt idx="4">
                  <c:v>2024</c:v>
                </c:pt>
                <c:pt idx="5">
                  <c:v>2025</c:v>
                </c:pt>
                <c:pt idx="6">
                  <c:v>2026</c:v>
                </c:pt>
              </c:numCache>
            </c:numRef>
          </c:cat>
          <c:val>
            <c:numRef>
              <c:f>'1-1 Coll Terr'!$S$40:$Y$40</c:f>
              <c:numCache>
                <c:formatCode>#\ ##0.0</c:formatCode>
                <c:ptCount val="7"/>
                <c:pt idx="0">
                  <c:v>22.094182</c:v>
                </c:pt>
                <c:pt idx="1">
                  <c:v>22.039497999999998</c:v>
                </c:pt>
                <c:pt idx="2">
                  <c:v>21.867972999999999</c:v>
                </c:pt>
                <c:pt idx="3">
                  <c:v>21.898669999999999</c:v>
                </c:pt>
                <c:pt idx="4">
                  <c:v>21.776996</c:v>
                </c:pt>
                <c:pt idx="5">
                  <c:v>21.776751999999998</c:v>
                </c:pt>
                <c:pt idx="6">
                  <c:v>21.795878999999999</c:v>
                </c:pt>
              </c:numCache>
            </c:numRef>
          </c:val>
          <c:extLst>
            <c:ext xmlns:c16="http://schemas.microsoft.com/office/drawing/2014/chart" uri="{C3380CC4-5D6E-409C-BE32-E72D297353CC}">
              <c16:uniqueId val="{00000003-817E-43FC-B10E-C5864476272B}"/>
            </c:ext>
          </c:extLst>
        </c:ser>
        <c:ser>
          <c:idx val="4"/>
          <c:order val="4"/>
          <c:tx>
            <c:strRef>
              <c:f>'1-1 Coll Terr'!$K$41</c:f>
              <c:strCache>
                <c:ptCount val="1"/>
                <c:pt idx="0">
                  <c:v>Communes isolées</c:v>
                </c:pt>
              </c:strCache>
            </c:strRef>
          </c:tx>
          <c:spPr>
            <a:ln>
              <a:solidFill>
                <a:schemeClr val="tx1"/>
              </a:solidFill>
            </a:ln>
          </c:spPr>
          <c:invertIfNegative val="0"/>
          <c:cat>
            <c:numRef>
              <c:f>'1-1 Coll Terr'!$S$36:$Y$36</c:f>
              <c:numCache>
                <c:formatCode>###0</c:formatCode>
                <c:ptCount val="7"/>
                <c:pt idx="0">
                  <c:v>2020</c:v>
                </c:pt>
                <c:pt idx="1">
                  <c:v>2021</c:v>
                </c:pt>
                <c:pt idx="2">
                  <c:v>2022</c:v>
                </c:pt>
                <c:pt idx="3">
                  <c:v>2023</c:v>
                </c:pt>
                <c:pt idx="4">
                  <c:v>2024</c:v>
                </c:pt>
                <c:pt idx="5">
                  <c:v>2025</c:v>
                </c:pt>
                <c:pt idx="6">
                  <c:v>2026</c:v>
                </c:pt>
              </c:numCache>
            </c:numRef>
          </c:cat>
          <c:val>
            <c:numRef>
              <c:f>'1-1 Coll Terr'!$S$41:$Y$41</c:f>
              <c:numCache>
                <c:formatCode>#\ ##0.0</c:formatCode>
                <c:ptCount val="7"/>
                <c:pt idx="0" formatCode="#,##0.00">
                  <c:v>6.3819999999999997E-3</c:v>
                </c:pt>
                <c:pt idx="1">
                  <c:v>6.4390000000000003E-3</c:v>
                </c:pt>
                <c:pt idx="2">
                  <c:v>6.4599999999999996E-3</c:v>
                </c:pt>
                <c:pt idx="3">
                  <c:v>6.509E-3</c:v>
                </c:pt>
                <c:pt idx="4">
                  <c:v>6.5570000000000003E-3</c:v>
                </c:pt>
                <c:pt idx="5">
                  <c:v>6.6119999999999998E-3</c:v>
                </c:pt>
                <c:pt idx="6">
                  <c:v>6.6039999999999996E-3</c:v>
                </c:pt>
              </c:numCache>
            </c:numRef>
          </c:val>
          <c:extLst>
            <c:ext xmlns:c16="http://schemas.microsoft.com/office/drawing/2014/chart" uri="{C3380CC4-5D6E-409C-BE32-E72D297353CC}">
              <c16:uniqueId val="{00000004-817E-43FC-B10E-C5864476272B}"/>
            </c:ext>
          </c:extLst>
        </c:ser>
        <c:dLbls>
          <c:showLegendKey val="0"/>
          <c:showVal val="0"/>
          <c:showCatName val="0"/>
          <c:showSerName val="0"/>
          <c:showPercent val="0"/>
          <c:showBubbleSize val="0"/>
        </c:dLbls>
        <c:gapWidth val="100"/>
        <c:overlap val="100"/>
        <c:axId val="2140354656"/>
        <c:axId val="2140355744"/>
      </c:barChart>
      <c:catAx>
        <c:axId val="2140354656"/>
        <c:scaling>
          <c:orientation val="minMax"/>
        </c:scaling>
        <c:delete val="0"/>
        <c:axPos val="b"/>
        <c:numFmt formatCode="###0" sourceLinked="1"/>
        <c:majorTickMark val="none"/>
        <c:minorTickMark val="none"/>
        <c:tickLblPos val="nextTo"/>
        <c:txPr>
          <a:bodyPr/>
          <a:lstStyle/>
          <a:p>
            <a:pPr>
              <a:defRPr sz="900"/>
            </a:pPr>
            <a:endParaRPr lang="fr-FR"/>
          </a:p>
        </c:txPr>
        <c:crossAx val="2140355744"/>
        <c:crosses val="autoZero"/>
        <c:auto val="1"/>
        <c:lblAlgn val="ctr"/>
        <c:lblOffset val="100"/>
        <c:noMultiLvlLbl val="0"/>
      </c:catAx>
      <c:valAx>
        <c:axId val="2140355744"/>
        <c:scaling>
          <c:orientation val="minMax"/>
          <c:max val="70"/>
          <c:min val="0"/>
        </c:scaling>
        <c:delete val="0"/>
        <c:axPos val="l"/>
        <c:majorGridlines>
          <c:spPr>
            <a:ln>
              <a:prstDash val="dash"/>
            </a:ln>
          </c:spPr>
        </c:majorGridlines>
        <c:numFmt formatCode="#,##0" sourceLinked="0"/>
        <c:majorTickMark val="none"/>
        <c:minorTickMark val="none"/>
        <c:tickLblPos val="nextTo"/>
        <c:txPr>
          <a:bodyPr/>
          <a:lstStyle/>
          <a:p>
            <a:pPr>
              <a:defRPr sz="900"/>
            </a:pPr>
            <a:endParaRPr lang="fr-FR"/>
          </a:p>
        </c:txPr>
        <c:crossAx val="2140354656"/>
        <c:crosses val="autoZero"/>
        <c:crossBetween val="between"/>
        <c:majorUnit val="10"/>
      </c:valAx>
    </c:plotArea>
    <c:legend>
      <c:legendPos val="b"/>
      <c:legendEntry>
        <c:idx val="0"/>
        <c:txPr>
          <a:bodyPr/>
          <a:lstStyle/>
          <a:p>
            <a:pPr>
              <a:defRPr sz="800"/>
            </a:pPr>
            <a:endParaRPr lang="fr-FR"/>
          </a:p>
        </c:txPr>
      </c:legendEntry>
      <c:legendEntry>
        <c:idx val="1"/>
        <c:txPr>
          <a:bodyPr/>
          <a:lstStyle/>
          <a:p>
            <a:pPr>
              <a:defRPr sz="800"/>
            </a:pPr>
            <a:endParaRPr lang="fr-FR"/>
          </a:p>
        </c:txPr>
      </c:legendEntry>
      <c:legendEntry>
        <c:idx val="2"/>
        <c:txPr>
          <a:bodyPr/>
          <a:lstStyle/>
          <a:p>
            <a:pPr>
              <a:defRPr sz="800"/>
            </a:pPr>
            <a:endParaRPr lang="fr-FR"/>
          </a:p>
        </c:txPr>
      </c:legendEntry>
      <c:legendEntry>
        <c:idx val="3"/>
        <c:txPr>
          <a:bodyPr/>
          <a:lstStyle/>
          <a:p>
            <a:pPr>
              <a:defRPr sz="800"/>
            </a:pPr>
            <a:endParaRPr lang="fr-FR"/>
          </a:p>
        </c:txPr>
      </c:legendEntry>
      <c:legendEntry>
        <c:idx val="4"/>
        <c:txPr>
          <a:bodyPr/>
          <a:lstStyle/>
          <a:p>
            <a:pPr>
              <a:defRPr sz="800"/>
            </a:pPr>
            <a:endParaRPr lang="fr-FR"/>
          </a:p>
        </c:txPr>
      </c:legendEntry>
      <c:layout>
        <c:manualLayout>
          <c:xMode val="edge"/>
          <c:yMode val="edge"/>
          <c:x val="1.4313671988189615E-2"/>
          <c:y val="0.8092423189748339"/>
          <c:w val="0.98568632801181033"/>
          <c:h val="0.17114983788791105"/>
        </c:manualLayout>
      </c:layout>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9509094962145"/>
          <c:y val="5.2943549966701926E-2"/>
          <c:w val="0.77562861536780148"/>
          <c:h val="0.78103777276614761"/>
        </c:manualLayout>
      </c:layout>
      <c:barChart>
        <c:barDir val="col"/>
        <c:grouping val="clustered"/>
        <c:varyColors val="0"/>
        <c:ser>
          <c:idx val="0"/>
          <c:order val="0"/>
          <c:tx>
            <c:strRef>
              <c:f>'1-1 Coll Terr'!$K$8</c:f>
              <c:strCache>
                <c:ptCount val="1"/>
                <c:pt idx="0">
                  <c:v>Nombre de communes</c:v>
                </c:pt>
              </c:strCache>
            </c:strRef>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4981-4347-BCDF-6CC1E44AFC18}"/>
                </c:ext>
              </c:extLst>
            </c:dLbl>
            <c:dLbl>
              <c:idx val="1"/>
              <c:delete val="1"/>
              <c:extLst>
                <c:ext xmlns:c15="http://schemas.microsoft.com/office/drawing/2012/chart" uri="{CE6537A1-D6FC-4f65-9D91-7224C49458BB}"/>
                <c:ext xmlns:c16="http://schemas.microsoft.com/office/drawing/2014/chart" uri="{C3380CC4-5D6E-409C-BE32-E72D297353CC}">
                  <c16:uniqueId val="{00000001-4981-4347-BCDF-6CC1E44AFC18}"/>
                </c:ext>
              </c:extLst>
            </c:dLbl>
            <c:dLbl>
              <c:idx val="2"/>
              <c:delete val="1"/>
              <c:extLst>
                <c:ext xmlns:c15="http://schemas.microsoft.com/office/drawing/2012/chart" uri="{CE6537A1-D6FC-4f65-9D91-7224C49458BB}"/>
                <c:ext xmlns:c16="http://schemas.microsoft.com/office/drawing/2014/chart" uri="{C3380CC4-5D6E-409C-BE32-E72D297353CC}">
                  <c16:uniqueId val="{00000002-4981-4347-BCDF-6CC1E44AFC18}"/>
                </c:ext>
              </c:extLst>
            </c:dLbl>
            <c:dLbl>
              <c:idx val="3"/>
              <c:delete val="1"/>
              <c:extLst>
                <c:ext xmlns:c15="http://schemas.microsoft.com/office/drawing/2012/chart" uri="{CE6537A1-D6FC-4f65-9D91-7224C49458BB}"/>
                <c:ext xmlns:c16="http://schemas.microsoft.com/office/drawing/2014/chart" uri="{C3380CC4-5D6E-409C-BE32-E72D297353CC}">
                  <c16:uniqueId val="{00000003-4981-4347-BCDF-6CC1E44AFC18}"/>
                </c:ext>
              </c:extLst>
            </c:dLbl>
            <c:dLbl>
              <c:idx val="4"/>
              <c:delete val="1"/>
              <c:extLst>
                <c:ext xmlns:c15="http://schemas.microsoft.com/office/drawing/2012/chart" uri="{CE6537A1-D6FC-4f65-9D91-7224C49458BB}"/>
                <c:ext xmlns:c16="http://schemas.microsoft.com/office/drawing/2014/chart" uri="{C3380CC4-5D6E-409C-BE32-E72D297353CC}">
                  <c16:uniqueId val="{00000004-4981-4347-BCDF-6CC1E44AFC18}"/>
                </c:ext>
              </c:extLst>
            </c:dLbl>
            <c:dLbl>
              <c:idx val="5"/>
              <c:delete val="1"/>
              <c:extLst>
                <c:ext xmlns:c15="http://schemas.microsoft.com/office/drawing/2012/chart" uri="{CE6537A1-D6FC-4f65-9D91-7224C49458BB}"/>
                <c:ext xmlns:c16="http://schemas.microsoft.com/office/drawing/2014/chart" uri="{C3380CC4-5D6E-409C-BE32-E72D297353CC}">
                  <c16:uniqueId val="{00000005-4981-4347-BCDF-6CC1E44AFC18}"/>
                </c:ext>
              </c:extLst>
            </c:dLbl>
            <c:dLbl>
              <c:idx val="6"/>
              <c:delete val="1"/>
              <c:extLst>
                <c:ext xmlns:c15="http://schemas.microsoft.com/office/drawing/2012/chart" uri="{CE6537A1-D6FC-4f65-9D91-7224C49458BB}"/>
                <c:ext xmlns:c16="http://schemas.microsoft.com/office/drawing/2014/chart" uri="{C3380CC4-5D6E-409C-BE32-E72D297353CC}">
                  <c16:uniqueId val="{00000006-4981-4347-BCDF-6CC1E44AFC18}"/>
                </c:ext>
              </c:extLst>
            </c:dLbl>
            <c:dLbl>
              <c:idx val="7"/>
              <c:delete val="1"/>
              <c:extLst>
                <c:ext xmlns:c15="http://schemas.microsoft.com/office/drawing/2012/chart" uri="{CE6537A1-D6FC-4f65-9D91-7224C49458BB}"/>
                <c:ext xmlns:c16="http://schemas.microsoft.com/office/drawing/2014/chart" uri="{C3380CC4-5D6E-409C-BE32-E72D297353CC}">
                  <c16:uniqueId val="{00000007-4981-4347-BCDF-6CC1E44AFC18}"/>
                </c:ext>
              </c:extLst>
            </c:dLbl>
            <c:dLbl>
              <c:idx val="8"/>
              <c:delete val="1"/>
              <c:extLst>
                <c:ext xmlns:c15="http://schemas.microsoft.com/office/drawing/2012/chart" uri="{CE6537A1-D6FC-4f65-9D91-7224C49458BB}"/>
                <c:ext xmlns:c16="http://schemas.microsoft.com/office/drawing/2014/chart" uri="{C3380CC4-5D6E-409C-BE32-E72D297353CC}">
                  <c16:uniqueId val="{00000008-4981-4347-BCDF-6CC1E44AFC18}"/>
                </c:ext>
              </c:extLst>
            </c:dLbl>
            <c:dLbl>
              <c:idx val="9"/>
              <c:delete val="1"/>
              <c:extLst>
                <c:ext xmlns:c15="http://schemas.microsoft.com/office/drawing/2012/chart" uri="{CE6537A1-D6FC-4f65-9D91-7224C49458BB}"/>
                <c:ext xmlns:c16="http://schemas.microsoft.com/office/drawing/2014/chart" uri="{C3380CC4-5D6E-409C-BE32-E72D297353CC}">
                  <c16:uniqueId val="{00000009-4981-4347-BCDF-6CC1E44AFC18}"/>
                </c:ext>
              </c:extLst>
            </c:dLbl>
            <c:dLbl>
              <c:idx val="10"/>
              <c:delete val="1"/>
              <c:extLst>
                <c:ext xmlns:c15="http://schemas.microsoft.com/office/drawing/2012/chart" uri="{CE6537A1-D6FC-4f65-9D91-7224C49458BB}"/>
                <c:ext xmlns:c16="http://schemas.microsoft.com/office/drawing/2014/chart" uri="{C3380CC4-5D6E-409C-BE32-E72D297353CC}">
                  <c16:uniqueId val="{0000000A-4981-4347-BCDF-6CC1E44AFC18}"/>
                </c:ext>
              </c:extLst>
            </c:dLbl>
            <c:dLbl>
              <c:idx val="11"/>
              <c:delete val="1"/>
              <c:extLst>
                <c:ext xmlns:c15="http://schemas.microsoft.com/office/drawing/2012/chart" uri="{CE6537A1-D6FC-4f65-9D91-7224C49458BB}"/>
                <c:ext xmlns:c16="http://schemas.microsoft.com/office/drawing/2014/chart" uri="{C3380CC4-5D6E-409C-BE32-E72D297353CC}">
                  <c16:uniqueId val="{0000000B-4981-4347-BCDF-6CC1E44AFC18}"/>
                </c:ext>
              </c:extLst>
            </c:dLbl>
            <c:dLbl>
              <c:idx val="12"/>
              <c:delete val="1"/>
              <c:extLst>
                <c:ext xmlns:c15="http://schemas.microsoft.com/office/drawing/2012/chart" uri="{CE6537A1-D6FC-4f65-9D91-7224C49458BB}"/>
                <c:ext xmlns:c16="http://schemas.microsoft.com/office/drawing/2014/chart" uri="{C3380CC4-5D6E-409C-BE32-E72D297353CC}">
                  <c16:uniqueId val="{0000000C-4981-4347-BCDF-6CC1E44AFC18}"/>
                </c:ext>
              </c:extLst>
            </c:dLbl>
            <c:dLbl>
              <c:idx val="13"/>
              <c:delete val="1"/>
              <c:extLst>
                <c:ext xmlns:c15="http://schemas.microsoft.com/office/drawing/2012/chart" uri="{CE6537A1-D6FC-4f65-9D91-7224C49458BB}"/>
                <c:ext xmlns:c16="http://schemas.microsoft.com/office/drawing/2014/chart" uri="{C3380CC4-5D6E-409C-BE32-E72D297353CC}">
                  <c16:uniqueId val="{0000000D-4981-4347-BCDF-6CC1E44AFC18}"/>
                </c:ext>
              </c:extLst>
            </c:dLbl>
            <c:dLbl>
              <c:idx val="14"/>
              <c:delete val="1"/>
              <c:extLst>
                <c:ext xmlns:c15="http://schemas.microsoft.com/office/drawing/2012/chart" uri="{CE6537A1-D6FC-4f65-9D91-7224C49458BB}"/>
                <c:ext xmlns:c16="http://schemas.microsoft.com/office/drawing/2014/chart" uri="{C3380CC4-5D6E-409C-BE32-E72D297353CC}">
                  <c16:uniqueId val="{0000000E-4981-4347-BCDF-6CC1E44AFC18}"/>
                </c:ext>
              </c:extLst>
            </c:dLbl>
            <c:dLbl>
              <c:idx val="15"/>
              <c:delete val="1"/>
              <c:extLst>
                <c:ext xmlns:c15="http://schemas.microsoft.com/office/drawing/2012/chart" uri="{CE6537A1-D6FC-4f65-9D91-7224C49458BB}"/>
                <c:ext xmlns:c16="http://schemas.microsoft.com/office/drawing/2014/chart" uri="{C3380CC4-5D6E-409C-BE32-E72D297353CC}">
                  <c16:uniqueId val="{0000000F-4981-4347-BCDF-6CC1E44AFC18}"/>
                </c:ext>
              </c:extLst>
            </c:dLbl>
            <c:dLbl>
              <c:idx val="16"/>
              <c:delete val="1"/>
              <c:extLst>
                <c:ext xmlns:c15="http://schemas.microsoft.com/office/drawing/2012/chart" uri="{CE6537A1-D6FC-4f65-9D91-7224C49458BB}"/>
                <c:ext xmlns:c16="http://schemas.microsoft.com/office/drawing/2014/chart" uri="{C3380CC4-5D6E-409C-BE32-E72D297353CC}">
                  <c16:uniqueId val="{00000010-4981-4347-BCDF-6CC1E44AFC18}"/>
                </c:ext>
              </c:extLst>
            </c:dLbl>
            <c:dLbl>
              <c:idx val="17"/>
              <c:delete val="1"/>
              <c:extLst>
                <c:ext xmlns:c15="http://schemas.microsoft.com/office/drawing/2012/chart" uri="{CE6537A1-D6FC-4f65-9D91-7224C49458BB}"/>
                <c:ext xmlns:c16="http://schemas.microsoft.com/office/drawing/2014/chart" uri="{C3380CC4-5D6E-409C-BE32-E72D297353CC}">
                  <c16:uniqueId val="{00000011-4981-4347-BCDF-6CC1E44AFC18}"/>
                </c:ext>
              </c:extLst>
            </c:dLbl>
            <c:dLbl>
              <c:idx val="18"/>
              <c:delete val="1"/>
              <c:extLst>
                <c:ext xmlns:c15="http://schemas.microsoft.com/office/drawing/2012/chart" uri="{CE6537A1-D6FC-4f65-9D91-7224C49458BB}"/>
                <c:ext xmlns:c16="http://schemas.microsoft.com/office/drawing/2014/chart" uri="{C3380CC4-5D6E-409C-BE32-E72D297353CC}">
                  <c16:uniqueId val="{00000012-4981-4347-BCDF-6CC1E44AFC18}"/>
                </c:ext>
              </c:extLst>
            </c:dLbl>
            <c:dLbl>
              <c:idx val="19"/>
              <c:delete val="1"/>
              <c:extLst>
                <c:ext xmlns:c15="http://schemas.microsoft.com/office/drawing/2012/chart" uri="{CE6537A1-D6FC-4f65-9D91-7224C49458BB}"/>
                <c:ext xmlns:c16="http://schemas.microsoft.com/office/drawing/2014/chart" uri="{C3380CC4-5D6E-409C-BE32-E72D297353CC}">
                  <c16:uniqueId val="{00000013-4981-4347-BCDF-6CC1E44AFC18}"/>
                </c:ext>
              </c:extLst>
            </c:dLbl>
            <c:spPr>
              <a:noFill/>
              <a:ln>
                <a:noFill/>
              </a:ln>
              <a:effectLst/>
            </c:spPr>
            <c:txPr>
              <a:bodyPr wrap="square" lIns="38100" tIns="19050" rIns="38100" bIns="19050" anchor="ctr">
                <a:spAutoFit/>
              </a:bodyPr>
              <a:lstStyle/>
              <a:p>
                <a:pPr>
                  <a:defRPr sz="900" i="1"/>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'1-1 Coll Terr'!$S$7:$AM$7</c:f>
              <c:numCache>
                <c:formatCode>###0</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'1-1 Coll Terr'!$S$8:$AM$8</c:f>
              <c:numCache>
                <c:formatCode>#,##0</c:formatCode>
                <c:ptCount val="21"/>
                <c:pt idx="0">
                  <c:v>36684</c:v>
                </c:pt>
                <c:pt idx="1">
                  <c:v>36683</c:v>
                </c:pt>
                <c:pt idx="2">
                  <c:v>36683</c:v>
                </c:pt>
                <c:pt idx="3">
                  <c:v>36682</c:v>
                </c:pt>
                <c:pt idx="4">
                  <c:v>36682</c:v>
                </c:pt>
                <c:pt idx="5">
                  <c:v>36680</c:v>
                </c:pt>
                <c:pt idx="6">
                  <c:v>36700</c:v>
                </c:pt>
                <c:pt idx="7">
                  <c:v>36681</c:v>
                </c:pt>
                <c:pt idx="8">
                  <c:v>36681</c:v>
                </c:pt>
                <c:pt idx="9">
                  <c:v>36658</c:v>
                </c:pt>
                <c:pt idx="10">
                  <c:v>35885</c:v>
                </c:pt>
                <c:pt idx="11">
                  <c:v>35416</c:v>
                </c:pt>
                <c:pt idx="12">
                  <c:v>35357</c:v>
                </c:pt>
                <c:pt idx="13">
                  <c:v>34970</c:v>
                </c:pt>
                <c:pt idx="14">
                  <c:v>34968</c:v>
                </c:pt>
                <c:pt idx="15">
                  <c:v>34965</c:v>
                </c:pt>
                <c:pt idx="16">
                  <c:v>34955</c:v>
                </c:pt>
                <c:pt idx="17">
                  <c:v>34945</c:v>
                </c:pt>
                <c:pt idx="18">
                  <c:v>34935</c:v>
                </c:pt>
                <c:pt idx="19">
                  <c:v>34875</c:v>
                </c:pt>
                <c:pt idx="20">
                  <c:v>34875</c:v>
                </c:pt>
              </c:numCache>
            </c:numRef>
          </c:val>
          <c:extLst>
            <c:ext xmlns:c16="http://schemas.microsoft.com/office/drawing/2014/chart" uri="{C3380CC4-5D6E-409C-BE32-E72D297353CC}">
              <c16:uniqueId val="{00000001-17E9-4600-82FD-EA76A53383AD}"/>
            </c:ext>
          </c:extLst>
        </c:ser>
        <c:dLbls>
          <c:showLegendKey val="0"/>
          <c:showVal val="0"/>
          <c:showCatName val="0"/>
          <c:showSerName val="0"/>
          <c:showPercent val="0"/>
          <c:showBubbleSize val="0"/>
        </c:dLbls>
        <c:gapWidth val="150"/>
        <c:axId val="1936220832"/>
        <c:axId val="1936215392"/>
      </c:barChart>
      <c:catAx>
        <c:axId val="1936220832"/>
        <c:scaling>
          <c:orientation val="minMax"/>
        </c:scaling>
        <c:delete val="0"/>
        <c:axPos val="b"/>
        <c:numFmt formatCode="###0" sourceLinked="1"/>
        <c:majorTickMark val="none"/>
        <c:minorTickMark val="none"/>
        <c:tickLblPos val="nextTo"/>
        <c:txPr>
          <a:bodyPr rot="0" anchor="t" anchorCtr="0"/>
          <a:lstStyle/>
          <a:p>
            <a:pPr>
              <a:defRPr sz="900"/>
            </a:pPr>
            <a:endParaRPr lang="fr-FR"/>
          </a:p>
        </c:txPr>
        <c:crossAx val="1936215392"/>
        <c:crosses val="autoZero"/>
        <c:auto val="1"/>
        <c:lblAlgn val="ctr"/>
        <c:lblOffset val="100"/>
        <c:tickLblSkip val="2"/>
        <c:noMultiLvlLbl val="0"/>
      </c:catAx>
      <c:valAx>
        <c:axId val="1936215392"/>
        <c:scaling>
          <c:orientation val="minMax"/>
          <c:max val="38000"/>
          <c:min val="0"/>
        </c:scaling>
        <c:delete val="0"/>
        <c:axPos val="l"/>
        <c:majorGridlines>
          <c:spPr>
            <a:ln>
              <a:prstDash val="sysDot"/>
            </a:ln>
          </c:spPr>
        </c:majorGridlines>
        <c:numFmt formatCode="#,##0" sourceLinked="1"/>
        <c:majorTickMark val="none"/>
        <c:minorTickMark val="none"/>
        <c:tickLblPos val="nextTo"/>
        <c:txPr>
          <a:bodyPr/>
          <a:lstStyle/>
          <a:p>
            <a:pPr>
              <a:defRPr sz="900"/>
            </a:pPr>
            <a:endParaRPr lang="fr-FR"/>
          </a:p>
        </c:txPr>
        <c:crossAx val="1936220832"/>
        <c:crosses val="autoZero"/>
        <c:crossBetween val="between"/>
        <c:majorUnit val="5000"/>
        <c:minorUnit val="2000"/>
      </c:valAx>
    </c:plotArea>
    <c:plotVisOnly val="1"/>
    <c:dispBlanksAs val="gap"/>
    <c:showDLblsOverMax val="0"/>
  </c:chart>
  <c:spPr>
    <a:ln>
      <a:noFill/>
    </a:ln>
  </c:spPr>
  <c:printSettings>
    <c:headerFooter/>
    <c:pageMargins b="0.75000000000000444" l="0.70000000000000062" r="0.70000000000000062" t="0.75000000000000444" header="0.30000000000000032" footer="0.30000000000000032"/>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79135903172842"/>
          <c:y val="9.0153591064230848E-2"/>
          <c:w val="0.78444340530645351"/>
          <c:h val="0.77379798392296795"/>
        </c:manualLayout>
      </c:layout>
      <c:lineChart>
        <c:grouping val="standard"/>
        <c:varyColors val="0"/>
        <c:ser>
          <c:idx val="0"/>
          <c:order val="0"/>
          <c:tx>
            <c:strRef>
              <c:f>'1-1 Coll Terr'!$K$24</c:f>
              <c:strCache>
                <c:ptCount val="1"/>
                <c:pt idx="0">
                  <c:v>Nombre d'EPCI à fiscalité propre</c:v>
                </c:pt>
              </c:strCache>
            </c:strRef>
          </c:tx>
          <c:marker>
            <c:symbol val="none"/>
          </c:marker>
          <c:dLbls>
            <c:dLbl>
              <c:idx val="5"/>
              <c:layout>
                <c:manualLayout>
                  <c:x val="-8.5504888723300282E-2"/>
                  <c:y val="-5.204401839831492E-2"/>
                </c:manualLayout>
              </c:layout>
              <c:spPr>
                <a:noFill/>
                <a:ln>
                  <a:noFill/>
                </a:ln>
                <a:effectLst/>
              </c:spPr>
              <c:txPr>
                <a:bodyPr wrap="square" lIns="38100" tIns="19050" rIns="38100" bIns="19050" anchor="ctr">
                  <a:spAutoFit/>
                </a:bodyPr>
                <a:lstStyle/>
                <a:p>
                  <a:pPr>
                    <a:defRPr sz="900" i="1"/>
                  </a:pPr>
                  <a:endParaRPr lang="fr-FR"/>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971-4A40-93CB-95725F3EE91B}"/>
                </c:ext>
              </c:extLst>
            </c:dLbl>
            <c:spPr>
              <a:noFill/>
              <a:ln>
                <a:noFill/>
              </a:ln>
              <a:effectLst/>
            </c:spPr>
            <c:txPr>
              <a:bodyPr wrap="square" lIns="38100" tIns="19050" rIns="38100" bIns="19050" anchor="ctr">
                <a:spAutoFit/>
              </a:bodyPr>
              <a:lstStyle/>
              <a:p>
                <a:pPr>
                  <a:defRPr i="1"/>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'1-1 Coll Terr'!$S$7:$AM$7</c:f>
              <c:numCache>
                <c:formatCode>###0</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'1-1 Coll Terr'!$S$24:$AM$24</c:f>
              <c:numCache>
                <c:formatCode>#,##0</c:formatCode>
                <c:ptCount val="21"/>
                <c:pt idx="0">
                  <c:v>2573</c:v>
                </c:pt>
                <c:pt idx="1">
                  <c:v>2588</c:v>
                </c:pt>
                <c:pt idx="2">
                  <c:v>2583</c:v>
                </c:pt>
                <c:pt idx="3">
                  <c:v>2601</c:v>
                </c:pt>
                <c:pt idx="4">
                  <c:v>2611</c:v>
                </c:pt>
                <c:pt idx="5">
                  <c:v>2599</c:v>
                </c:pt>
                <c:pt idx="6">
                  <c:v>2581</c:v>
                </c:pt>
                <c:pt idx="7">
                  <c:v>2456</c:v>
                </c:pt>
                <c:pt idx="8">
                  <c:v>2145</c:v>
                </c:pt>
                <c:pt idx="9">
                  <c:v>2133</c:v>
                </c:pt>
                <c:pt idx="10">
                  <c:v>2062</c:v>
                </c:pt>
                <c:pt idx="11">
                  <c:v>1266</c:v>
                </c:pt>
                <c:pt idx="12">
                  <c:v>1263</c:v>
                </c:pt>
                <c:pt idx="13">
                  <c:v>1258</c:v>
                </c:pt>
                <c:pt idx="14">
                  <c:v>1254</c:v>
                </c:pt>
                <c:pt idx="15">
                  <c:v>1253</c:v>
                </c:pt>
                <c:pt idx="16">
                  <c:v>1254</c:v>
                </c:pt>
                <c:pt idx="17">
                  <c:v>1254</c:v>
                </c:pt>
                <c:pt idx="18">
                  <c:v>1254</c:v>
                </c:pt>
                <c:pt idx="19">
                  <c:v>1254</c:v>
                </c:pt>
                <c:pt idx="20">
                  <c:v>1252</c:v>
                </c:pt>
              </c:numCache>
            </c:numRef>
          </c:val>
          <c:smooth val="0"/>
          <c:extLst>
            <c:ext xmlns:c16="http://schemas.microsoft.com/office/drawing/2014/chart" uri="{C3380CC4-5D6E-409C-BE32-E72D297353CC}">
              <c16:uniqueId val="{00000000-3634-464E-904B-517B542CEA90}"/>
            </c:ext>
          </c:extLst>
        </c:ser>
        <c:dLbls>
          <c:showLegendKey val="0"/>
          <c:showVal val="0"/>
          <c:showCatName val="0"/>
          <c:showSerName val="0"/>
          <c:showPercent val="0"/>
          <c:showBubbleSize val="0"/>
        </c:dLbls>
        <c:smooth val="0"/>
        <c:axId val="34790032"/>
        <c:axId val="34782416"/>
      </c:lineChart>
      <c:catAx>
        <c:axId val="34790032"/>
        <c:scaling>
          <c:orientation val="minMax"/>
        </c:scaling>
        <c:delete val="0"/>
        <c:axPos val="b"/>
        <c:numFmt formatCode="###0" sourceLinked="1"/>
        <c:majorTickMark val="none"/>
        <c:minorTickMark val="none"/>
        <c:tickLblPos val="nextTo"/>
        <c:txPr>
          <a:bodyPr/>
          <a:lstStyle/>
          <a:p>
            <a:pPr>
              <a:defRPr sz="900"/>
            </a:pPr>
            <a:endParaRPr lang="fr-FR"/>
          </a:p>
        </c:txPr>
        <c:crossAx val="34782416"/>
        <c:crosses val="autoZero"/>
        <c:auto val="1"/>
        <c:lblAlgn val="ctr"/>
        <c:lblOffset val="100"/>
        <c:tickLblSkip val="2"/>
        <c:noMultiLvlLbl val="0"/>
      </c:catAx>
      <c:valAx>
        <c:axId val="34782416"/>
        <c:scaling>
          <c:orientation val="minMax"/>
        </c:scaling>
        <c:delete val="0"/>
        <c:axPos val="l"/>
        <c:majorGridlines>
          <c:spPr>
            <a:ln>
              <a:prstDash val="dash"/>
            </a:ln>
          </c:spPr>
        </c:majorGridlines>
        <c:numFmt formatCode="#,##0" sourceLinked="1"/>
        <c:majorTickMark val="none"/>
        <c:minorTickMark val="none"/>
        <c:tickLblPos val="nextTo"/>
        <c:txPr>
          <a:bodyPr/>
          <a:lstStyle/>
          <a:p>
            <a:pPr>
              <a:defRPr sz="900"/>
            </a:pPr>
            <a:endParaRPr lang="fr-FR"/>
          </a:p>
        </c:txPr>
        <c:crossAx val="34790032"/>
        <c:crosses val="autoZero"/>
        <c:crossBetween val="between"/>
      </c:valAx>
    </c:plotArea>
    <c:plotVisOnly val="1"/>
    <c:dispBlanksAs val="gap"/>
    <c:showDLblsOverMax val="0"/>
  </c:chart>
  <c:spPr>
    <a:ln>
      <a:noFill/>
    </a:ln>
  </c:spPr>
  <c:printSettings>
    <c:headerFooter/>
    <c:pageMargins b="0.75000000000000466" l="0.70000000000000062" r="0.70000000000000062" t="0.75000000000000466" header="0.30000000000000032" footer="0.30000000000000032"/>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303951210033612E-2"/>
          <c:y val="4.1459954705838187E-2"/>
          <c:w val="0.95772238052795755"/>
          <c:h val="0.74103422712144362"/>
        </c:manualLayout>
      </c:layout>
      <c:barChart>
        <c:barDir val="col"/>
        <c:grouping val="clustered"/>
        <c:varyColors val="0"/>
        <c:ser>
          <c:idx val="0"/>
          <c:order val="0"/>
          <c:tx>
            <c:strRef>
              <c:f>'1-2 finances'!$I$3</c:f>
              <c:strCache>
                <c:ptCount val="1"/>
                <c:pt idx="0">
                  <c:v>2021</c:v>
                </c:pt>
              </c:strCache>
            </c:strRef>
          </c:tx>
          <c:spPr>
            <a:solidFill>
              <a:schemeClr val="accent1">
                <a:lumMod val="20000"/>
                <a:lumOff val="80000"/>
              </a:schemeClr>
            </a:solidFill>
            <a:ln>
              <a:solidFill>
                <a:prstClr val="black"/>
              </a:solidFill>
            </a:ln>
          </c:spPr>
          <c:invertIfNegative val="0"/>
          <c:dLbls>
            <c:delete val="1"/>
          </c:dLbls>
          <c:cat>
            <c:strRef>
              <c:f>'1-2 finances'!$H$4:$H$9</c:f>
              <c:strCache>
                <c:ptCount val="6"/>
                <c:pt idx="0">
                  <c:v>Dépenses de 
fonctionnement</c:v>
                </c:pt>
                <c:pt idx="1">
                  <c:v>Recettes de 
fonctionnement</c:v>
                </c:pt>
                <c:pt idx="2">
                  <c:v>Épargne 
brute</c:v>
                </c:pt>
                <c:pt idx="3">
                  <c:v>Dépenses 
d'investissement</c:v>
                </c:pt>
                <c:pt idx="4">
                  <c:v>Recettes 
d'investissement</c:v>
                </c:pt>
                <c:pt idx="5">
                  <c:v>Encours 
de dette</c:v>
                </c:pt>
              </c:strCache>
            </c:strRef>
          </c:cat>
          <c:val>
            <c:numRef>
              <c:f>'1-2 finances'!$I$4:$I$9</c:f>
              <c:numCache>
                <c:formatCode>\+0.0%;\-0.0%</c:formatCode>
                <c:ptCount val="6"/>
                <c:pt idx="0">
                  <c:v>2.4688921098555694E-2</c:v>
                </c:pt>
                <c:pt idx="1">
                  <c:v>4.9489779130194922E-2</c:v>
                </c:pt>
                <c:pt idx="2">
                  <c:v>0.19151674355267745</c:v>
                </c:pt>
                <c:pt idx="3">
                  <c:v>5.7910083233776444E-2</c:v>
                </c:pt>
                <c:pt idx="4">
                  <c:v>4.0873046912802025E-2</c:v>
                </c:pt>
                <c:pt idx="5">
                  <c:v>1.7125070585533697E-2</c:v>
                </c:pt>
              </c:numCache>
            </c:numRef>
          </c:val>
          <c:extLst>
            <c:ext xmlns:c16="http://schemas.microsoft.com/office/drawing/2014/chart" uri="{C3380CC4-5D6E-409C-BE32-E72D297353CC}">
              <c16:uniqueId val="{00000000-8A38-4EB1-A76B-ACE96A6E2A75}"/>
            </c:ext>
          </c:extLst>
        </c:ser>
        <c:ser>
          <c:idx val="1"/>
          <c:order val="1"/>
          <c:tx>
            <c:strRef>
              <c:f>'1-2 finances'!$J$3</c:f>
              <c:strCache>
                <c:ptCount val="1"/>
                <c:pt idx="0">
                  <c:v>2022</c:v>
                </c:pt>
              </c:strCache>
            </c:strRef>
          </c:tx>
          <c:spPr>
            <a:solidFill>
              <a:schemeClr val="accent1">
                <a:lumMod val="40000"/>
                <a:lumOff val="60000"/>
              </a:schemeClr>
            </a:solidFill>
            <a:ln>
              <a:solidFill>
                <a:prstClr val="black"/>
              </a:solidFill>
            </a:ln>
          </c:spPr>
          <c:invertIfNegative val="0"/>
          <c:dLbls>
            <c:delete val="1"/>
          </c:dLbls>
          <c:cat>
            <c:strRef>
              <c:f>'1-2 finances'!$H$4:$H$9</c:f>
              <c:strCache>
                <c:ptCount val="6"/>
                <c:pt idx="0">
                  <c:v>Dépenses de 
fonctionnement</c:v>
                </c:pt>
                <c:pt idx="1">
                  <c:v>Recettes de 
fonctionnement</c:v>
                </c:pt>
                <c:pt idx="2">
                  <c:v>Épargne 
brute</c:v>
                </c:pt>
                <c:pt idx="3">
                  <c:v>Dépenses 
d'investissement</c:v>
                </c:pt>
                <c:pt idx="4">
                  <c:v>Recettes 
d'investissement</c:v>
                </c:pt>
                <c:pt idx="5">
                  <c:v>Encours 
de dette</c:v>
                </c:pt>
              </c:strCache>
            </c:strRef>
          </c:cat>
          <c:val>
            <c:numRef>
              <c:f>'1-2 finances'!$J$4:$J$9</c:f>
              <c:numCache>
                <c:formatCode>\+0.0%;\-0.0%</c:formatCode>
                <c:ptCount val="6"/>
                <c:pt idx="0">
                  <c:v>4.5028892418324862E-2</c:v>
                </c:pt>
                <c:pt idx="1">
                  <c:v>4.7080227253097684E-2</c:v>
                </c:pt>
                <c:pt idx="2">
                  <c:v>5.7182812957479401E-2</c:v>
                </c:pt>
                <c:pt idx="3">
                  <c:v>6.8250012676894345E-2</c:v>
                </c:pt>
                <c:pt idx="4">
                  <c:v>3.9468022297546534E-2</c:v>
                </c:pt>
                <c:pt idx="5">
                  <c:v>1.052623043127987E-2</c:v>
                </c:pt>
              </c:numCache>
            </c:numRef>
          </c:val>
          <c:extLst>
            <c:ext xmlns:c16="http://schemas.microsoft.com/office/drawing/2014/chart" uri="{C3380CC4-5D6E-409C-BE32-E72D297353CC}">
              <c16:uniqueId val="{00000001-8A38-4EB1-A76B-ACE96A6E2A75}"/>
            </c:ext>
          </c:extLst>
        </c:ser>
        <c:ser>
          <c:idx val="2"/>
          <c:order val="2"/>
          <c:tx>
            <c:strRef>
              <c:f>'1-2 finances'!$K$3</c:f>
              <c:strCache>
                <c:ptCount val="1"/>
                <c:pt idx="0">
                  <c:v>2023</c:v>
                </c:pt>
              </c:strCache>
            </c:strRef>
          </c:tx>
          <c:spPr>
            <a:solidFill>
              <a:schemeClr val="accent1">
                <a:lumMod val="60000"/>
                <a:lumOff val="40000"/>
              </a:schemeClr>
            </a:solidFill>
            <a:ln>
              <a:solidFill>
                <a:schemeClr val="tx1"/>
              </a:solidFill>
            </a:ln>
          </c:spPr>
          <c:invertIfNegative val="0"/>
          <c:dLbls>
            <c:delete val="1"/>
          </c:dLbls>
          <c:cat>
            <c:strRef>
              <c:f>'1-2 finances'!$H$4:$H$9</c:f>
              <c:strCache>
                <c:ptCount val="6"/>
                <c:pt idx="0">
                  <c:v>Dépenses de 
fonctionnement</c:v>
                </c:pt>
                <c:pt idx="1">
                  <c:v>Recettes de 
fonctionnement</c:v>
                </c:pt>
                <c:pt idx="2">
                  <c:v>Épargne 
brute</c:v>
                </c:pt>
                <c:pt idx="3">
                  <c:v>Dépenses 
d'investissement</c:v>
                </c:pt>
                <c:pt idx="4">
                  <c:v>Recettes 
d'investissement</c:v>
                </c:pt>
                <c:pt idx="5">
                  <c:v>Encours 
de dette</c:v>
                </c:pt>
              </c:strCache>
            </c:strRef>
          </c:cat>
          <c:val>
            <c:numRef>
              <c:f>'1-2 finances'!$K$4:$K$9</c:f>
              <c:numCache>
                <c:formatCode>\+0.0%;\-0.0%</c:formatCode>
                <c:ptCount val="6"/>
                <c:pt idx="0">
                  <c:v>5.9143506481869057E-2</c:v>
                </c:pt>
                <c:pt idx="1">
                  <c:v>3.3624000992093617E-2</c:v>
                </c:pt>
                <c:pt idx="2">
                  <c:v>-9.0611709430456266E-2</c:v>
                </c:pt>
                <c:pt idx="3">
                  <c:v>6.7412741003011423E-2</c:v>
                </c:pt>
                <c:pt idx="4">
                  <c:v>7.9802141629963241E-2</c:v>
                </c:pt>
                <c:pt idx="5">
                  <c:v>9.9064955530798748E-3</c:v>
                </c:pt>
              </c:numCache>
            </c:numRef>
          </c:val>
          <c:extLst>
            <c:ext xmlns:c16="http://schemas.microsoft.com/office/drawing/2014/chart" uri="{C3380CC4-5D6E-409C-BE32-E72D297353CC}">
              <c16:uniqueId val="{00000002-8A38-4EB1-A76B-ACE96A6E2A75}"/>
            </c:ext>
          </c:extLst>
        </c:ser>
        <c:ser>
          <c:idx val="3"/>
          <c:order val="3"/>
          <c:tx>
            <c:strRef>
              <c:f>'1-2 finances'!$L$3</c:f>
              <c:strCache>
                <c:ptCount val="1"/>
                <c:pt idx="0">
                  <c:v>2024</c:v>
                </c:pt>
              </c:strCache>
            </c:strRef>
          </c:tx>
          <c:spPr>
            <a:solidFill>
              <a:schemeClr val="accent1">
                <a:lumMod val="50000"/>
              </a:schemeClr>
            </a:solidFill>
            <a:ln>
              <a:solidFill>
                <a:prstClr val="black"/>
              </a:solidFill>
            </a:ln>
          </c:spPr>
          <c:invertIfNegative val="0"/>
          <c:dLbls>
            <c:delete val="1"/>
          </c:dLbls>
          <c:cat>
            <c:strRef>
              <c:f>'1-2 finances'!$H$4:$H$9</c:f>
              <c:strCache>
                <c:ptCount val="6"/>
                <c:pt idx="0">
                  <c:v>Dépenses de 
fonctionnement</c:v>
                </c:pt>
                <c:pt idx="1">
                  <c:v>Recettes de 
fonctionnement</c:v>
                </c:pt>
                <c:pt idx="2">
                  <c:v>Épargne 
brute</c:v>
                </c:pt>
                <c:pt idx="3">
                  <c:v>Dépenses 
d'investissement</c:v>
                </c:pt>
                <c:pt idx="4">
                  <c:v>Recettes 
d'investissement</c:v>
                </c:pt>
                <c:pt idx="5">
                  <c:v>Encours 
de dette</c:v>
                </c:pt>
              </c:strCache>
            </c:strRef>
          </c:cat>
          <c:val>
            <c:numRef>
              <c:f>'1-2 finances'!$L$4:$L$9</c:f>
              <c:numCache>
                <c:formatCode>\+0.0%;\-0.0%</c:formatCode>
                <c:ptCount val="6"/>
                <c:pt idx="0">
                  <c:v>4.0511696745314074E-2</c:v>
                </c:pt>
                <c:pt idx="1">
                  <c:v>2.2875525233708061E-2</c:v>
                </c:pt>
                <c:pt idx="2">
                  <c:v>-7.712078083734053E-2</c:v>
                </c:pt>
                <c:pt idx="3">
                  <c:v>6.9809525612863466E-2</c:v>
                </c:pt>
                <c:pt idx="4">
                  <c:v>4.7884128643166379E-2</c:v>
                </c:pt>
                <c:pt idx="5">
                  <c:v>4.1681007579581264E-2</c:v>
                </c:pt>
              </c:numCache>
            </c:numRef>
          </c:val>
          <c:extLst>
            <c:ext xmlns:c16="http://schemas.microsoft.com/office/drawing/2014/chart" uri="{C3380CC4-5D6E-409C-BE32-E72D297353CC}">
              <c16:uniqueId val="{00000005-8A38-4EB1-A76B-ACE96A6E2A75}"/>
            </c:ext>
          </c:extLst>
        </c:ser>
        <c:ser>
          <c:idx val="4"/>
          <c:order val="4"/>
          <c:tx>
            <c:strRef>
              <c:f>'1-2 finances'!$M$3</c:f>
              <c:strCache>
                <c:ptCount val="1"/>
                <c:pt idx="0">
                  <c:v>2025</c:v>
                </c:pt>
              </c:strCache>
            </c:strRef>
          </c:tx>
          <c:invertIfNegative val="0"/>
          <c:dLbls>
            <c:dLbl>
              <c:idx val="0"/>
              <c:layout>
                <c:manualLayout>
                  <c:x val="1.8880392712168413E-3"/>
                  <c:y val="-2.761954082513378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BA6-450E-A7D4-B4CE7EB9F462}"/>
                </c:ext>
              </c:extLst>
            </c:dLbl>
            <c:dLbl>
              <c:idx val="1"/>
              <c:layout>
                <c:manualLayout>
                  <c:x val="0"/>
                  <c:y val="-2.07146556188503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BA6-450E-A7D4-B4CE7EB9F462}"/>
                </c:ext>
              </c:extLst>
            </c:dLbl>
            <c:dLbl>
              <c:idx val="2"/>
              <c:layout>
                <c:manualLayout>
                  <c:x val="5.6641178136505243E-3"/>
                  <c:y val="-3.107198342827550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BA6-450E-A7D4-B4CE7EB9F462}"/>
                </c:ext>
              </c:extLst>
            </c:dLbl>
            <c:dLbl>
              <c:idx val="4"/>
              <c:layout>
                <c:manualLayout>
                  <c:x val="-1.3845461378305514E-16"/>
                  <c:y val="-0.1277403763162437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BA6-450E-A7D4-B4CE7EB9F46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'1-2 finances'!$H$4:$H$9</c:f>
              <c:strCache>
                <c:ptCount val="6"/>
                <c:pt idx="0">
                  <c:v>Dépenses de 
fonctionnement</c:v>
                </c:pt>
                <c:pt idx="1">
                  <c:v>Recettes de 
fonctionnement</c:v>
                </c:pt>
                <c:pt idx="2">
                  <c:v>Épargne 
brute</c:v>
                </c:pt>
                <c:pt idx="3">
                  <c:v>Dépenses 
d'investissement</c:v>
                </c:pt>
                <c:pt idx="4">
                  <c:v>Recettes 
d'investissement</c:v>
                </c:pt>
                <c:pt idx="5">
                  <c:v>Encours 
de dette</c:v>
                </c:pt>
              </c:strCache>
            </c:strRef>
          </c:cat>
          <c:val>
            <c:numRef>
              <c:f>'1-2 finances'!$M$4:$M$9</c:f>
              <c:numCache>
                <c:formatCode>\+0.0%;\-0.0%</c:formatCode>
                <c:ptCount val="6"/>
                <c:pt idx="0">
                  <c:v>1.3718183350966529E-2</c:v>
                </c:pt>
                <c:pt idx="1">
                  <c:v>2.2469150241587021E-2</c:v>
                </c:pt>
                <c:pt idx="2">
                  <c:v>7.8411123816856554E-2</c:v>
                </c:pt>
                <c:pt idx="3">
                  <c:v>1.7427488921544665E-2</c:v>
                </c:pt>
                <c:pt idx="4">
                  <c:v>1.4255023496672514E-2</c:v>
                </c:pt>
                <c:pt idx="5">
                  <c:v>4.4496674056353047E-2</c:v>
                </c:pt>
              </c:numCache>
            </c:numRef>
          </c:val>
          <c:extLst>
            <c:ext xmlns:c16="http://schemas.microsoft.com/office/drawing/2014/chart" uri="{C3380CC4-5D6E-409C-BE32-E72D297353CC}">
              <c16:uniqueId val="{00000004-CBA6-450E-A7D4-B4CE7EB9F462}"/>
            </c:ext>
          </c:extLst>
        </c:ser>
        <c:dLbls>
          <c:showLegendKey val="0"/>
          <c:showVal val="1"/>
          <c:showCatName val="0"/>
          <c:showSerName val="0"/>
          <c:showPercent val="0"/>
          <c:showBubbleSize val="0"/>
        </c:dLbls>
        <c:gapWidth val="156"/>
        <c:axId val="34792752"/>
        <c:axId val="34796016"/>
      </c:barChart>
      <c:catAx>
        <c:axId val="34792752"/>
        <c:scaling>
          <c:orientation val="minMax"/>
        </c:scaling>
        <c:delete val="0"/>
        <c:axPos val="b"/>
        <c:majorGridlines/>
        <c:numFmt formatCode="General" sourceLinked="0"/>
        <c:majorTickMark val="cross"/>
        <c:minorTickMark val="none"/>
        <c:tickLblPos val="low"/>
        <c:spPr>
          <a:solidFill>
            <a:schemeClr val="bg1"/>
          </a:solidFill>
        </c:spPr>
        <c:txPr>
          <a:bodyPr rot="0" vert="horz"/>
          <a:lstStyle/>
          <a:p>
            <a:pPr>
              <a:defRPr sz="1000" b="1"/>
            </a:pPr>
            <a:endParaRPr lang="fr-FR"/>
          </a:p>
        </c:txPr>
        <c:crossAx val="34796016"/>
        <c:crosses val="autoZero"/>
        <c:auto val="1"/>
        <c:lblAlgn val="ctr"/>
        <c:lblOffset val="100"/>
        <c:tickLblSkip val="1"/>
        <c:noMultiLvlLbl val="0"/>
      </c:catAx>
      <c:valAx>
        <c:axId val="34796016"/>
        <c:scaling>
          <c:orientation val="minMax"/>
          <c:max val="0.2"/>
          <c:min val="-0.15000000000000002"/>
        </c:scaling>
        <c:delete val="0"/>
        <c:axPos val="l"/>
        <c:numFmt formatCode="\+0%;\-0%" sourceLinked="0"/>
        <c:majorTickMark val="out"/>
        <c:minorTickMark val="none"/>
        <c:tickLblPos val="nextTo"/>
        <c:crossAx val="34792752"/>
        <c:crosses val="autoZero"/>
        <c:crossBetween val="between"/>
        <c:majorUnit val="5.000000000000001E-2"/>
      </c:valAx>
    </c:plotArea>
    <c:legend>
      <c:legendPos val="b"/>
      <c:layout/>
      <c:overlay val="0"/>
      <c:txPr>
        <a:bodyPr/>
        <a:lstStyle/>
        <a:p>
          <a:pPr>
            <a:defRPr sz="1100"/>
          </a:pPr>
          <a:endParaRPr lang="fr-FR"/>
        </a:p>
      </c:txPr>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0321741032370955E-2"/>
          <c:y val="6.782829565659132E-2"/>
          <c:w val="0.56412270341207349"/>
          <c:h val="0.88757601561487065"/>
        </c:manualLayout>
      </c:layout>
      <c:lineChart>
        <c:grouping val="standard"/>
        <c:varyColors val="0"/>
        <c:ser>
          <c:idx val="0"/>
          <c:order val="0"/>
          <c:tx>
            <c:strRef>
              <c:f>'1-3 fiscalité'!$H$9</c:f>
              <c:strCache>
                <c:ptCount val="1"/>
                <c:pt idx="0">
                  <c:v>Foncier bâti (FB)</c:v>
                </c:pt>
              </c:strCache>
            </c:strRef>
          </c:tx>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fiscalité'!$I$9:$P$9</c:f>
              <c:numCache>
                <c:formatCode>0.00</c:formatCode>
                <c:ptCount val="8"/>
                <c:pt idx="0">
                  <c:v>33.627877290999997</c:v>
                </c:pt>
                <c:pt idx="1">
                  <c:v>34.525962735</c:v>
                </c:pt>
                <c:pt idx="2">
                  <c:v>35.263726094999996</c:v>
                </c:pt>
                <c:pt idx="3">
                  <c:v>34.298171539000002</c:v>
                </c:pt>
                <c:pt idx="4">
                  <c:v>36.225000000000001</c:v>
                </c:pt>
                <c:pt idx="5">
                  <c:v>39.817999999999998</c:v>
                </c:pt>
                <c:pt idx="6">
                  <c:v>41.946023789000002</c:v>
                </c:pt>
                <c:pt idx="7">
                  <c:v>43.113139080999993</c:v>
                </c:pt>
              </c:numCache>
            </c:numRef>
          </c:val>
          <c:smooth val="0"/>
          <c:extLst>
            <c:ext xmlns:c16="http://schemas.microsoft.com/office/drawing/2014/chart" uri="{C3380CC4-5D6E-409C-BE32-E72D297353CC}">
              <c16:uniqueId val="{00000000-C726-4429-9146-A6402C150920}"/>
            </c:ext>
          </c:extLst>
        </c:ser>
        <c:ser>
          <c:idx val="1"/>
          <c:order val="1"/>
          <c:tx>
            <c:strRef>
              <c:f>'1-3 fiscalité'!$H$10</c:f>
              <c:strCache>
                <c:ptCount val="1"/>
                <c:pt idx="0">
                  <c:v>Taxe d'habitation (TH)</c:v>
                </c:pt>
              </c:strCache>
            </c:strRef>
          </c:tx>
          <c:spPr>
            <a:ln>
              <a:solidFill>
                <a:schemeClr val="accent1">
                  <a:lumMod val="60000"/>
                  <a:lumOff val="40000"/>
                </a:schemeClr>
              </a:solidFill>
            </a:ln>
          </c:spPr>
          <c:marker>
            <c:spPr>
              <a:solidFill>
                <a:schemeClr val="accent1">
                  <a:lumMod val="60000"/>
                  <a:lumOff val="40000"/>
                </a:schemeClr>
              </a:solidFill>
              <a:ln>
                <a:solidFill>
                  <a:srgbClr val="4F81BD">
                    <a:lumMod val="60000"/>
                    <a:lumOff val="40000"/>
                  </a:srgbClr>
                </a:solidFill>
              </a:ln>
            </c:spPr>
          </c:marker>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fiscalité'!$I$10:$P$10</c:f>
              <c:numCache>
                <c:formatCode>0.00</c:formatCode>
                <c:ptCount val="8"/>
                <c:pt idx="0">
                  <c:v>22.696573219999998</c:v>
                </c:pt>
                <c:pt idx="1">
                  <c:v>23.443203732999997</c:v>
                </c:pt>
                <c:pt idx="2">
                  <c:v>23.793444011999998</c:v>
                </c:pt>
                <c:pt idx="3">
                  <c:v>2.7591212989999998</c:v>
                </c:pt>
                <c:pt idx="4">
                  <c:v>2.8220000000000001</c:v>
                </c:pt>
                <c:pt idx="5">
                  <c:v>3.7839999999999998</c:v>
                </c:pt>
                <c:pt idx="6">
                  <c:v>3.723320781</c:v>
                </c:pt>
                <c:pt idx="7">
                  <c:v>3.0130551460000001</c:v>
                </c:pt>
              </c:numCache>
            </c:numRef>
          </c:val>
          <c:smooth val="0"/>
          <c:extLst>
            <c:ext xmlns:c16="http://schemas.microsoft.com/office/drawing/2014/chart" uri="{C3380CC4-5D6E-409C-BE32-E72D297353CC}">
              <c16:uniqueId val="{00000001-C726-4429-9146-A6402C150920}"/>
            </c:ext>
          </c:extLst>
        </c:ser>
        <c:ser>
          <c:idx val="2"/>
          <c:order val="2"/>
          <c:tx>
            <c:strRef>
              <c:f>'1-3 fiscalité'!$H$11</c:f>
              <c:strCache>
                <c:ptCount val="1"/>
                <c:pt idx="0">
                  <c:v>CVAE</c:v>
                </c:pt>
              </c:strCache>
            </c:strRef>
          </c:tx>
          <c:spPr>
            <a:ln>
              <a:solidFill>
                <a:schemeClr val="accent1">
                  <a:lumMod val="40000"/>
                  <a:lumOff val="60000"/>
                </a:schemeClr>
              </a:solidFill>
            </a:ln>
          </c:spPr>
          <c:marker>
            <c:spPr>
              <a:solidFill>
                <a:schemeClr val="accent1">
                  <a:lumMod val="20000"/>
                  <a:lumOff val="80000"/>
                </a:schemeClr>
              </a:solidFill>
            </c:spPr>
          </c:marker>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fiscalité'!$I$11:$P$11</c:f>
              <c:numCache>
                <c:formatCode>0.00</c:formatCode>
                <c:ptCount val="8"/>
                <c:pt idx="0">
                  <c:v>17.724853929000002</c:v>
                </c:pt>
                <c:pt idx="1">
                  <c:v>18.924924317000002</c:v>
                </c:pt>
                <c:pt idx="2">
                  <c:v>19.490456426000001</c:v>
                </c:pt>
                <c:pt idx="3">
                  <c:v>9.6391450640000009</c:v>
                </c:pt>
                <c:pt idx="4">
                  <c:v>9.3239999999999998</c:v>
                </c:pt>
                <c:pt idx="5">
                  <c:v>0</c:v>
                </c:pt>
                <c:pt idx="6">
                  <c:v>0</c:v>
                </c:pt>
                <c:pt idx="7">
                  <c:v>0</c:v>
                </c:pt>
              </c:numCache>
            </c:numRef>
          </c:val>
          <c:smooth val="0"/>
          <c:extLst>
            <c:ext xmlns:c16="http://schemas.microsoft.com/office/drawing/2014/chart" uri="{C3380CC4-5D6E-409C-BE32-E72D297353CC}">
              <c16:uniqueId val="{00000002-C726-4429-9146-A6402C150920}"/>
            </c:ext>
          </c:extLst>
        </c:ser>
        <c:ser>
          <c:idx val="3"/>
          <c:order val="3"/>
          <c:tx>
            <c:strRef>
              <c:f>'1-3 fiscalité'!$H$12</c:f>
              <c:strCache>
                <c:ptCount val="1"/>
                <c:pt idx="0">
                  <c:v>DMTO</c:v>
                </c:pt>
              </c:strCache>
            </c:strRef>
          </c:tx>
          <c:spPr>
            <a:ln>
              <a:solidFill>
                <a:schemeClr val="accent1">
                  <a:lumMod val="50000"/>
                </a:schemeClr>
              </a:solidFill>
            </a:ln>
          </c:spPr>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fiscalité'!$I$12:$P$12</c:f>
              <c:numCache>
                <c:formatCode>0.00</c:formatCode>
                <c:ptCount val="8"/>
                <c:pt idx="0">
                  <c:v>14.860513750999999</c:v>
                </c:pt>
                <c:pt idx="1">
                  <c:v>16.363453015000001</c:v>
                </c:pt>
                <c:pt idx="2">
                  <c:v>16.047025668</c:v>
                </c:pt>
                <c:pt idx="3">
                  <c:v>19.974805908</c:v>
                </c:pt>
                <c:pt idx="4">
                  <c:v>20.596025236999999</c:v>
                </c:pt>
                <c:pt idx="5">
                  <c:v>16.307887741999998</c:v>
                </c:pt>
                <c:pt idx="6">
                  <c:v>14.092529129000001</c:v>
                </c:pt>
                <c:pt idx="7">
                  <c:v>16.70340022373</c:v>
                </c:pt>
              </c:numCache>
            </c:numRef>
          </c:val>
          <c:smooth val="0"/>
          <c:extLst>
            <c:ext xmlns:c16="http://schemas.microsoft.com/office/drawing/2014/chart" uri="{C3380CC4-5D6E-409C-BE32-E72D297353CC}">
              <c16:uniqueId val="{00000003-C726-4429-9146-A6402C150920}"/>
            </c:ext>
          </c:extLst>
        </c:ser>
        <c:ser>
          <c:idx val="4"/>
          <c:order val="4"/>
          <c:tx>
            <c:strRef>
              <c:f>'1-3 fiscalité'!$H$13</c:f>
              <c:strCache>
                <c:ptCount val="1"/>
                <c:pt idx="0">
                  <c:v>TICPE</c:v>
                </c:pt>
              </c:strCache>
            </c:strRef>
          </c:tx>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fiscalité'!$I$13:$P$13</c:f>
              <c:numCache>
                <c:formatCode>0.00</c:formatCode>
                <c:ptCount val="8"/>
                <c:pt idx="0">
                  <c:v>11.744697689000001</c:v>
                </c:pt>
                <c:pt idx="1">
                  <c:v>11.658701202</c:v>
                </c:pt>
                <c:pt idx="2">
                  <c:v>10.759676133999999</c:v>
                </c:pt>
                <c:pt idx="3">
                  <c:v>10.956508055</c:v>
                </c:pt>
                <c:pt idx="4">
                  <c:v>10.889453903</c:v>
                </c:pt>
                <c:pt idx="5">
                  <c:v>10.971917055</c:v>
                </c:pt>
                <c:pt idx="6">
                  <c:v>11.701091533</c:v>
                </c:pt>
                <c:pt idx="7">
                  <c:v>11.934268136939998</c:v>
                </c:pt>
              </c:numCache>
            </c:numRef>
          </c:val>
          <c:smooth val="0"/>
          <c:extLst>
            <c:ext xmlns:c16="http://schemas.microsoft.com/office/drawing/2014/chart" uri="{C3380CC4-5D6E-409C-BE32-E72D297353CC}">
              <c16:uniqueId val="{00000004-C726-4429-9146-A6402C150920}"/>
            </c:ext>
          </c:extLst>
        </c:ser>
        <c:ser>
          <c:idx val="5"/>
          <c:order val="5"/>
          <c:tx>
            <c:strRef>
              <c:f>'1-3 fiscalité'!$H$14</c:f>
              <c:strCache>
                <c:ptCount val="1"/>
                <c:pt idx="0">
                  <c:v>CFE</c:v>
                </c:pt>
              </c:strCache>
            </c:strRef>
          </c:tx>
          <c:spPr>
            <a:ln>
              <a:solidFill>
                <a:schemeClr val="accent1">
                  <a:lumMod val="40000"/>
                  <a:lumOff val="60000"/>
                </a:schemeClr>
              </a:solidFill>
            </a:ln>
          </c:spPr>
          <c:marker>
            <c:spPr>
              <a:solidFill>
                <a:schemeClr val="accent1">
                  <a:lumMod val="60000"/>
                  <a:lumOff val="40000"/>
                </a:schemeClr>
              </a:solidFill>
              <a:ln>
                <a:solidFill>
                  <a:srgbClr val="4F81BD">
                    <a:lumMod val="40000"/>
                    <a:lumOff val="60000"/>
                  </a:srgbClr>
                </a:solidFill>
              </a:ln>
            </c:spPr>
          </c:marker>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fiscalité'!$I$14:$P$14</c:f>
              <c:numCache>
                <c:formatCode>0.00</c:formatCode>
                <c:ptCount val="8"/>
                <c:pt idx="0">
                  <c:v>7.9540907079999998</c:v>
                </c:pt>
                <c:pt idx="1">
                  <c:v>8.0057612420000002</c:v>
                </c:pt>
                <c:pt idx="2">
                  <c:v>8.2647013979999997</c:v>
                </c:pt>
                <c:pt idx="3">
                  <c:v>6.8528352579999998</c:v>
                </c:pt>
                <c:pt idx="4">
                  <c:v>7.1020000000000003</c:v>
                </c:pt>
                <c:pt idx="5">
                  <c:v>7.6040000000000001</c:v>
                </c:pt>
                <c:pt idx="6">
                  <c:v>8.0308988790000004</c:v>
                </c:pt>
                <c:pt idx="7">
                  <c:v>8.3805522870000004</c:v>
                </c:pt>
              </c:numCache>
            </c:numRef>
          </c:val>
          <c:smooth val="0"/>
          <c:extLst>
            <c:ext xmlns:c16="http://schemas.microsoft.com/office/drawing/2014/chart" uri="{C3380CC4-5D6E-409C-BE32-E72D297353CC}">
              <c16:uniqueId val="{00000005-C726-4429-9146-A6402C150920}"/>
            </c:ext>
          </c:extLst>
        </c:ser>
        <c:ser>
          <c:idx val="6"/>
          <c:order val="6"/>
          <c:tx>
            <c:strRef>
              <c:f>'1-3 fiscalité'!$H$15</c:f>
              <c:strCache>
                <c:ptCount val="1"/>
                <c:pt idx="0">
                  <c:v>TSCA</c:v>
                </c:pt>
              </c:strCache>
            </c:strRef>
          </c:tx>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fiscalité'!$I$15:$P$15</c:f>
              <c:numCache>
                <c:formatCode>0.00</c:formatCode>
                <c:ptCount val="8"/>
                <c:pt idx="0">
                  <c:v>7.2957413170000001</c:v>
                </c:pt>
                <c:pt idx="1">
                  <c:v>7.5202509949999996</c:v>
                </c:pt>
                <c:pt idx="2">
                  <c:v>7.7673299169999996</c:v>
                </c:pt>
                <c:pt idx="3">
                  <c:v>8.1915516149999998</c:v>
                </c:pt>
                <c:pt idx="4">
                  <c:v>8.5881242810000007</c:v>
                </c:pt>
                <c:pt idx="5">
                  <c:v>9.2043624370000003</c:v>
                </c:pt>
                <c:pt idx="6">
                  <c:v>9.7307159240000001</c:v>
                </c:pt>
                <c:pt idx="7">
                  <c:v>10.416315356769999</c:v>
                </c:pt>
              </c:numCache>
            </c:numRef>
          </c:val>
          <c:smooth val="0"/>
          <c:extLst>
            <c:ext xmlns:c16="http://schemas.microsoft.com/office/drawing/2014/chart" uri="{C3380CC4-5D6E-409C-BE32-E72D297353CC}">
              <c16:uniqueId val="{00000006-C726-4429-9146-A6402C150920}"/>
            </c:ext>
          </c:extLst>
        </c:ser>
        <c:ser>
          <c:idx val="7"/>
          <c:order val="7"/>
          <c:tx>
            <c:strRef>
              <c:f>'1-3 fiscalité'!$H$16</c:f>
              <c:strCache>
                <c:ptCount val="1"/>
                <c:pt idx="0">
                  <c:v>TEOM</c:v>
                </c:pt>
              </c:strCache>
            </c:strRef>
          </c:tx>
          <c:spPr>
            <a:ln>
              <a:solidFill>
                <a:prstClr val="black">
                  <a:lumMod val="65000"/>
                  <a:lumOff val="35000"/>
                </a:prstClr>
              </a:solidFill>
            </a:ln>
          </c:spPr>
          <c:marker>
            <c:spPr>
              <a:solidFill>
                <a:sysClr val="windowText" lastClr="000000">
                  <a:lumMod val="65000"/>
                  <a:lumOff val="35000"/>
                </a:sysClr>
              </a:solidFill>
              <a:ln>
                <a:solidFill>
                  <a:schemeClr val="tx1">
                    <a:lumMod val="65000"/>
                    <a:lumOff val="35000"/>
                  </a:schemeClr>
                </a:solidFill>
              </a:ln>
            </c:spPr>
          </c:marker>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fiscalité'!$I$16:$P$16</c:f>
              <c:numCache>
                <c:formatCode>0.00</c:formatCode>
                <c:ptCount val="8"/>
                <c:pt idx="0">
                  <c:v>6.9235509439999996</c:v>
                </c:pt>
                <c:pt idx="1">
                  <c:v>7.0118429829999993</c:v>
                </c:pt>
                <c:pt idx="2">
                  <c:v>7.1373654770000003</c:v>
                </c:pt>
                <c:pt idx="3">
                  <c:v>7.4317290679999992</c:v>
                </c:pt>
                <c:pt idx="4">
                  <c:v>7.9180000000000001</c:v>
                </c:pt>
                <c:pt idx="5">
                  <c:v>8.4749999999999996</c:v>
                </c:pt>
                <c:pt idx="6">
                  <c:v>8.9378700119999994</c:v>
                </c:pt>
                <c:pt idx="7">
                  <c:v>9.2264293540000004</c:v>
                </c:pt>
              </c:numCache>
            </c:numRef>
          </c:val>
          <c:smooth val="0"/>
          <c:extLst>
            <c:ext xmlns:c16="http://schemas.microsoft.com/office/drawing/2014/chart" uri="{C3380CC4-5D6E-409C-BE32-E72D297353CC}">
              <c16:uniqueId val="{00000007-C726-4429-9146-A6402C150920}"/>
            </c:ext>
          </c:extLst>
        </c:ser>
        <c:ser>
          <c:idx val="8"/>
          <c:order val="8"/>
          <c:tx>
            <c:strRef>
              <c:f>'1-3 fiscalité'!$H$17</c:f>
              <c:strCache>
                <c:ptCount val="1"/>
                <c:pt idx="0">
                  <c:v>Versement mobilité</c:v>
                </c:pt>
              </c:strCache>
            </c:strRef>
          </c:tx>
          <c:spPr>
            <a:ln>
              <a:solidFill>
                <a:schemeClr val="accent1"/>
              </a:solidFill>
            </a:ln>
          </c:spPr>
          <c:marker>
            <c:spPr>
              <a:solidFill>
                <a:schemeClr val="accent1"/>
              </a:solidFill>
              <a:ln>
                <a:solidFill>
                  <a:schemeClr val="accent1"/>
                </a:solidFill>
              </a:ln>
            </c:spPr>
          </c:marker>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fiscalité'!$I$17:$P$17</c:f>
              <c:numCache>
                <c:formatCode>0.00</c:formatCode>
                <c:ptCount val="8"/>
                <c:pt idx="0">
                  <c:v>4.3702504519999996</c:v>
                </c:pt>
                <c:pt idx="1">
                  <c:v>4.6160668210000004</c:v>
                </c:pt>
                <c:pt idx="2">
                  <c:v>4.368267661</c:v>
                </c:pt>
                <c:pt idx="3">
                  <c:v>4.7486531149999998</c:v>
                </c:pt>
                <c:pt idx="4">
                  <c:v>4.740802381</c:v>
                </c:pt>
                <c:pt idx="5">
                  <c:v>5.1625253579999999</c:v>
                </c:pt>
                <c:pt idx="6">
                  <c:v>5.4709049820000004</c:v>
                </c:pt>
                <c:pt idx="7">
                  <c:v>5.6880530456200002</c:v>
                </c:pt>
              </c:numCache>
            </c:numRef>
          </c:val>
          <c:smooth val="0"/>
          <c:extLst>
            <c:ext xmlns:c16="http://schemas.microsoft.com/office/drawing/2014/chart" uri="{C3380CC4-5D6E-409C-BE32-E72D297353CC}">
              <c16:uniqueId val="{00000008-C726-4429-9146-A6402C150920}"/>
            </c:ext>
          </c:extLst>
        </c:ser>
        <c:ser>
          <c:idx val="9"/>
          <c:order val="9"/>
          <c:tx>
            <c:strRef>
              <c:f>'1-3 fiscalité'!$H$18</c:f>
              <c:strCache>
                <c:ptCount val="1"/>
                <c:pt idx="0">
                  <c:v>Taxe d'apprentissage</c:v>
                </c:pt>
              </c:strCache>
            </c:strRef>
          </c:tx>
          <c:spPr>
            <a:ln>
              <a:solidFill>
                <a:schemeClr val="tx1">
                  <a:lumMod val="65000"/>
                  <a:lumOff val="35000"/>
                </a:schemeClr>
              </a:solidFill>
              <a:prstDash val="dash"/>
            </a:ln>
          </c:spPr>
          <c:marker>
            <c:spPr>
              <a:solidFill>
                <a:schemeClr val="tx1">
                  <a:lumMod val="65000"/>
                  <a:lumOff val="35000"/>
                </a:schemeClr>
              </a:solidFill>
            </c:spPr>
          </c:marker>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fiscalité'!$I$18:$P$18</c:f>
              <c:numCache>
                <c:formatCode>0.00</c:formatCode>
                <c:ptCount val="8"/>
                <c:pt idx="0">
                  <c:v>2.3204636399999998</c:v>
                </c:pt>
                <c:pt idx="1">
                  <c:v>2.3602877310000001</c:v>
                </c:pt>
                <c:pt idx="2">
                  <c:v>0.702263733</c:v>
                </c:pt>
                <c:pt idx="3">
                  <c:v>0.43915593000000003</c:v>
                </c:pt>
                <c:pt idx="4">
                  <c:v>0.33271767000000002</c:v>
                </c:pt>
                <c:pt idx="5">
                  <c:v>0.26113106200000002</c:v>
                </c:pt>
                <c:pt idx="6">
                  <c:v>8.6058704999999999E-2</c:v>
                </c:pt>
                <c:pt idx="7">
                  <c:v>6.4467575880000003E-2</c:v>
                </c:pt>
              </c:numCache>
            </c:numRef>
          </c:val>
          <c:smooth val="0"/>
          <c:extLst>
            <c:ext xmlns:c16="http://schemas.microsoft.com/office/drawing/2014/chart" uri="{C3380CC4-5D6E-409C-BE32-E72D297353CC}">
              <c16:uniqueId val="{00000009-C726-4429-9146-A6402C150920}"/>
            </c:ext>
          </c:extLst>
        </c:ser>
        <c:ser>
          <c:idx val="10"/>
          <c:order val="10"/>
          <c:tx>
            <c:strRef>
              <c:f>'1-3 fiscalité'!$H$19</c:f>
              <c:strCache>
                <c:ptCount val="1"/>
                <c:pt idx="0">
                  <c:v>IFER</c:v>
                </c:pt>
              </c:strCache>
            </c:strRef>
          </c:tx>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fiscalité'!$I$19:$P$19</c:f>
              <c:numCache>
                <c:formatCode>0.00</c:formatCode>
                <c:ptCount val="8"/>
                <c:pt idx="0">
                  <c:v>1.538317304</c:v>
                </c:pt>
                <c:pt idx="1">
                  <c:v>1.556833871</c:v>
                </c:pt>
                <c:pt idx="2">
                  <c:v>1.6168328789999999</c:v>
                </c:pt>
                <c:pt idx="3">
                  <c:v>1.646546705</c:v>
                </c:pt>
                <c:pt idx="4">
                  <c:v>1.694</c:v>
                </c:pt>
                <c:pt idx="5">
                  <c:v>1.903</c:v>
                </c:pt>
                <c:pt idx="6">
                  <c:v>1.8938929980000001</c:v>
                </c:pt>
                <c:pt idx="7">
                  <c:v>1.9821696260000001</c:v>
                </c:pt>
              </c:numCache>
            </c:numRef>
          </c:val>
          <c:smooth val="0"/>
          <c:extLst>
            <c:ext xmlns:c16="http://schemas.microsoft.com/office/drawing/2014/chart" uri="{C3380CC4-5D6E-409C-BE32-E72D297353CC}">
              <c16:uniqueId val="{0000000A-C726-4429-9146-A6402C150920}"/>
            </c:ext>
          </c:extLst>
        </c:ser>
        <c:ser>
          <c:idx val="11"/>
          <c:order val="11"/>
          <c:tx>
            <c:strRef>
              <c:f>'1-3 fiscalité'!$H$20</c:f>
              <c:strCache>
                <c:ptCount val="1"/>
                <c:pt idx="0">
                  <c:v>TASCOM</c:v>
                </c:pt>
              </c:strCache>
            </c:strRef>
          </c:tx>
          <c:spPr>
            <a:ln>
              <a:solidFill>
                <a:schemeClr val="tx1">
                  <a:lumMod val="85000"/>
                  <a:lumOff val="15000"/>
                </a:schemeClr>
              </a:solidFill>
            </a:ln>
          </c:spPr>
          <c:marker>
            <c:spPr>
              <a:solidFill>
                <a:schemeClr val="tx1"/>
              </a:solidFill>
              <a:ln>
                <a:solidFill>
                  <a:prstClr val="black">
                    <a:lumMod val="85000"/>
                    <a:lumOff val="15000"/>
                  </a:prstClr>
                </a:solidFill>
              </a:ln>
            </c:spPr>
          </c:marker>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fiscalité'!$I$20:$P$20</c:f>
              <c:numCache>
                <c:formatCode>0.00</c:formatCode>
                <c:ptCount val="8"/>
                <c:pt idx="0">
                  <c:v>0.77448542999999992</c:v>
                </c:pt>
                <c:pt idx="1">
                  <c:v>0.79057489299999995</c:v>
                </c:pt>
                <c:pt idx="2">
                  <c:v>0.79880443400000001</c:v>
                </c:pt>
                <c:pt idx="3">
                  <c:v>0.7941829760000001</c:v>
                </c:pt>
                <c:pt idx="4">
                  <c:v>0.84699999999999998</c:v>
                </c:pt>
                <c:pt idx="5">
                  <c:v>0.93500000000000005</c:v>
                </c:pt>
                <c:pt idx="6">
                  <c:v>1.0385547589999999</c:v>
                </c:pt>
                <c:pt idx="7">
                  <c:v>0.97565429299999995</c:v>
                </c:pt>
              </c:numCache>
            </c:numRef>
          </c:val>
          <c:smooth val="0"/>
          <c:extLst>
            <c:ext xmlns:c16="http://schemas.microsoft.com/office/drawing/2014/chart" uri="{C3380CC4-5D6E-409C-BE32-E72D297353CC}">
              <c16:uniqueId val="{0000000B-C726-4429-9146-A6402C150920}"/>
            </c:ext>
          </c:extLst>
        </c:ser>
        <c:ser>
          <c:idx val="12"/>
          <c:order val="12"/>
          <c:tx>
            <c:strRef>
              <c:f>'1-3 fiscalité'!$H$21</c:f>
              <c:strCache>
                <c:ptCount val="1"/>
                <c:pt idx="0">
                  <c:v>Fraction de TVA</c:v>
                </c:pt>
              </c:strCache>
            </c:strRef>
          </c:tx>
          <c:spPr>
            <a:ln>
              <a:solidFill>
                <a:schemeClr val="tx1"/>
              </a:solidFill>
            </a:ln>
          </c:spPr>
          <c:dPt>
            <c:idx val="5"/>
            <c:bubble3D val="0"/>
            <c:extLst>
              <c:ext xmlns:c16="http://schemas.microsoft.com/office/drawing/2014/chart" uri="{C3380CC4-5D6E-409C-BE32-E72D297353CC}">
                <c16:uniqueId val="{0000000C-C726-4429-9146-A6402C150920}"/>
              </c:ext>
            </c:extLst>
          </c:dPt>
          <c:cat>
            <c:numRef>
              <c:f>'1-3 fiscalité'!$I$8:$P$8</c:f>
              <c:numCache>
                <c:formatCode>0</c:formatCode>
                <c:ptCount val="8"/>
                <c:pt idx="0">
                  <c:v>2018</c:v>
                </c:pt>
                <c:pt idx="1">
                  <c:v>2019</c:v>
                </c:pt>
                <c:pt idx="2">
                  <c:v>2020</c:v>
                </c:pt>
                <c:pt idx="3">
                  <c:v>2021</c:v>
                </c:pt>
                <c:pt idx="4">
                  <c:v>2022</c:v>
                </c:pt>
                <c:pt idx="5">
                  <c:v>2023</c:v>
                </c:pt>
                <c:pt idx="6">
                  <c:v>2024</c:v>
                </c:pt>
                <c:pt idx="7">
                  <c:v>2025</c:v>
                </c:pt>
              </c:numCache>
            </c:numRef>
          </c:cat>
          <c:val>
            <c:numRef>
              <c:f>'1-3 fiscalité'!$I$21:$P$21</c:f>
              <c:numCache>
                <c:formatCode>0.00</c:formatCode>
                <c:ptCount val="8"/>
                <c:pt idx="0">
                  <c:v>4.197731342</c:v>
                </c:pt>
                <c:pt idx="1">
                  <c:v>4.2923156469999997</c:v>
                </c:pt>
                <c:pt idx="2">
                  <c:v>4.0259199949999998</c:v>
                </c:pt>
                <c:pt idx="3">
                  <c:v>37.461401547999998</c:v>
                </c:pt>
                <c:pt idx="4">
                  <c:v>40.910668395000002</c:v>
                </c:pt>
                <c:pt idx="5">
                  <c:v>50.812187557999998</c:v>
                </c:pt>
                <c:pt idx="6">
                  <c:v>52.487420794999998</c:v>
                </c:pt>
                <c:pt idx="7">
                  <c:v>52.708070795380003</c:v>
                </c:pt>
              </c:numCache>
            </c:numRef>
          </c:val>
          <c:smooth val="0"/>
          <c:extLst>
            <c:ext xmlns:c16="http://schemas.microsoft.com/office/drawing/2014/chart" uri="{C3380CC4-5D6E-409C-BE32-E72D297353CC}">
              <c16:uniqueId val="{0000000D-C726-4429-9146-A6402C150920}"/>
            </c:ext>
          </c:extLst>
        </c:ser>
        <c:dLbls>
          <c:showLegendKey val="0"/>
          <c:showVal val="0"/>
          <c:showCatName val="0"/>
          <c:showSerName val="0"/>
          <c:showPercent val="0"/>
          <c:showBubbleSize val="0"/>
        </c:dLbls>
        <c:marker val="1"/>
        <c:smooth val="0"/>
        <c:axId val="34789488"/>
        <c:axId val="34787856"/>
      </c:lineChart>
      <c:catAx>
        <c:axId val="34789488"/>
        <c:scaling>
          <c:orientation val="minMax"/>
        </c:scaling>
        <c:delete val="0"/>
        <c:axPos val="b"/>
        <c:numFmt formatCode="0" sourceLinked="1"/>
        <c:majorTickMark val="out"/>
        <c:minorTickMark val="none"/>
        <c:tickLblPos val="nextTo"/>
        <c:crossAx val="34787856"/>
        <c:crosses val="autoZero"/>
        <c:auto val="1"/>
        <c:lblAlgn val="ctr"/>
        <c:lblOffset val="100"/>
        <c:noMultiLvlLbl val="0"/>
      </c:catAx>
      <c:valAx>
        <c:axId val="34787856"/>
        <c:scaling>
          <c:orientation val="minMax"/>
          <c:max val="55"/>
          <c:min val="0"/>
        </c:scaling>
        <c:delete val="0"/>
        <c:axPos val="l"/>
        <c:majorGridlines>
          <c:spPr>
            <a:ln>
              <a:prstDash val="sysDot"/>
            </a:ln>
          </c:spPr>
        </c:majorGridlines>
        <c:numFmt formatCode="0" sourceLinked="0"/>
        <c:majorTickMark val="out"/>
        <c:minorTickMark val="none"/>
        <c:tickLblPos val="nextTo"/>
        <c:crossAx val="34789488"/>
        <c:crosses val="autoZero"/>
        <c:crossBetween val="between"/>
      </c:valAx>
    </c:plotArea>
    <c:legend>
      <c:legendPos val="r"/>
      <c:layout>
        <c:manualLayout>
          <c:xMode val="edge"/>
          <c:yMode val="edge"/>
          <c:x val="0.64993044619423013"/>
          <c:y val="0.19560302625723186"/>
          <c:w val="0.34137615840915325"/>
          <c:h val="0.70419439505545678"/>
        </c:manualLayout>
      </c:layout>
      <c:overlay val="0"/>
      <c:txPr>
        <a:bodyPr/>
        <a:lstStyle/>
        <a:p>
          <a:pPr>
            <a:defRPr sz="1000"/>
          </a:pPr>
          <a:endParaRPr lang="fr-FR"/>
        </a:p>
      </c:txPr>
    </c:legend>
    <c:plotVisOnly val="1"/>
    <c:dispBlanksAs val="gap"/>
    <c:showDLblsOverMax val="0"/>
  </c:chart>
  <c:spPr>
    <a:ln>
      <a:noFill/>
    </a:ln>
  </c:spPr>
  <c:printSettings>
    <c:headerFooter/>
    <c:pageMargins b="0.75000000000000411" l="0.70000000000000062" r="0.70000000000000062" t="0.75000000000000411"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480431427846491"/>
          <c:y val="0.13457189472937506"/>
          <c:w val="0.5725042531331892"/>
          <c:h val="0.69739417707921669"/>
        </c:manualLayout>
      </c:layout>
      <c:pieChart>
        <c:varyColors val="1"/>
        <c:ser>
          <c:idx val="0"/>
          <c:order val="0"/>
          <c:spPr>
            <a:ln>
              <a:solidFill>
                <a:schemeClr val="tx1"/>
              </a:solidFill>
            </a:ln>
          </c:spPr>
          <c:dPt>
            <c:idx val="1"/>
            <c:bubble3D val="0"/>
            <c:spPr>
              <a:solidFill>
                <a:srgbClr val="4F81BD">
                  <a:lumMod val="75000"/>
                </a:srgbClr>
              </a:solidFill>
              <a:ln>
                <a:solidFill>
                  <a:schemeClr val="tx1"/>
                </a:solidFill>
              </a:ln>
            </c:spPr>
            <c:extLst>
              <c:ext xmlns:c16="http://schemas.microsoft.com/office/drawing/2014/chart" uri="{C3380CC4-5D6E-409C-BE32-E72D297353CC}">
                <c16:uniqueId val="{00000001-039D-4793-B7C4-93051A03D449}"/>
              </c:ext>
            </c:extLst>
          </c:dPt>
          <c:dPt>
            <c:idx val="2"/>
            <c:bubble3D val="0"/>
            <c:spPr>
              <a:solidFill>
                <a:schemeClr val="tx2">
                  <a:lumMod val="20000"/>
                  <a:lumOff val="80000"/>
                </a:schemeClr>
              </a:solidFill>
              <a:ln>
                <a:solidFill>
                  <a:schemeClr val="tx1"/>
                </a:solidFill>
              </a:ln>
            </c:spPr>
            <c:extLst>
              <c:ext xmlns:c16="http://schemas.microsoft.com/office/drawing/2014/chart" uri="{C3380CC4-5D6E-409C-BE32-E72D297353CC}">
                <c16:uniqueId val="{00000003-039D-4793-B7C4-93051A03D449}"/>
              </c:ext>
            </c:extLst>
          </c:dPt>
          <c:dPt>
            <c:idx val="3"/>
            <c:bubble3D val="0"/>
            <c:spPr>
              <a:solidFill>
                <a:schemeClr val="accent1">
                  <a:lumMod val="60000"/>
                  <a:lumOff val="40000"/>
                </a:schemeClr>
              </a:solidFill>
              <a:ln>
                <a:solidFill>
                  <a:schemeClr val="tx1"/>
                </a:solidFill>
              </a:ln>
            </c:spPr>
            <c:extLst>
              <c:ext xmlns:c16="http://schemas.microsoft.com/office/drawing/2014/chart" uri="{C3380CC4-5D6E-409C-BE32-E72D297353CC}">
                <c16:uniqueId val="{00000005-039D-4793-B7C4-93051A03D449}"/>
              </c:ext>
            </c:extLst>
          </c:dPt>
          <c:dPt>
            <c:idx val="4"/>
            <c:bubble3D val="0"/>
            <c:spPr>
              <a:solidFill>
                <a:schemeClr val="bg1">
                  <a:lumMod val="95000"/>
                </a:schemeClr>
              </a:solidFill>
              <a:ln>
                <a:solidFill>
                  <a:schemeClr val="tx1"/>
                </a:solidFill>
              </a:ln>
            </c:spPr>
            <c:extLst>
              <c:ext xmlns:c16="http://schemas.microsoft.com/office/drawing/2014/chart" uri="{C3380CC4-5D6E-409C-BE32-E72D297353CC}">
                <c16:uniqueId val="{00000007-039D-4793-B7C4-93051A03D449}"/>
              </c:ext>
            </c:extLst>
          </c:dPt>
          <c:dPt>
            <c:idx val="5"/>
            <c:bubble3D val="0"/>
            <c:spPr>
              <a:solidFill>
                <a:schemeClr val="accent1"/>
              </a:solidFill>
              <a:ln>
                <a:solidFill>
                  <a:schemeClr val="tx1"/>
                </a:solidFill>
              </a:ln>
            </c:spPr>
            <c:extLst>
              <c:ext xmlns:c16="http://schemas.microsoft.com/office/drawing/2014/chart" uri="{C3380CC4-5D6E-409C-BE32-E72D297353CC}">
                <c16:uniqueId val="{00000009-039D-4793-B7C4-93051A03D449}"/>
              </c:ext>
            </c:extLst>
          </c:dPt>
          <c:dPt>
            <c:idx val="6"/>
            <c:bubble3D val="0"/>
            <c:spPr>
              <a:solidFill>
                <a:schemeClr val="tx2"/>
              </a:solidFill>
              <a:ln>
                <a:solidFill>
                  <a:schemeClr val="tx1"/>
                </a:solidFill>
              </a:ln>
            </c:spPr>
            <c:extLst>
              <c:ext xmlns:c16="http://schemas.microsoft.com/office/drawing/2014/chart" uri="{C3380CC4-5D6E-409C-BE32-E72D297353CC}">
                <c16:uniqueId val="{0000000B-039D-4793-B7C4-93051A03D449}"/>
              </c:ext>
            </c:extLst>
          </c:dPt>
          <c:dPt>
            <c:idx val="7"/>
            <c:bubble3D val="0"/>
            <c:spPr>
              <a:solidFill>
                <a:schemeClr val="accent1">
                  <a:lumMod val="60000"/>
                  <a:lumOff val="40000"/>
                </a:schemeClr>
              </a:solidFill>
              <a:ln>
                <a:solidFill>
                  <a:schemeClr val="tx1"/>
                </a:solidFill>
              </a:ln>
            </c:spPr>
            <c:extLst>
              <c:ext xmlns:c16="http://schemas.microsoft.com/office/drawing/2014/chart" uri="{C3380CC4-5D6E-409C-BE32-E72D297353CC}">
                <c16:uniqueId val="{0000000D-039D-4793-B7C4-93051A03D449}"/>
              </c:ext>
            </c:extLst>
          </c:dPt>
          <c:dPt>
            <c:idx val="8"/>
            <c:bubble3D val="0"/>
            <c:spPr>
              <a:solidFill>
                <a:srgbClr val="1F497D"/>
              </a:solidFill>
              <a:ln>
                <a:solidFill>
                  <a:schemeClr val="tx1"/>
                </a:solidFill>
              </a:ln>
            </c:spPr>
            <c:extLst>
              <c:ext xmlns:c16="http://schemas.microsoft.com/office/drawing/2014/chart" uri="{C3380CC4-5D6E-409C-BE32-E72D297353CC}">
                <c16:uniqueId val="{0000000F-039D-4793-B7C4-93051A03D449}"/>
              </c:ext>
            </c:extLst>
          </c:dPt>
          <c:dLbls>
            <c:dLbl>
              <c:idx val="0"/>
              <c:layout>
                <c:manualLayout>
                  <c:x val="0"/>
                  <c:y val="-6.9498069498069498E-2"/>
                </c:manualLayout>
              </c:layout>
              <c:dLblPos val="bestFit"/>
              <c:showLegendKey val="0"/>
              <c:showVal val="0"/>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039D-4793-B7C4-93051A03D449}"/>
                </c:ext>
              </c:extLst>
            </c:dLbl>
            <c:dLbl>
              <c:idx val="1"/>
              <c:layout>
                <c:manualLayout>
                  <c:x val="4.2260961436872704E-2"/>
                  <c:y val="-2.5740025740025752E-3"/>
                </c:manualLayout>
              </c:layout>
              <c:dLblPos val="bestFit"/>
              <c:showLegendKey val="0"/>
              <c:showVal val="0"/>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39D-4793-B7C4-93051A03D449}"/>
                </c:ext>
              </c:extLst>
            </c:dLbl>
            <c:dLbl>
              <c:idx val="2"/>
              <c:layout>
                <c:manualLayout>
                  <c:x val="0.16806012884753041"/>
                  <c:y val="5.0642605081063427E-2"/>
                </c:manualLayout>
              </c:layout>
              <c:dLblPos val="bestFit"/>
              <c:showLegendKey val="0"/>
              <c:showVal val="0"/>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39D-4793-B7C4-93051A03D449}"/>
                </c:ext>
              </c:extLst>
            </c:dLbl>
            <c:dLbl>
              <c:idx val="3"/>
              <c:layout>
                <c:manualLayout>
                  <c:x val="1.4791170121167561E-2"/>
                  <c:y val="3.0888013998250242E-2"/>
                </c:manualLayout>
              </c:layout>
              <c:dLblPos val="bestFit"/>
              <c:showLegendKey val="0"/>
              <c:showVal val="0"/>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39D-4793-B7C4-93051A03D449}"/>
                </c:ext>
              </c:extLst>
            </c:dLbl>
            <c:dLbl>
              <c:idx val="4"/>
              <c:layout>
                <c:manualLayout>
                  <c:x val="-4.8081286868844365E-2"/>
                  <c:y val="7.5127399198556877E-2"/>
                </c:manualLayout>
              </c:layout>
              <c:dLblPos val="bestFit"/>
              <c:showLegendKey val="0"/>
              <c:showVal val="0"/>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39D-4793-B7C4-93051A03D449}"/>
                </c:ext>
              </c:extLst>
            </c:dLbl>
            <c:dLbl>
              <c:idx val="5"/>
              <c:layout>
                <c:manualLayout>
                  <c:x val="-0.15786292943332114"/>
                  <c:y val="6.3538143682120157E-2"/>
                </c:manualLayout>
              </c:layout>
              <c:dLblPos val="bestFit"/>
              <c:showLegendKey val="0"/>
              <c:showVal val="0"/>
              <c:showCatName val="1"/>
              <c:showSerName val="0"/>
              <c:showPercent val="0"/>
              <c:showBubbleSize val="0"/>
              <c:extLst>
                <c:ext xmlns:c15="http://schemas.microsoft.com/office/drawing/2012/chart" uri="{CE6537A1-D6FC-4f65-9D91-7224C49458BB}">
                  <c15:layout>
                    <c:manualLayout>
                      <c:w val="0.2073850471661339"/>
                      <c:h val="0.20924791808431353"/>
                    </c:manualLayout>
                  </c15:layout>
                </c:ext>
                <c:ext xmlns:c16="http://schemas.microsoft.com/office/drawing/2014/chart" uri="{C3380CC4-5D6E-409C-BE32-E72D297353CC}">
                  <c16:uniqueId val="{00000009-039D-4793-B7C4-93051A03D449}"/>
                </c:ext>
              </c:extLst>
            </c:dLbl>
            <c:dLbl>
              <c:idx val="6"/>
              <c:layout>
                <c:manualLayout>
                  <c:x val="-0.11808528884384503"/>
                  <c:y val="-0.1049538252162924"/>
                </c:manualLayout>
              </c:layout>
              <c:dLblPos val="bestFit"/>
              <c:showLegendKey val="0"/>
              <c:showVal val="0"/>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039D-4793-B7C4-93051A03D449}"/>
                </c:ext>
              </c:extLst>
            </c:dLbl>
            <c:dLbl>
              <c:idx val="7"/>
              <c:layout>
                <c:manualLayout>
                  <c:x val="-0.11621781033313784"/>
                  <c:y val="-2.5740025740025691E-3"/>
                </c:manualLayout>
              </c:layout>
              <c:dLblPos val="bestFit"/>
              <c:showLegendKey val="0"/>
              <c:showVal val="0"/>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039D-4793-B7C4-93051A03D449}"/>
                </c:ext>
              </c:extLst>
            </c:dLbl>
            <c:dLbl>
              <c:idx val="8"/>
              <c:layout>
                <c:manualLayout>
                  <c:x val="-1.690438457474908E-2"/>
                  <c:y val="-4.3478260869565223E-2"/>
                </c:manualLayout>
              </c:layout>
              <c:spPr/>
              <c:txPr>
                <a:bodyPr/>
                <a:lstStyle/>
                <a:p>
                  <a:pPr>
                    <a:defRPr sz="900"/>
                  </a:pPr>
                  <a:endParaRPr lang="fr-FR"/>
                </a:p>
              </c:txPr>
              <c:dLblPos val="bestFit"/>
              <c:showLegendKey val="0"/>
              <c:showVal val="0"/>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039D-4793-B7C4-93051A03D449}"/>
                </c:ext>
              </c:extLst>
            </c:dLbl>
            <c:spPr>
              <a:noFill/>
              <a:ln>
                <a:noFill/>
              </a:ln>
              <a:effectLst/>
            </c:spPr>
            <c:txPr>
              <a:bodyPr/>
              <a:lstStyle/>
              <a:p>
                <a:pPr>
                  <a:defRPr sz="1050"/>
                </a:pPr>
                <a:endParaRPr lang="fr-FR"/>
              </a:p>
            </c:txPr>
            <c:dLblPos val="outEnd"/>
            <c:showLegendKey val="0"/>
            <c:showVal val="0"/>
            <c:showCatName val="1"/>
            <c:showSerName val="0"/>
            <c:showPercent val="0"/>
            <c:showBubbleSize val="0"/>
            <c:showLeaderLines val="1"/>
            <c:extLst>
              <c:ext xmlns:c15="http://schemas.microsoft.com/office/drawing/2012/chart" uri="{CE6537A1-D6FC-4f65-9D91-7224C49458BB}"/>
            </c:extLst>
          </c:dLbls>
          <c:cat>
            <c:strRef>
              <c:f>'1-4 Transferts'!$K$35:$K$43</c:f>
              <c:strCache>
                <c:ptCount val="9"/>
                <c:pt idx="0">
                  <c:v>Dotation globale de 
fonctionnement (DGF)
27,4 Md€</c:v>
                </c:pt>
                <c:pt idx="1">
                  <c:v>Autres prélèvements
sur recettes (PSR)
16,5 Md€</c:v>
                </c:pt>
                <c:pt idx="2">
                  <c:v>Mission RCT 
3,8 Md€</c:v>
                </c:pt>
                <c:pt idx="3">
                  <c:v>TVA transférée
5,3 Md€</c:v>
                </c:pt>
                <c:pt idx="4">
                  <c:v>Subventions 
des ministères
4,4 Md€</c:v>
                </c:pt>
                <c:pt idx="5">
                  <c:v>Contrepartie 
de dégrèvements 
législatifs
4,6 Md€</c:v>
                </c:pt>
                <c:pt idx="6">
                  <c:v>Produit des amendes
0,8 Md€</c:v>
                </c:pt>
                <c:pt idx="7">
                  <c:v>Fiscalité transférée 
(hors formation 
professionnelle)
42,4 Md€</c:v>
                </c:pt>
                <c:pt idx="8">
                  <c:v>Autres concours (a)
3,1 Md€</c:v>
                </c:pt>
              </c:strCache>
            </c:strRef>
          </c:cat>
          <c:val>
            <c:numRef>
              <c:f>'1-4 Transferts'!$L$35:$L$43</c:f>
              <c:numCache>
                <c:formatCode>0.0</c:formatCode>
                <c:ptCount val="9"/>
                <c:pt idx="0">
                  <c:v>27.405900000000003</c:v>
                </c:pt>
                <c:pt idx="1">
                  <c:v>16.460599999999999</c:v>
                </c:pt>
                <c:pt idx="2">
                  <c:v>3.775500000000001</c:v>
                </c:pt>
                <c:pt idx="3">
                  <c:v>5.2869999999999999</c:v>
                </c:pt>
                <c:pt idx="4">
                  <c:v>4.391</c:v>
                </c:pt>
                <c:pt idx="5">
                  <c:v>4.6180000000000003</c:v>
                </c:pt>
                <c:pt idx="6">
                  <c:v>0.80700000000000005</c:v>
                </c:pt>
                <c:pt idx="7">
                  <c:v>42.414999999999999</c:v>
                </c:pt>
                <c:pt idx="8">
                  <c:v>3.0949000000000098</c:v>
                </c:pt>
              </c:numCache>
            </c:numRef>
          </c:val>
          <c:extLst>
            <c:ext xmlns:c16="http://schemas.microsoft.com/office/drawing/2014/chart" uri="{C3380CC4-5D6E-409C-BE32-E72D297353CC}">
              <c16:uniqueId val="{00000011-039D-4793-B7C4-93051A03D449}"/>
            </c:ext>
          </c:extLst>
        </c:ser>
        <c:dLbls>
          <c:showLegendKey val="0"/>
          <c:showVal val="0"/>
          <c:showCatName val="0"/>
          <c:showSerName val="0"/>
          <c:showPercent val="0"/>
          <c:showBubbleSize val="0"/>
          <c:showLeaderLines val="1"/>
        </c:dLbls>
        <c:firstSliceAng val="0"/>
      </c:pieChart>
    </c:plotArea>
    <c:plotVisOnly val="1"/>
    <c:dispBlanksAs val="gap"/>
    <c:showDLblsOverMax val="0"/>
  </c:chart>
  <c:spPr>
    <a:ln>
      <a:noFill/>
    </a:ln>
  </c:spPr>
  <c:printSettings>
    <c:headerFooter/>
    <c:pageMargins b="0.75000000000000733" l="0.70000000000000062" r="0.70000000000000062" t="0.75000000000000733" header="0.30000000000000032" footer="0.30000000000000032"/>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6071741032370933E-2"/>
          <c:y val="8.8982438838980729E-2"/>
          <c:w val="0.57766407543839282"/>
          <c:h val="0.84565121140680166"/>
        </c:manualLayout>
      </c:layout>
      <c:lineChart>
        <c:grouping val="standard"/>
        <c:varyColors val="0"/>
        <c:ser>
          <c:idx val="0"/>
          <c:order val="0"/>
          <c:tx>
            <c:strRef>
              <c:f>'1-4 Transferts'!$K$4</c:f>
              <c:strCache>
                <c:ptCount val="1"/>
                <c:pt idx="0">
                  <c:v>Total des transferts</c:v>
                </c:pt>
              </c:strCache>
            </c:strRef>
          </c:tx>
          <c:spPr>
            <a:ln w="41275">
              <a:solidFill>
                <a:schemeClr val="tx1"/>
              </a:solidFill>
            </a:ln>
          </c:spPr>
          <c:marker>
            <c:symbol val="none"/>
          </c:marker>
          <c:cat>
            <c:numRef>
              <c:f>'1-4 Transferts'!$L$3:$T$3</c:f>
              <c:numCache>
                <c:formatCode>0_ ;\-0\ </c:formatCode>
                <c:ptCount val="9"/>
                <c:pt idx="0" formatCode="General">
                  <c:v>2018</c:v>
                </c:pt>
                <c:pt idx="1">
                  <c:v>2019</c:v>
                </c:pt>
                <c:pt idx="2">
                  <c:v>2020</c:v>
                </c:pt>
                <c:pt idx="3">
                  <c:v>2021</c:v>
                </c:pt>
                <c:pt idx="4">
                  <c:v>2022</c:v>
                </c:pt>
                <c:pt idx="5">
                  <c:v>2023</c:v>
                </c:pt>
                <c:pt idx="6">
                  <c:v>2024</c:v>
                </c:pt>
                <c:pt idx="7">
                  <c:v>2025</c:v>
                </c:pt>
                <c:pt idx="8">
                  <c:v>2026</c:v>
                </c:pt>
              </c:numCache>
            </c:numRef>
          </c:cat>
          <c:val>
            <c:numRef>
              <c:f>'1-4 Transferts'!$L$4:$T$4</c:f>
              <c:numCache>
                <c:formatCode>#\ ##0.0</c:formatCode>
                <c:ptCount val="9"/>
                <c:pt idx="0">
                  <c:v>104.77200000000001</c:v>
                </c:pt>
                <c:pt idx="1">
                  <c:v>111.849</c:v>
                </c:pt>
                <c:pt idx="2">
                  <c:v>116.069</c:v>
                </c:pt>
                <c:pt idx="3">
                  <c:v>104.248</c:v>
                </c:pt>
                <c:pt idx="4">
                  <c:v>106.24381299999999</c:v>
                </c:pt>
                <c:pt idx="5">
                  <c:v>105.832671956</c:v>
                </c:pt>
                <c:pt idx="6">
                  <c:v>105.9045</c:v>
                </c:pt>
                <c:pt idx="7">
                  <c:v>104.71096067000003</c:v>
                </c:pt>
                <c:pt idx="8">
                  <c:v>108.25490000000001</c:v>
                </c:pt>
              </c:numCache>
            </c:numRef>
          </c:val>
          <c:smooth val="0"/>
          <c:extLst>
            <c:ext xmlns:c16="http://schemas.microsoft.com/office/drawing/2014/chart" uri="{C3380CC4-5D6E-409C-BE32-E72D297353CC}">
              <c16:uniqueId val="{00000000-2F79-48F8-820B-3F537FA919F9}"/>
            </c:ext>
          </c:extLst>
        </c:ser>
        <c:ser>
          <c:idx val="1"/>
          <c:order val="1"/>
          <c:tx>
            <c:strRef>
              <c:f>'1-4 Transferts'!$K$5</c:f>
              <c:strCache>
                <c:ptCount val="1"/>
                <c:pt idx="0">
                  <c:v>Concours de l'État</c:v>
                </c:pt>
              </c:strCache>
            </c:strRef>
          </c:tx>
          <c:spPr>
            <a:ln>
              <a:solidFill>
                <a:schemeClr val="accent1">
                  <a:lumMod val="75000"/>
                </a:schemeClr>
              </a:solidFill>
            </a:ln>
          </c:spPr>
          <c:marker>
            <c:spPr>
              <a:solidFill>
                <a:schemeClr val="accent1">
                  <a:lumMod val="75000"/>
                </a:schemeClr>
              </a:solidFill>
              <a:ln>
                <a:solidFill>
                  <a:schemeClr val="accent1">
                    <a:lumMod val="75000"/>
                  </a:schemeClr>
                </a:solidFill>
              </a:ln>
            </c:spPr>
          </c:marker>
          <c:cat>
            <c:numRef>
              <c:f>'1-4 Transferts'!$L$3:$T$3</c:f>
              <c:numCache>
                <c:formatCode>0_ ;\-0\ </c:formatCode>
                <c:ptCount val="9"/>
                <c:pt idx="0" formatCode="General">
                  <c:v>2018</c:v>
                </c:pt>
                <c:pt idx="1">
                  <c:v>2019</c:v>
                </c:pt>
                <c:pt idx="2">
                  <c:v>2020</c:v>
                </c:pt>
                <c:pt idx="3">
                  <c:v>2021</c:v>
                </c:pt>
                <c:pt idx="4">
                  <c:v>2022</c:v>
                </c:pt>
                <c:pt idx="5">
                  <c:v>2023</c:v>
                </c:pt>
                <c:pt idx="6">
                  <c:v>2024</c:v>
                </c:pt>
                <c:pt idx="7">
                  <c:v>2025</c:v>
                </c:pt>
                <c:pt idx="8">
                  <c:v>2026</c:v>
                </c:pt>
              </c:numCache>
            </c:numRef>
          </c:cat>
          <c:val>
            <c:numRef>
              <c:f>'1-4 Transferts'!$L$5:$T$5</c:f>
              <c:numCache>
                <c:formatCode>#\ ##0.0</c:formatCode>
                <c:ptCount val="9"/>
                <c:pt idx="0">
                  <c:v>48.26</c:v>
                </c:pt>
                <c:pt idx="1">
                  <c:v>48.771000000000001</c:v>
                </c:pt>
                <c:pt idx="2">
                  <c:v>49.505000000000003</c:v>
                </c:pt>
                <c:pt idx="3">
                  <c:v>52.119</c:v>
                </c:pt>
                <c:pt idx="4">
                  <c:v>53.079812999999994</c:v>
                </c:pt>
                <c:pt idx="5">
                  <c:v>55.314671956000012</c:v>
                </c:pt>
                <c:pt idx="6">
                  <c:v>54.804899999999996</c:v>
                </c:pt>
                <c:pt idx="7">
                  <c:v>54.684960670000031</c:v>
                </c:pt>
                <c:pt idx="8">
                  <c:v>54.736900000000006</c:v>
                </c:pt>
              </c:numCache>
            </c:numRef>
          </c:val>
          <c:smooth val="0"/>
          <c:extLst>
            <c:ext xmlns:c16="http://schemas.microsoft.com/office/drawing/2014/chart" uri="{C3380CC4-5D6E-409C-BE32-E72D297353CC}">
              <c16:uniqueId val="{00000001-2F79-48F8-820B-3F537FA919F9}"/>
            </c:ext>
          </c:extLst>
        </c:ser>
        <c:ser>
          <c:idx val="2"/>
          <c:order val="2"/>
          <c:tx>
            <c:strRef>
              <c:f>'1-4 Transferts'!$K$6</c:f>
              <c:strCache>
                <c:ptCount val="1"/>
                <c:pt idx="0">
                  <c:v>Fiscalité transférée</c:v>
                </c:pt>
              </c:strCache>
            </c:strRef>
          </c:tx>
          <c:spPr>
            <a:ln>
              <a:solidFill>
                <a:schemeClr val="accent1">
                  <a:lumMod val="60000"/>
                  <a:lumOff val="40000"/>
                </a:schemeClr>
              </a:solidFill>
            </a:ln>
          </c:spPr>
          <c:marker>
            <c:spPr>
              <a:solidFill>
                <a:schemeClr val="accent1">
                  <a:lumMod val="60000"/>
                  <a:lumOff val="40000"/>
                </a:schemeClr>
              </a:solidFill>
              <a:ln>
                <a:solidFill>
                  <a:srgbClr val="4F81BD">
                    <a:lumMod val="60000"/>
                    <a:lumOff val="40000"/>
                  </a:srgbClr>
                </a:solidFill>
              </a:ln>
            </c:spPr>
          </c:marker>
          <c:cat>
            <c:numRef>
              <c:f>'1-4 Transferts'!$L$3:$T$3</c:f>
              <c:numCache>
                <c:formatCode>0_ ;\-0\ </c:formatCode>
                <c:ptCount val="9"/>
                <c:pt idx="0" formatCode="General">
                  <c:v>2018</c:v>
                </c:pt>
                <c:pt idx="1">
                  <c:v>2019</c:v>
                </c:pt>
                <c:pt idx="2">
                  <c:v>2020</c:v>
                </c:pt>
                <c:pt idx="3">
                  <c:v>2021</c:v>
                </c:pt>
                <c:pt idx="4">
                  <c:v>2022</c:v>
                </c:pt>
                <c:pt idx="5">
                  <c:v>2023</c:v>
                </c:pt>
                <c:pt idx="6">
                  <c:v>2024</c:v>
                </c:pt>
                <c:pt idx="7">
                  <c:v>2025</c:v>
                </c:pt>
                <c:pt idx="8">
                  <c:v>2026</c:v>
                </c:pt>
              </c:numCache>
            </c:numRef>
          </c:cat>
          <c:val>
            <c:numRef>
              <c:f>'1-4 Transferts'!$L$6:$T$6</c:f>
              <c:numCache>
                <c:formatCode>#\ ##0.0</c:formatCode>
                <c:ptCount val="9"/>
                <c:pt idx="0">
                  <c:v>38.015000000000001</c:v>
                </c:pt>
                <c:pt idx="1">
                  <c:v>38.764000000000003</c:v>
                </c:pt>
                <c:pt idx="2">
                  <c:v>38.503999999999998</c:v>
                </c:pt>
                <c:pt idx="3">
                  <c:v>38.142000000000003</c:v>
                </c:pt>
                <c:pt idx="4">
                  <c:v>40.011000000000003</c:v>
                </c:pt>
                <c:pt idx="5">
                  <c:v>38.341000000000001</c:v>
                </c:pt>
                <c:pt idx="6">
                  <c:v>38.748599999999996</c:v>
                </c:pt>
                <c:pt idx="7">
                  <c:v>38.692999999999998</c:v>
                </c:pt>
                <c:pt idx="8">
                  <c:v>42.414999999999999</c:v>
                </c:pt>
              </c:numCache>
            </c:numRef>
          </c:val>
          <c:smooth val="0"/>
          <c:extLst>
            <c:ext xmlns:c16="http://schemas.microsoft.com/office/drawing/2014/chart" uri="{C3380CC4-5D6E-409C-BE32-E72D297353CC}">
              <c16:uniqueId val="{00000002-2F79-48F8-820B-3F537FA919F9}"/>
            </c:ext>
          </c:extLst>
        </c:ser>
        <c:ser>
          <c:idx val="3"/>
          <c:order val="3"/>
          <c:tx>
            <c:strRef>
              <c:f>'1-4 Transferts'!$K$7</c:f>
              <c:strCache>
                <c:ptCount val="1"/>
                <c:pt idx="0">
                  <c:v>Contreparties de dégrèvements et transferts divers</c:v>
                </c:pt>
              </c:strCache>
            </c:strRef>
          </c:tx>
          <c:spPr>
            <a:ln>
              <a:solidFill>
                <a:schemeClr val="tx2">
                  <a:lumMod val="60000"/>
                  <a:lumOff val="40000"/>
                </a:schemeClr>
              </a:solidFill>
            </a:ln>
          </c:spPr>
          <c:marker>
            <c:spPr>
              <a:ln>
                <a:solidFill>
                  <a:schemeClr val="tx2">
                    <a:lumMod val="60000"/>
                    <a:lumOff val="40000"/>
                  </a:schemeClr>
                </a:solidFill>
              </a:ln>
            </c:spPr>
          </c:marker>
          <c:cat>
            <c:numRef>
              <c:f>'1-4 Transferts'!$L$3:$T$3</c:f>
              <c:numCache>
                <c:formatCode>0_ ;\-0\ </c:formatCode>
                <c:ptCount val="9"/>
                <c:pt idx="0" formatCode="General">
                  <c:v>2018</c:v>
                </c:pt>
                <c:pt idx="1">
                  <c:v>2019</c:v>
                </c:pt>
                <c:pt idx="2">
                  <c:v>2020</c:v>
                </c:pt>
                <c:pt idx="3">
                  <c:v>2021</c:v>
                </c:pt>
                <c:pt idx="4">
                  <c:v>2022</c:v>
                </c:pt>
                <c:pt idx="5">
                  <c:v>2023</c:v>
                </c:pt>
                <c:pt idx="6">
                  <c:v>2024</c:v>
                </c:pt>
                <c:pt idx="7">
                  <c:v>2025</c:v>
                </c:pt>
                <c:pt idx="8">
                  <c:v>2026</c:v>
                </c:pt>
              </c:numCache>
            </c:numRef>
          </c:cat>
          <c:val>
            <c:numRef>
              <c:f>'1-4 Transferts'!$L$7:$T$7</c:f>
              <c:numCache>
                <c:formatCode>#\ ##0.0</c:formatCode>
                <c:ptCount val="9"/>
                <c:pt idx="0">
                  <c:v>18.497</c:v>
                </c:pt>
                <c:pt idx="1">
                  <c:v>24.314</c:v>
                </c:pt>
                <c:pt idx="2">
                  <c:v>28.06</c:v>
                </c:pt>
                <c:pt idx="3">
                  <c:v>13.968999999999999</c:v>
                </c:pt>
                <c:pt idx="4">
                  <c:v>12.262</c:v>
                </c:pt>
                <c:pt idx="5">
                  <c:v>11.372</c:v>
                </c:pt>
                <c:pt idx="6">
                  <c:v>11.071999999999999</c:v>
                </c:pt>
                <c:pt idx="7">
                  <c:v>10.054</c:v>
                </c:pt>
                <c:pt idx="8">
                  <c:v>9.8160000000000007</c:v>
                </c:pt>
              </c:numCache>
            </c:numRef>
          </c:val>
          <c:smooth val="0"/>
          <c:extLst>
            <c:ext xmlns:c16="http://schemas.microsoft.com/office/drawing/2014/chart" uri="{C3380CC4-5D6E-409C-BE32-E72D297353CC}">
              <c16:uniqueId val="{00000003-2F79-48F8-820B-3F537FA919F9}"/>
            </c:ext>
          </c:extLst>
        </c:ser>
        <c:dLbls>
          <c:showLegendKey val="0"/>
          <c:showVal val="0"/>
          <c:showCatName val="0"/>
          <c:showSerName val="0"/>
          <c:showPercent val="0"/>
          <c:showBubbleSize val="0"/>
        </c:dLbls>
        <c:smooth val="0"/>
        <c:axId val="34786224"/>
        <c:axId val="34796560"/>
      </c:lineChart>
      <c:catAx>
        <c:axId val="34786224"/>
        <c:scaling>
          <c:orientation val="minMax"/>
        </c:scaling>
        <c:delete val="0"/>
        <c:axPos val="b"/>
        <c:numFmt formatCode="General" sourceLinked="1"/>
        <c:majorTickMark val="out"/>
        <c:minorTickMark val="none"/>
        <c:tickLblPos val="nextTo"/>
        <c:crossAx val="34796560"/>
        <c:crosses val="autoZero"/>
        <c:auto val="1"/>
        <c:lblAlgn val="ctr"/>
        <c:lblOffset val="100"/>
        <c:noMultiLvlLbl val="0"/>
      </c:catAx>
      <c:valAx>
        <c:axId val="34796560"/>
        <c:scaling>
          <c:orientation val="minMax"/>
          <c:max val="120"/>
          <c:min val="0"/>
        </c:scaling>
        <c:delete val="0"/>
        <c:axPos val="l"/>
        <c:majorGridlines>
          <c:spPr>
            <a:ln>
              <a:prstDash val="sysDot"/>
            </a:ln>
          </c:spPr>
        </c:majorGridlines>
        <c:numFmt formatCode="#,##0" sourceLinked="0"/>
        <c:majorTickMark val="out"/>
        <c:minorTickMark val="none"/>
        <c:tickLblPos val="nextTo"/>
        <c:crossAx val="34786224"/>
        <c:crosses val="autoZero"/>
        <c:crossBetween val="between"/>
        <c:majorUnit val="10"/>
      </c:valAx>
    </c:plotArea>
    <c:legend>
      <c:legendPos val="r"/>
      <c:layout>
        <c:manualLayout>
          <c:xMode val="edge"/>
          <c:yMode val="edge"/>
          <c:x val="0.69796775719742155"/>
          <c:y val="0.20807780791909905"/>
          <c:w val="0.29925445747799445"/>
          <c:h val="0.64990965170450377"/>
        </c:manualLayout>
      </c:layout>
      <c:overlay val="0"/>
      <c:txPr>
        <a:bodyPr/>
        <a:lstStyle/>
        <a:p>
          <a:pPr>
            <a:defRPr sz="1050"/>
          </a:pPr>
          <a:endParaRPr lang="fr-FR"/>
        </a:p>
      </c:txPr>
    </c:legend>
    <c:plotVisOnly val="1"/>
    <c:dispBlanksAs val="gap"/>
    <c:showDLblsOverMax val="0"/>
  </c:chart>
  <c:spPr>
    <a:ln>
      <a:noFill/>
    </a:ln>
  </c:spPr>
  <c:printSettings>
    <c:headerFooter/>
    <c:pageMargins b="0.75000000000000411" l="0.70000000000000062" r="0.70000000000000062" t="0.75000000000000411"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472261619471459E-2"/>
          <c:y val="0.17089998385349986"/>
          <c:w val="0.6198532370953671"/>
          <c:h val="0.59110506535520257"/>
        </c:manualLayout>
      </c:layout>
      <c:barChart>
        <c:barDir val="col"/>
        <c:grouping val="percentStacked"/>
        <c:varyColors val="0"/>
        <c:ser>
          <c:idx val="0"/>
          <c:order val="0"/>
          <c:tx>
            <c:strRef>
              <c:f>'1-5 FPT'!$J$43</c:f>
              <c:strCache>
                <c:ptCount val="1"/>
                <c:pt idx="0">
                  <c:v>Catégorie A </c:v>
                </c:pt>
              </c:strCache>
            </c:strRef>
          </c:tx>
          <c:spPr>
            <a:solidFill>
              <a:srgbClr val="4F81BD">
                <a:lumMod val="75000"/>
              </a:srgbClr>
            </a:solidFill>
            <a:ln>
              <a:solidFill>
                <a:schemeClr val="tx1"/>
              </a:solidFill>
            </a:ln>
          </c:spPr>
          <c:invertIfNegative val="0"/>
          <c:dLbls>
            <c:spPr>
              <a:noFill/>
              <a:ln>
                <a:noFill/>
              </a:ln>
              <a:effectLst/>
            </c:spPr>
            <c:txPr>
              <a:bodyPr/>
              <a:lstStyle/>
              <a:p>
                <a:pPr>
                  <a:defRPr sz="1050">
                    <a:solidFill>
                      <a:schemeClr val="bg1"/>
                    </a:solidFil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'1-5 FPT'!$K$42:$L$42</c:f>
              <c:strCache>
                <c:ptCount val="2"/>
                <c:pt idx="0">
                  <c:v>Fonction publique territoriale 
(FPT)</c:v>
                </c:pt>
                <c:pt idx="1">
                  <c:v>Fonction publique 
de l'État 
(FPE) </c:v>
                </c:pt>
              </c:strCache>
            </c:strRef>
          </c:cat>
          <c:val>
            <c:numRef>
              <c:f>'1-5 FPT'!$K$43:$L$43</c:f>
              <c:numCache>
                <c:formatCode>0</c:formatCode>
                <c:ptCount val="2"/>
                <c:pt idx="0">
                  <c:v>13.463726222502901</c:v>
                </c:pt>
                <c:pt idx="1">
                  <c:v>58.308160940702706</c:v>
                </c:pt>
              </c:numCache>
            </c:numRef>
          </c:val>
          <c:extLst>
            <c:ext xmlns:c16="http://schemas.microsoft.com/office/drawing/2014/chart" uri="{C3380CC4-5D6E-409C-BE32-E72D297353CC}">
              <c16:uniqueId val="{00000000-0E94-4E29-A642-D34D1F147025}"/>
            </c:ext>
          </c:extLst>
        </c:ser>
        <c:ser>
          <c:idx val="1"/>
          <c:order val="1"/>
          <c:tx>
            <c:strRef>
              <c:f>'1-5 FPT'!$J$44</c:f>
              <c:strCache>
                <c:ptCount val="1"/>
                <c:pt idx="0">
                  <c:v>Catégorie B </c:v>
                </c:pt>
              </c:strCache>
            </c:strRef>
          </c:tx>
          <c:spPr>
            <a:solidFill>
              <a:schemeClr val="accent1">
                <a:lumMod val="60000"/>
                <a:lumOff val="40000"/>
              </a:schemeClr>
            </a:solidFill>
            <a:ln>
              <a:solidFill>
                <a:schemeClr val="tx1"/>
              </a:solidFill>
            </a:ln>
          </c:spPr>
          <c:invertIfNegative val="0"/>
          <c:dLbls>
            <c:spPr>
              <a:noFill/>
              <a:ln>
                <a:noFill/>
              </a:ln>
              <a:effectLst/>
            </c:spPr>
            <c:txPr>
              <a:bodyPr/>
              <a:lstStyle/>
              <a:p>
                <a:pPr>
                  <a:defRPr sz="1050">
                    <a:solidFill>
                      <a:schemeClr val="bg1"/>
                    </a:solidFil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'1-5 FPT'!$K$42:$L$42</c:f>
              <c:strCache>
                <c:ptCount val="2"/>
                <c:pt idx="0">
                  <c:v>Fonction publique territoriale 
(FPT)</c:v>
                </c:pt>
                <c:pt idx="1">
                  <c:v>Fonction publique 
de l'État 
(FPE) </c:v>
                </c:pt>
              </c:strCache>
            </c:strRef>
          </c:cat>
          <c:val>
            <c:numRef>
              <c:f>'1-5 FPT'!$K$44:$L$44</c:f>
              <c:numCache>
                <c:formatCode>0</c:formatCode>
                <c:ptCount val="2"/>
                <c:pt idx="0">
                  <c:v>15.576499928138702</c:v>
                </c:pt>
                <c:pt idx="1">
                  <c:v>21.6301916146856</c:v>
                </c:pt>
              </c:numCache>
            </c:numRef>
          </c:val>
          <c:extLst>
            <c:ext xmlns:c16="http://schemas.microsoft.com/office/drawing/2014/chart" uri="{C3380CC4-5D6E-409C-BE32-E72D297353CC}">
              <c16:uniqueId val="{00000001-0E94-4E29-A642-D34D1F147025}"/>
            </c:ext>
          </c:extLst>
        </c:ser>
        <c:ser>
          <c:idx val="2"/>
          <c:order val="2"/>
          <c:tx>
            <c:strRef>
              <c:f>'1-5 FPT'!$J$45</c:f>
              <c:strCache>
                <c:ptCount val="1"/>
                <c:pt idx="0">
                  <c:v>Catégorie C</c:v>
                </c:pt>
              </c:strCache>
            </c:strRef>
          </c:tx>
          <c:spPr>
            <a:solidFill>
              <a:schemeClr val="accent1">
                <a:lumMod val="20000"/>
                <a:lumOff val="80000"/>
              </a:schemeClr>
            </a:solidFill>
            <a:ln>
              <a:solidFill>
                <a:schemeClr val="tx1"/>
              </a:solidFill>
            </a:ln>
          </c:spPr>
          <c:invertIfNegative val="0"/>
          <c:dLbls>
            <c:spPr>
              <a:noFill/>
              <a:ln>
                <a:noFill/>
              </a:ln>
              <a:effectLst/>
            </c:spPr>
            <c:txPr>
              <a:bodyPr/>
              <a:lstStyle/>
              <a:p>
                <a:pPr>
                  <a:defRPr sz="1050"/>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'1-5 FPT'!$K$42:$L$42</c:f>
              <c:strCache>
                <c:ptCount val="2"/>
                <c:pt idx="0">
                  <c:v>Fonction publique territoriale 
(FPT)</c:v>
                </c:pt>
                <c:pt idx="1">
                  <c:v>Fonction publique 
de l'État 
(FPE) </c:v>
                </c:pt>
              </c:strCache>
            </c:strRef>
          </c:cat>
          <c:val>
            <c:numRef>
              <c:f>'1-5 FPT'!$K$45:$L$45</c:f>
              <c:numCache>
                <c:formatCode>0</c:formatCode>
                <c:ptCount val="2"/>
                <c:pt idx="0">
                  <c:v>69.024527992518301</c:v>
                </c:pt>
                <c:pt idx="1">
                  <c:v>16.351735117524299</c:v>
                </c:pt>
              </c:numCache>
            </c:numRef>
          </c:val>
          <c:extLst>
            <c:ext xmlns:c16="http://schemas.microsoft.com/office/drawing/2014/chart" uri="{C3380CC4-5D6E-409C-BE32-E72D297353CC}">
              <c16:uniqueId val="{00000002-0E94-4E29-A642-D34D1F147025}"/>
            </c:ext>
          </c:extLst>
        </c:ser>
        <c:ser>
          <c:idx val="3"/>
          <c:order val="3"/>
          <c:tx>
            <c:strRef>
              <c:f>'1-5 FPT'!$J$46</c:f>
              <c:strCache>
                <c:ptCount val="1"/>
                <c:pt idx="0">
                  <c:v>Indéterminée</c:v>
                </c:pt>
              </c:strCache>
            </c:strRef>
          </c:tx>
          <c:spPr>
            <a:solidFill>
              <a:schemeClr val="accent5"/>
            </a:solidFill>
            <a:ln>
              <a:solidFill>
                <a:prstClr val="black"/>
              </a:solidFill>
            </a:ln>
          </c:spPr>
          <c:invertIfNegative val="0"/>
          <c:cat>
            <c:strRef>
              <c:f>'1-5 FPT'!$K$42:$L$42</c:f>
              <c:strCache>
                <c:ptCount val="2"/>
                <c:pt idx="0">
                  <c:v>Fonction publique territoriale 
(FPT)</c:v>
                </c:pt>
                <c:pt idx="1">
                  <c:v>Fonction publique 
de l'État 
(FPE) </c:v>
                </c:pt>
              </c:strCache>
            </c:strRef>
          </c:cat>
          <c:val>
            <c:numRef>
              <c:f>'1-5 FPT'!$K$46:$L$46</c:f>
              <c:numCache>
                <c:formatCode>0</c:formatCode>
                <c:ptCount val="2"/>
                <c:pt idx="0">
                  <c:v>1.9352458568400899</c:v>
                </c:pt>
                <c:pt idx="1">
                  <c:v>3.7099123270874399</c:v>
                </c:pt>
              </c:numCache>
            </c:numRef>
          </c:val>
          <c:extLst>
            <c:ext xmlns:c16="http://schemas.microsoft.com/office/drawing/2014/chart" uri="{C3380CC4-5D6E-409C-BE32-E72D297353CC}">
              <c16:uniqueId val="{00000003-0E94-4E29-A642-D34D1F147025}"/>
            </c:ext>
          </c:extLst>
        </c:ser>
        <c:dLbls>
          <c:showLegendKey val="0"/>
          <c:showVal val="0"/>
          <c:showCatName val="0"/>
          <c:showSerName val="0"/>
          <c:showPercent val="0"/>
          <c:showBubbleSize val="0"/>
        </c:dLbls>
        <c:gapWidth val="128"/>
        <c:overlap val="100"/>
        <c:axId val="34787312"/>
        <c:axId val="34793840"/>
      </c:barChart>
      <c:catAx>
        <c:axId val="34787312"/>
        <c:scaling>
          <c:orientation val="minMax"/>
        </c:scaling>
        <c:delete val="0"/>
        <c:axPos val="b"/>
        <c:numFmt formatCode="General" sourceLinked="0"/>
        <c:majorTickMark val="out"/>
        <c:minorTickMark val="none"/>
        <c:tickLblPos val="nextTo"/>
        <c:txPr>
          <a:bodyPr/>
          <a:lstStyle/>
          <a:p>
            <a:pPr>
              <a:defRPr sz="1050"/>
            </a:pPr>
            <a:endParaRPr lang="fr-FR"/>
          </a:p>
        </c:txPr>
        <c:crossAx val="34793840"/>
        <c:crosses val="autoZero"/>
        <c:auto val="1"/>
        <c:lblAlgn val="ctr"/>
        <c:lblOffset val="100"/>
        <c:noMultiLvlLbl val="0"/>
      </c:catAx>
      <c:valAx>
        <c:axId val="34793840"/>
        <c:scaling>
          <c:orientation val="minMax"/>
          <c:max val="1"/>
        </c:scaling>
        <c:delete val="0"/>
        <c:axPos val="l"/>
        <c:numFmt formatCode="0%" sourceLinked="0"/>
        <c:majorTickMark val="out"/>
        <c:minorTickMark val="none"/>
        <c:tickLblPos val="nextTo"/>
        <c:crossAx val="34787312"/>
        <c:crosses val="autoZero"/>
        <c:crossBetween val="between"/>
        <c:majorUnit val="0.2"/>
      </c:valAx>
    </c:plotArea>
    <c:legend>
      <c:legendPos val="r"/>
      <c:layout>
        <c:manualLayout>
          <c:xMode val="edge"/>
          <c:yMode val="edge"/>
          <c:x val="0.71836040833673032"/>
          <c:y val="0.24263168569128679"/>
          <c:w val="0.20890496606675277"/>
          <c:h val="0.30347687870398632"/>
        </c:manualLayout>
      </c:layout>
      <c:overlay val="0"/>
      <c:txPr>
        <a:bodyPr/>
        <a:lstStyle/>
        <a:p>
          <a:pPr>
            <a:defRPr sz="1100"/>
          </a:pPr>
          <a:endParaRPr lang="fr-FR"/>
        </a:p>
      </c:txPr>
    </c:legend>
    <c:plotVisOnly val="1"/>
    <c:dispBlanksAs val="gap"/>
    <c:showDLblsOverMax val="0"/>
  </c:chart>
  <c:spPr>
    <a:ln>
      <a:noFill/>
    </a:ln>
  </c:spPr>
  <c:printSettings>
    <c:headerFooter/>
    <c:pageMargins b="0.75000000000000411" l="0.70000000000000062" r="0.70000000000000062" t="0.75000000000000411" header="0.30000000000000032" footer="0.30000000000000032"/>
    <c:pageSetup paperSize="9" orientation="landscape"/>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61329833770745"/>
          <c:y val="0.11548618922634671"/>
          <c:w val="0.85683114610673661"/>
          <c:h val="0.78510248718910169"/>
        </c:manualLayout>
      </c:layout>
      <c:barChart>
        <c:barDir val="col"/>
        <c:grouping val="clustered"/>
        <c:varyColors val="0"/>
        <c:ser>
          <c:idx val="0"/>
          <c:order val="0"/>
          <c:invertIfNegative val="0"/>
          <c:dLbls>
            <c:numFmt formatCode="\+0.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'1-5 FPT'!$L$4:$V$4</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'1-5 FPT'!$L$5:$V$5</c:f>
              <c:numCache>
                <c:formatCode>\+0.0%;\-0.0%</c:formatCode>
                <c:ptCount val="11"/>
                <c:pt idx="0">
                  <c:v>1.5425699283676986E-2</c:v>
                </c:pt>
                <c:pt idx="1">
                  <c:v>1.4065421621989316E-3</c:v>
                </c:pt>
                <c:pt idx="2">
                  <c:v>-3.5524900692556205E-3</c:v>
                </c:pt>
                <c:pt idx="3">
                  <c:v>-3.1347470884229844E-3</c:v>
                </c:pt>
                <c:pt idx="4">
                  <c:v>-6.5829695153970524E-3</c:v>
                </c:pt>
                <c:pt idx="5">
                  <c:v>5.3569422171377834E-3</c:v>
                </c:pt>
                <c:pt idx="6">
                  <c:v>-4.1513653226883385E-3</c:v>
                </c:pt>
                <c:pt idx="7">
                  <c:v>8.6133149555407407E-3</c:v>
                </c:pt>
                <c:pt idx="8">
                  <c:v>-1.8020400243636801E-3</c:v>
                </c:pt>
                <c:pt idx="9">
                  <c:v>8.9733146945283303E-3</c:v>
                </c:pt>
                <c:pt idx="10">
                  <c:v>2.95501310255464E-3</c:v>
                </c:pt>
              </c:numCache>
            </c:numRef>
          </c:val>
          <c:extLst>
            <c:ext xmlns:c16="http://schemas.microsoft.com/office/drawing/2014/chart" uri="{C3380CC4-5D6E-409C-BE32-E72D297353CC}">
              <c16:uniqueId val="{00000000-364F-4A39-8726-324D7AE269A5}"/>
            </c:ext>
          </c:extLst>
        </c:ser>
        <c:dLbls>
          <c:showLegendKey val="0"/>
          <c:showVal val="0"/>
          <c:showCatName val="0"/>
          <c:showSerName val="0"/>
          <c:showPercent val="0"/>
          <c:showBubbleSize val="0"/>
        </c:dLbls>
        <c:gapWidth val="150"/>
        <c:axId val="34794928"/>
        <c:axId val="36022544"/>
      </c:barChart>
      <c:catAx>
        <c:axId val="34794928"/>
        <c:scaling>
          <c:orientation val="minMax"/>
        </c:scaling>
        <c:delete val="0"/>
        <c:axPos val="b"/>
        <c:numFmt formatCode="General" sourceLinked="1"/>
        <c:majorTickMark val="out"/>
        <c:minorTickMark val="none"/>
        <c:tickLblPos val="low"/>
        <c:crossAx val="36022544"/>
        <c:crosses val="autoZero"/>
        <c:auto val="1"/>
        <c:lblAlgn val="ctr"/>
        <c:lblOffset val="100"/>
        <c:noMultiLvlLbl val="0"/>
      </c:catAx>
      <c:valAx>
        <c:axId val="36022544"/>
        <c:scaling>
          <c:orientation val="minMax"/>
          <c:min val="-1.0000000000000005E-2"/>
        </c:scaling>
        <c:delete val="0"/>
        <c:axPos val="l"/>
        <c:majorGridlines>
          <c:spPr>
            <a:ln>
              <a:prstDash val="sysDot"/>
            </a:ln>
          </c:spPr>
        </c:majorGridlines>
        <c:numFmt formatCode="\+0.0%;\-0.0%" sourceLinked="0"/>
        <c:majorTickMark val="out"/>
        <c:minorTickMark val="none"/>
        <c:tickLblPos val="nextTo"/>
        <c:crossAx val="34794928"/>
        <c:crosses val="autoZero"/>
        <c:crossBetween val="between"/>
      </c:valAx>
    </c:plotArea>
    <c:plotVisOnly val="1"/>
    <c:dispBlanksAs val="gap"/>
    <c:showDLblsOverMax val="0"/>
  </c:chart>
  <c:spPr>
    <a:ln>
      <a:noFill/>
    </a:ln>
  </c:spPr>
  <c:printSettings>
    <c:headerFooter/>
    <c:pageMargins b="0.75000000000000389" l="0.70000000000000062" r="0.70000000000000062" t="0.75000000000000389" header="0.30000000000000032" footer="0.30000000000000032"/>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239774376029093E-2"/>
          <c:y val="0.18053856747405261"/>
          <c:w val="0.87712101204741522"/>
          <c:h val="0.44636375505155185"/>
        </c:manualLayout>
      </c:layout>
      <c:barChart>
        <c:barDir val="col"/>
        <c:grouping val="cluster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'1-5 FPT'!$K$22:$K$37</c:f>
              <c:strCache>
                <c:ptCount val="16"/>
                <c:pt idx="0">
                  <c:v>&lt; 100h.</c:v>
                </c:pt>
                <c:pt idx="1">
                  <c:v>100-200 h.</c:v>
                </c:pt>
                <c:pt idx="2">
                  <c:v>200-500 h.</c:v>
                </c:pt>
                <c:pt idx="3">
                  <c:v>500-1000 h.</c:v>
                </c:pt>
                <c:pt idx="4">
                  <c:v>1000-2000 h.</c:v>
                </c:pt>
                <c:pt idx="5">
                  <c:v>2000-3500 h.</c:v>
                </c:pt>
                <c:pt idx="6">
                  <c:v>3500-5000 h.</c:v>
                </c:pt>
                <c:pt idx="7">
                  <c:v>5-10 000 h.</c:v>
                </c:pt>
                <c:pt idx="8">
                  <c:v>10-20 000 h.</c:v>
                </c:pt>
                <c:pt idx="9">
                  <c:v>20-50 000 h.</c:v>
                </c:pt>
                <c:pt idx="10">
                  <c:v>50-80 000 h.</c:v>
                </c:pt>
                <c:pt idx="11">
                  <c:v>80-100 000 h.</c:v>
                </c:pt>
                <c:pt idx="12">
                  <c:v>100-300 000 h.</c:v>
                </c:pt>
                <c:pt idx="13">
                  <c:v>&gt; 300 000 h.</c:v>
                </c:pt>
                <c:pt idx="15">
                  <c:v>Ensemble des communes</c:v>
                </c:pt>
              </c:strCache>
            </c:strRef>
          </c:cat>
          <c:val>
            <c:numRef>
              <c:f>'1-5 FPT'!$L$22:$L$37</c:f>
              <c:numCache>
                <c:formatCode>0.0</c:formatCode>
                <c:ptCount val="16"/>
                <c:pt idx="0">
                  <c:v>7.0381292008207099</c:v>
                </c:pt>
                <c:pt idx="1">
                  <c:v>6.0478656861276203</c:v>
                </c:pt>
                <c:pt idx="2">
                  <c:v>6.3816625614287501</c:v>
                </c:pt>
                <c:pt idx="3">
                  <c:v>7.6444120780534002</c:v>
                </c:pt>
                <c:pt idx="4">
                  <c:v>8.8889987261062995</c:v>
                </c:pt>
                <c:pt idx="5">
                  <c:v>10.692631831273699</c:v>
                </c:pt>
                <c:pt idx="6">
                  <c:v>12.881021144186001</c:v>
                </c:pt>
                <c:pt idx="7">
                  <c:v>14.887617468240901</c:v>
                </c:pt>
                <c:pt idx="8">
                  <c:v>17.179247731946301</c:v>
                </c:pt>
                <c:pt idx="9">
                  <c:v>18.977174236532299</c:v>
                </c:pt>
                <c:pt idx="10">
                  <c:v>20.07152549565</c:v>
                </c:pt>
                <c:pt idx="11">
                  <c:v>20.169898426918401</c:v>
                </c:pt>
                <c:pt idx="12">
                  <c:v>15.017550707985</c:v>
                </c:pt>
                <c:pt idx="13">
                  <c:v>19.542563474521199</c:v>
                </c:pt>
                <c:pt idx="15">
                  <c:v>14.5347881554883</c:v>
                </c:pt>
              </c:numCache>
            </c:numRef>
          </c:val>
          <c:extLst>
            <c:ext xmlns:c16="http://schemas.microsoft.com/office/drawing/2014/chart" uri="{C3380CC4-5D6E-409C-BE32-E72D297353CC}">
              <c16:uniqueId val="{00000000-44D9-43D9-9AEA-B09E808748D8}"/>
            </c:ext>
          </c:extLst>
        </c:ser>
        <c:dLbls>
          <c:showLegendKey val="0"/>
          <c:showVal val="0"/>
          <c:showCatName val="0"/>
          <c:showSerName val="0"/>
          <c:showPercent val="0"/>
          <c:showBubbleSize val="0"/>
        </c:dLbls>
        <c:gapWidth val="150"/>
        <c:axId val="36014384"/>
        <c:axId val="36016560"/>
      </c:barChart>
      <c:catAx>
        <c:axId val="36014384"/>
        <c:scaling>
          <c:orientation val="minMax"/>
        </c:scaling>
        <c:delete val="0"/>
        <c:axPos val="b"/>
        <c:numFmt formatCode="General" sourceLinked="0"/>
        <c:majorTickMark val="out"/>
        <c:minorTickMark val="none"/>
        <c:tickLblPos val="nextTo"/>
        <c:txPr>
          <a:bodyPr rot="-2700000"/>
          <a:lstStyle/>
          <a:p>
            <a:pPr>
              <a:defRPr/>
            </a:pPr>
            <a:endParaRPr lang="fr-FR"/>
          </a:p>
        </c:txPr>
        <c:crossAx val="36016560"/>
        <c:crosses val="autoZero"/>
        <c:auto val="1"/>
        <c:lblAlgn val="ctr"/>
        <c:lblOffset val="100"/>
        <c:noMultiLvlLbl val="0"/>
      </c:catAx>
      <c:valAx>
        <c:axId val="36016560"/>
        <c:scaling>
          <c:orientation val="minMax"/>
        </c:scaling>
        <c:delete val="0"/>
        <c:axPos val="l"/>
        <c:numFmt formatCode="0" sourceLinked="0"/>
        <c:majorTickMark val="out"/>
        <c:minorTickMark val="none"/>
        <c:tickLblPos val="nextTo"/>
        <c:crossAx val="36014384"/>
        <c:crosses val="autoZero"/>
        <c:crossBetween val="between"/>
      </c:valAx>
    </c:plotArea>
    <c:plotVisOnly val="1"/>
    <c:dispBlanksAs val="gap"/>
    <c:showDLblsOverMax val="0"/>
  </c:chart>
  <c:spPr>
    <a:ln>
      <a:noFill/>
      <a:prstDash val="sysDash"/>
    </a:ln>
  </c:spPr>
  <c:printSettings>
    <c:headerFooter/>
    <c:pageMargins b="0.75000000000000733" l="0.70000000000000062" r="0.70000000000000062" t="0.75000000000000733" header="0.30000000000000032" footer="0.30000000000000032"/>
    <c:pageSetup paperSize="9" orientation="landscape"/>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456467</xdr:colOff>
      <xdr:row>34</xdr:row>
      <xdr:rowOff>46160</xdr:rowOff>
    </xdr:from>
    <xdr:to>
      <xdr:col>8</xdr:col>
      <xdr:colOff>65942</xdr:colOff>
      <xdr:row>47</xdr:row>
      <xdr:rowOff>160460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395654</xdr:colOff>
      <xdr:row>4</xdr:row>
      <xdr:rowOff>103309</xdr:rowOff>
    </xdr:from>
    <xdr:to>
      <xdr:col>8</xdr:col>
      <xdr:colOff>14653</xdr:colOff>
      <xdr:row>16</xdr:row>
      <xdr:rowOff>7326</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681403</xdr:colOff>
      <xdr:row>20</xdr:row>
      <xdr:rowOff>58615</xdr:rowOff>
    </xdr:from>
    <xdr:to>
      <xdr:col>7</xdr:col>
      <xdr:colOff>681403</xdr:colOff>
      <xdr:row>30</xdr:row>
      <xdr:rowOff>14655</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0.57171</cdr:x>
      <cdr:y>0.11103</cdr:y>
    </cdr:to>
    <cdr:sp macro="" textlink="">
      <cdr:nvSpPr>
        <cdr:cNvPr id="2" name="ZoneTexte 1"/>
        <cdr:cNvSpPr txBox="1"/>
      </cdr:nvSpPr>
      <cdr:spPr>
        <a:xfrm xmlns:a="http://schemas.openxmlformats.org/drawingml/2006/main">
          <a:off x="0" y="0"/>
          <a:ext cx="2327764" cy="2876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i="1" baseline="0"/>
            <a:t>En m</a:t>
          </a:r>
          <a:r>
            <a:rPr lang="fr-FR" sz="900" i="1"/>
            <a:t>illions d'habitants</a:t>
          </a:r>
        </a:p>
      </cdr:txBody>
    </cdr:sp>
  </cdr:relSizeAnchor>
  <cdr:relSizeAnchor xmlns:cdr="http://schemas.openxmlformats.org/drawingml/2006/chartDrawing">
    <cdr:from>
      <cdr:x>0.00387</cdr:x>
      <cdr:y>0.70242</cdr:y>
    </cdr:from>
    <cdr:to>
      <cdr:x>0.27866</cdr:x>
      <cdr:y>0.80658</cdr:y>
    </cdr:to>
    <cdr:sp macro="" textlink="">
      <cdr:nvSpPr>
        <cdr:cNvPr id="3" name="ZoneTexte 1"/>
        <cdr:cNvSpPr txBox="1"/>
      </cdr:nvSpPr>
      <cdr:spPr>
        <a:xfrm xmlns:a="http://schemas.openxmlformats.org/drawingml/2006/main">
          <a:off x="14655" y="1819821"/>
          <a:ext cx="1040301" cy="26985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fr-FR" sz="700"/>
            <a:t>au 1er janvier</a:t>
          </a:r>
        </a:p>
      </cdr:txBody>
    </cdr:sp>
  </cdr:relSizeAnchor>
  <cdr:relSizeAnchor xmlns:cdr="http://schemas.openxmlformats.org/drawingml/2006/chartDrawing">
    <cdr:from>
      <cdr:x>0.20665</cdr:x>
      <cdr:y>0</cdr:y>
    </cdr:from>
    <cdr:to>
      <cdr:x>0.85511</cdr:x>
      <cdr:y>0.14044</cdr:y>
    </cdr:to>
    <cdr:sp macro="" textlink="">
      <cdr:nvSpPr>
        <cdr:cNvPr id="4" name="ZoneTexte 3"/>
        <cdr:cNvSpPr txBox="1"/>
      </cdr:nvSpPr>
      <cdr:spPr>
        <a:xfrm xmlns:a="http://schemas.openxmlformats.org/drawingml/2006/main">
          <a:off x="857016" y="0"/>
          <a:ext cx="2689283" cy="36385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endParaRPr lang="fr-FR" sz="1800" b="1"/>
        </a:p>
      </cdr:txBody>
    </cdr:sp>
  </cdr:relSizeAnchor>
  <cdr:relSizeAnchor xmlns:cdr="http://schemas.openxmlformats.org/drawingml/2006/chartDrawing">
    <cdr:from>
      <cdr:x>0.59707</cdr:x>
      <cdr:y>0.67783</cdr:y>
    </cdr:from>
    <cdr:to>
      <cdr:x>0.66697</cdr:x>
      <cdr:y>0.77681</cdr:y>
    </cdr:to>
    <cdr:sp macro="" textlink="">
      <cdr:nvSpPr>
        <cdr:cNvPr id="5" name="ZoneTexte 4"/>
        <cdr:cNvSpPr txBox="1"/>
      </cdr:nvSpPr>
      <cdr:spPr>
        <a:xfrm xmlns:a="http://schemas.openxmlformats.org/drawingml/2006/main">
          <a:off x="2374622" y="1753438"/>
          <a:ext cx="277978" cy="2560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fr-FR" sz="1100"/>
        </a:p>
      </cdr:txBody>
    </cdr:sp>
  </cdr:relSizeAnchor>
  <cdr:relSizeAnchor xmlns:cdr="http://schemas.openxmlformats.org/drawingml/2006/chartDrawing">
    <cdr:from>
      <cdr:x>0.85527</cdr:x>
      <cdr:y>0.1971</cdr:y>
    </cdr:from>
    <cdr:to>
      <cdr:x>0.96012</cdr:x>
      <cdr:y>0.30738</cdr:y>
    </cdr:to>
    <cdr:sp macro="" textlink="">
      <cdr:nvSpPr>
        <cdr:cNvPr id="6" name="ZoneTexte 5"/>
        <cdr:cNvSpPr txBox="1"/>
      </cdr:nvSpPr>
      <cdr:spPr>
        <a:xfrm xmlns:a="http://schemas.openxmlformats.org/drawingml/2006/main">
          <a:off x="3237887" y="510641"/>
          <a:ext cx="396943" cy="2857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i="1"/>
            <a:t>22</a:t>
          </a:r>
        </a:p>
      </cdr:txBody>
    </cdr:sp>
  </cdr:relSizeAnchor>
  <cdr:relSizeAnchor xmlns:cdr="http://schemas.openxmlformats.org/drawingml/2006/chartDrawing">
    <cdr:from>
      <cdr:x>0.8581</cdr:x>
      <cdr:y>0.36479</cdr:y>
    </cdr:from>
    <cdr:to>
      <cdr:x>0.96295</cdr:x>
      <cdr:y>0.47507</cdr:y>
    </cdr:to>
    <cdr:sp macro="" textlink="">
      <cdr:nvSpPr>
        <cdr:cNvPr id="7" name="ZoneTexte 1"/>
        <cdr:cNvSpPr txBox="1"/>
      </cdr:nvSpPr>
      <cdr:spPr>
        <a:xfrm xmlns:a="http://schemas.openxmlformats.org/drawingml/2006/main">
          <a:off x="3248624" y="945106"/>
          <a:ext cx="396944" cy="2857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fr-FR" sz="900" i="1"/>
            <a:t>24</a:t>
          </a:r>
        </a:p>
      </cdr:txBody>
    </cdr:sp>
  </cdr:relSizeAnchor>
  <cdr:relSizeAnchor xmlns:cdr="http://schemas.openxmlformats.org/drawingml/2006/chartDrawing">
    <cdr:from>
      <cdr:x>0.59594</cdr:x>
      <cdr:y>0.5486</cdr:y>
    </cdr:from>
    <cdr:to>
      <cdr:x>0.70078</cdr:x>
      <cdr:y>0.65889</cdr:y>
    </cdr:to>
    <cdr:sp macro="" textlink="">
      <cdr:nvSpPr>
        <cdr:cNvPr id="8" name="ZoneTexte 1"/>
        <cdr:cNvSpPr txBox="1"/>
      </cdr:nvSpPr>
      <cdr:spPr>
        <a:xfrm xmlns:a="http://schemas.openxmlformats.org/drawingml/2006/main">
          <a:off x="2370124" y="1419149"/>
          <a:ext cx="416966" cy="28529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fr-FR" sz="900" b="1">
              <a:solidFill>
                <a:schemeClr val="bg1"/>
              </a:solidFill>
            </a:rPr>
            <a:t>3</a:t>
          </a:r>
        </a:p>
      </cdr:txBody>
    </cdr:sp>
  </cdr:relSizeAnchor>
  <cdr:relSizeAnchor xmlns:cdr="http://schemas.openxmlformats.org/drawingml/2006/chartDrawing">
    <cdr:from>
      <cdr:x>0.59065</cdr:x>
      <cdr:y>0.65484</cdr:y>
    </cdr:from>
    <cdr:to>
      <cdr:x>0.69549</cdr:x>
      <cdr:y>0.76513</cdr:y>
    </cdr:to>
    <cdr:sp macro="" textlink="">
      <cdr:nvSpPr>
        <cdr:cNvPr id="10" name="ZoneTexte 1"/>
        <cdr:cNvSpPr txBox="1"/>
      </cdr:nvSpPr>
      <cdr:spPr>
        <a:xfrm xmlns:a="http://schemas.openxmlformats.org/drawingml/2006/main">
          <a:off x="2500099" y="1696560"/>
          <a:ext cx="443763" cy="2857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fr-FR" sz="900" b="1">
              <a:solidFill>
                <a:sysClr val="window" lastClr="FFFFFF"/>
              </a:solidFill>
            </a:rPr>
            <a:t>20</a:t>
          </a:r>
        </a:p>
      </cdr:txBody>
    </cdr:sp>
  </cdr:relSizeAnchor>
  <cdr:relSizeAnchor xmlns:cdr="http://schemas.openxmlformats.org/drawingml/2006/chartDrawing">
    <cdr:from>
      <cdr:x>0.85724</cdr:x>
      <cdr:y>0.57108</cdr:y>
    </cdr:from>
    <cdr:to>
      <cdr:x>0.96209</cdr:x>
      <cdr:y>0.68136</cdr:y>
    </cdr:to>
    <cdr:sp macro="" textlink="">
      <cdr:nvSpPr>
        <cdr:cNvPr id="11" name="ZoneTexte 1"/>
        <cdr:cNvSpPr txBox="1"/>
      </cdr:nvSpPr>
      <cdr:spPr>
        <a:xfrm xmlns:a="http://schemas.openxmlformats.org/drawingml/2006/main">
          <a:off x="3245339" y="1479550"/>
          <a:ext cx="396944" cy="2857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900" i="1">
              <a:solidFill>
                <a:schemeClr val="bg1"/>
              </a:solidFill>
            </a:rPr>
            <a:t>20</a:t>
          </a:r>
        </a:p>
      </cdr:txBody>
    </cdr:sp>
  </cdr:relSizeAnchor>
  <cdr:relSizeAnchor xmlns:cdr="http://schemas.openxmlformats.org/drawingml/2006/chartDrawing">
    <cdr:from>
      <cdr:x>0.86673</cdr:x>
      <cdr:y>0.4769</cdr:y>
    </cdr:from>
    <cdr:to>
      <cdr:x>0.97158</cdr:x>
      <cdr:y>0.58718</cdr:y>
    </cdr:to>
    <cdr:sp macro="" textlink="">
      <cdr:nvSpPr>
        <cdr:cNvPr id="12" name="ZoneTexte 1"/>
        <cdr:cNvSpPr txBox="1"/>
      </cdr:nvSpPr>
      <cdr:spPr>
        <a:xfrm xmlns:a="http://schemas.openxmlformats.org/drawingml/2006/main">
          <a:off x="3277462" y="1235562"/>
          <a:ext cx="396482" cy="2857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900" i="1">
              <a:solidFill>
                <a:schemeClr val="bg1"/>
              </a:solidFill>
            </a:rPr>
            <a:t>3</a:t>
          </a:r>
        </a:p>
      </cdr:txBody>
    </cdr:sp>
  </cdr:relSizeAnchor>
</c:userShapes>
</file>

<file path=xl/drawings/drawing3.xml><?xml version="1.0" encoding="utf-8"?>
<c:userShapes xmlns:c="http://schemas.openxmlformats.org/drawingml/2006/chart">
  <cdr:relSizeAnchor xmlns:cdr="http://schemas.openxmlformats.org/drawingml/2006/chartDrawing">
    <cdr:from>
      <cdr:x>0.02415</cdr:x>
      <cdr:y>0.85356</cdr:y>
    </cdr:from>
    <cdr:to>
      <cdr:x>0.22266</cdr:x>
      <cdr:y>0.93144</cdr:y>
    </cdr:to>
    <cdr:sp macro="" textlink="">
      <cdr:nvSpPr>
        <cdr:cNvPr id="2" name="ZoneTexte 1"/>
        <cdr:cNvSpPr txBox="1"/>
      </cdr:nvSpPr>
      <cdr:spPr>
        <a:xfrm xmlns:a="http://schemas.openxmlformats.org/drawingml/2006/main">
          <a:off x="117232" y="1869305"/>
          <a:ext cx="963403" cy="170561"/>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r>
            <a:rPr lang="fr-FR" sz="700"/>
            <a:t>au 1er janvier</a:t>
          </a:r>
        </a:p>
      </cdr:txBody>
    </cdr:sp>
  </cdr:relSizeAnchor>
</c:userShapes>
</file>

<file path=xl/drawings/drawing4.xml><?xml version="1.0" encoding="utf-8"?>
<c:userShapes xmlns:c="http://schemas.openxmlformats.org/drawingml/2006/chart">
  <cdr:relSizeAnchor xmlns:cdr="http://schemas.openxmlformats.org/drawingml/2006/chartDrawing">
    <cdr:from>
      <cdr:x>0</cdr:x>
      <cdr:y>0.88943</cdr:y>
    </cdr:from>
    <cdr:to>
      <cdr:x>0.17422</cdr:x>
      <cdr:y>0.9833</cdr:y>
    </cdr:to>
    <cdr:sp macro="" textlink="">
      <cdr:nvSpPr>
        <cdr:cNvPr id="2" name="ZoneTexte 1"/>
        <cdr:cNvSpPr txBox="1"/>
      </cdr:nvSpPr>
      <cdr:spPr>
        <a:xfrm xmlns:a="http://schemas.openxmlformats.org/drawingml/2006/main">
          <a:off x="0" y="1655272"/>
          <a:ext cx="732693" cy="17469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fr-FR" sz="700"/>
            <a:t>au 1er janvier</a:t>
          </a:r>
          <a:endParaRPr lang="fr-FR" sz="700" i="1"/>
        </a:p>
      </cdr:txBody>
    </cdr:sp>
  </cdr:relSizeAnchor>
  <cdr:relSizeAnchor xmlns:cdr="http://schemas.openxmlformats.org/drawingml/2006/chartDrawing">
    <cdr:from>
      <cdr:x>0.1172</cdr:x>
      <cdr:y>0.01866</cdr:y>
    </cdr:from>
    <cdr:to>
      <cdr:x>1</cdr:x>
      <cdr:y>0.15672</cdr:y>
    </cdr:to>
    <cdr:sp macro="" textlink="">
      <cdr:nvSpPr>
        <cdr:cNvPr id="5" name="ZoneTexte 2"/>
        <cdr:cNvSpPr txBox="1"/>
      </cdr:nvSpPr>
      <cdr:spPr>
        <a:xfrm xmlns:a="http://schemas.openxmlformats.org/drawingml/2006/main">
          <a:off x="457053" y="47121"/>
          <a:ext cx="3442628" cy="3486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fr-FR" sz="1800"/>
        </a:p>
      </cdr:txBody>
    </cdr:sp>
  </cdr:relSizeAnchor>
  <cdr:relSizeAnchor xmlns:cdr="http://schemas.openxmlformats.org/drawingml/2006/chartDrawing">
    <cdr:from>
      <cdr:x>0.47474</cdr:x>
      <cdr:y>0.22047</cdr:y>
    </cdr:from>
    <cdr:to>
      <cdr:x>0.61912</cdr:x>
      <cdr:y>0.3189</cdr:y>
    </cdr:to>
    <cdr:sp macro="" textlink="">
      <cdr:nvSpPr>
        <cdr:cNvPr id="8" name="ZoneTexte 1"/>
        <cdr:cNvSpPr txBox="1"/>
      </cdr:nvSpPr>
      <cdr:spPr>
        <a:xfrm xmlns:a="http://schemas.openxmlformats.org/drawingml/2006/main">
          <a:off x="1982691" y="410308"/>
          <a:ext cx="602980" cy="18317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r"/>
          <a:r>
            <a:rPr lang="fr-FR" sz="900" i="1"/>
            <a:t>2 062</a:t>
          </a:r>
        </a:p>
      </cdr:txBody>
    </cdr:sp>
  </cdr:relSizeAnchor>
  <cdr:relSizeAnchor xmlns:cdr="http://schemas.openxmlformats.org/drawingml/2006/chartDrawing">
    <cdr:from>
      <cdr:x>0.82187</cdr:x>
      <cdr:y>0.36734</cdr:y>
    </cdr:from>
    <cdr:to>
      <cdr:x>0.96625</cdr:x>
      <cdr:y>0.4582</cdr:y>
    </cdr:to>
    <cdr:sp macro="" textlink="">
      <cdr:nvSpPr>
        <cdr:cNvPr id="9" name="ZoneTexte 1"/>
        <cdr:cNvSpPr txBox="1"/>
      </cdr:nvSpPr>
      <cdr:spPr>
        <a:xfrm xmlns:a="http://schemas.openxmlformats.org/drawingml/2006/main">
          <a:off x="3432429" y="683627"/>
          <a:ext cx="602981" cy="169094"/>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r"/>
          <a:r>
            <a:rPr lang="fr-FR" sz="900" i="1"/>
            <a:t>1</a:t>
          </a:r>
          <a:r>
            <a:rPr lang="fr-FR" sz="900" i="1" baseline="0"/>
            <a:t> 252</a:t>
          </a:r>
          <a:endParaRPr lang="fr-FR" sz="900" i="1"/>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45720</xdr:colOff>
      <xdr:row>5</xdr:row>
      <xdr:rowOff>121920</xdr:rowOff>
    </xdr:from>
    <xdr:to>
      <xdr:col>5</xdr:col>
      <xdr:colOff>685800</xdr:colOff>
      <xdr:row>26</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85725</xdr:colOff>
      <xdr:row>1</xdr:row>
      <xdr:rowOff>66674</xdr:rowOff>
    </xdr:from>
    <xdr:to>
      <xdr:col>5</xdr:col>
      <xdr:colOff>1038225</xdr:colOff>
      <xdr:row>30</xdr:row>
      <xdr:rowOff>152399</xdr:rowOff>
    </xdr:to>
    <xdr:graphicFrame macro="">
      <xdr:nvGraphicFramePr>
        <xdr:cNvPr id="7" name="Graphique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0.11875</cdr:x>
      <cdr:y>0.00801</cdr:y>
    </cdr:from>
    <cdr:to>
      <cdr:x>1</cdr:x>
      <cdr:y>0.06943</cdr:y>
    </cdr:to>
    <cdr:sp macro="" textlink="">
      <cdr:nvSpPr>
        <cdr:cNvPr id="2" name="ZoneTexte 1"/>
        <cdr:cNvSpPr txBox="1"/>
      </cdr:nvSpPr>
      <cdr:spPr>
        <a:xfrm xmlns:a="http://schemas.openxmlformats.org/drawingml/2006/main">
          <a:off x="542925" y="57151"/>
          <a:ext cx="4029075" cy="43815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r>
            <a:rPr lang="fr-FR" sz="1600" b="1"/>
            <a:t>Produits des principales recettes fiscales</a:t>
          </a:r>
        </a:p>
      </cdr:txBody>
    </cdr:sp>
  </cdr:relSizeAnchor>
  <cdr:relSizeAnchor xmlns:cdr="http://schemas.openxmlformats.org/drawingml/2006/chartDrawing">
    <cdr:from>
      <cdr:x>0</cdr:x>
      <cdr:y>0.02537</cdr:y>
    </cdr:from>
    <cdr:to>
      <cdr:x>0.10208</cdr:x>
      <cdr:y>0.06542</cdr:y>
    </cdr:to>
    <cdr:sp macro="" textlink="">
      <cdr:nvSpPr>
        <cdr:cNvPr id="3" name="ZoneTexte 2"/>
        <cdr:cNvSpPr txBox="1"/>
      </cdr:nvSpPr>
      <cdr:spPr>
        <a:xfrm xmlns:a="http://schemas.openxmlformats.org/drawingml/2006/main">
          <a:off x="0" y="180976"/>
          <a:ext cx="466725"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a:t>Md€</a:t>
          </a:r>
        </a:p>
      </cdr:txBody>
    </cdr:sp>
  </cdr:relSizeAnchor>
</c:userShapes>
</file>

<file path=xl/drawings/drawing8.xml><?xml version="1.0" encoding="utf-8"?>
<xdr:wsDr xmlns:xdr="http://schemas.openxmlformats.org/drawingml/2006/spreadsheetDrawing" xmlns:a="http://schemas.openxmlformats.org/drawingml/2006/main">
  <xdr:twoCellAnchor>
    <xdr:from>
      <xdr:col>1</xdr:col>
      <xdr:colOff>142874</xdr:colOff>
      <xdr:row>34</xdr:row>
      <xdr:rowOff>47625</xdr:rowOff>
    </xdr:from>
    <xdr:to>
      <xdr:col>7</xdr:col>
      <xdr:colOff>380999</xdr:colOff>
      <xdr:row>46</xdr:row>
      <xdr:rowOff>142875</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38099</xdr:colOff>
      <xdr:row>2</xdr:row>
      <xdr:rowOff>9524</xdr:rowOff>
    </xdr:from>
    <xdr:to>
      <xdr:col>7</xdr:col>
      <xdr:colOff>619125</xdr:colOff>
      <xdr:row>31</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0.00208</cdr:x>
      <cdr:y>0.0137</cdr:y>
    </cdr:from>
    <cdr:to>
      <cdr:x>0.11667</cdr:x>
      <cdr:y>0.07828</cdr:y>
    </cdr:to>
    <cdr:sp macro="" textlink="">
      <cdr:nvSpPr>
        <cdr:cNvPr id="2" name="ZoneTexte 1"/>
        <cdr:cNvSpPr txBox="1"/>
      </cdr:nvSpPr>
      <cdr:spPr>
        <a:xfrm xmlns:a="http://schemas.openxmlformats.org/drawingml/2006/main">
          <a:off x="9525" y="66676"/>
          <a:ext cx="523875" cy="314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a:t>Md€</a:t>
          </a:r>
        </a:p>
      </cdr:txBody>
    </cdr:sp>
  </cdr:relSizeAnchor>
  <cdr:relSizeAnchor xmlns:cdr="http://schemas.openxmlformats.org/drawingml/2006/chartDrawing">
    <cdr:from>
      <cdr:x>0.0875</cdr:x>
      <cdr:y>0.00783</cdr:y>
    </cdr:from>
    <cdr:to>
      <cdr:x>0.96875</cdr:x>
      <cdr:y>0.07862</cdr:y>
    </cdr:to>
    <cdr:sp macro="" textlink="">
      <cdr:nvSpPr>
        <cdr:cNvPr id="3" name="ZoneTexte 1"/>
        <cdr:cNvSpPr txBox="1"/>
      </cdr:nvSpPr>
      <cdr:spPr>
        <a:xfrm xmlns:a="http://schemas.openxmlformats.org/drawingml/2006/main">
          <a:off x="400050" y="38100"/>
          <a:ext cx="4029075" cy="344553"/>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r-FR" sz="1600" b="1"/>
            <a:t>Montants des transferts</a:t>
          </a:r>
        </a:p>
      </cdr:txBody>
    </cdr:sp>
  </cdr:relSizeAnchor>
</c:userShapes>
</file>

<file path=xl/drawings/drawing10.xml><?xml version="1.0" encoding="utf-8"?>
<xdr:wsDr xmlns:xdr="http://schemas.openxmlformats.org/drawingml/2006/spreadsheetDrawing" xmlns:a="http://schemas.openxmlformats.org/drawingml/2006/main">
  <xdr:twoCellAnchor>
    <xdr:from>
      <xdr:col>1</xdr:col>
      <xdr:colOff>22923</xdr:colOff>
      <xdr:row>39</xdr:row>
      <xdr:rowOff>37262</xdr:rowOff>
    </xdr:from>
    <xdr:to>
      <xdr:col>6</xdr:col>
      <xdr:colOff>699198</xdr:colOff>
      <xdr:row>54</xdr:row>
      <xdr:rowOff>130525</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57150</xdr:colOff>
      <xdr:row>2</xdr:row>
      <xdr:rowOff>9525</xdr:rowOff>
    </xdr:from>
    <xdr:to>
      <xdr:col>6</xdr:col>
      <xdr:colOff>704850</xdr:colOff>
      <xdr:row>18</xdr:row>
      <xdr:rowOff>161925</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21</xdr:row>
      <xdr:rowOff>0</xdr:rowOff>
    </xdr:from>
    <xdr:to>
      <xdr:col>6</xdr:col>
      <xdr:colOff>676275</xdr:colOff>
      <xdr:row>38</xdr:row>
      <xdr:rowOff>1989</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0.07246</cdr:x>
      <cdr:y>0.0198</cdr:y>
    </cdr:from>
    <cdr:to>
      <cdr:x>0.89104</cdr:x>
      <cdr:y>0.15913</cdr:y>
    </cdr:to>
    <cdr:sp macro="" textlink="">
      <cdr:nvSpPr>
        <cdr:cNvPr id="3" name="ZoneTexte 1"/>
        <cdr:cNvSpPr txBox="1"/>
      </cdr:nvSpPr>
      <cdr:spPr>
        <a:xfrm xmlns:a="http://schemas.openxmlformats.org/drawingml/2006/main">
          <a:off x="333375" y="57150"/>
          <a:ext cx="3765913" cy="40212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fr-FR" sz="1600" b="1"/>
            <a:t>Répartition des agents par catégorie</a:t>
          </a:r>
        </a:p>
      </cdr:txBody>
    </cdr:sp>
  </cdr:relSizeAnchor>
</c:userShapes>
</file>

<file path=xl/drawings/drawing12.xml><?xml version="1.0" encoding="utf-8"?>
<c:userShapes xmlns:c="http://schemas.openxmlformats.org/drawingml/2006/chart">
  <cdr:relSizeAnchor xmlns:cdr="http://schemas.openxmlformats.org/drawingml/2006/chartDrawing">
    <cdr:from>
      <cdr:x>0.04375</cdr:x>
      <cdr:y>0.00893</cdr:y>
    </cdr:from>
    <cdr:to>
      <cdr:x>0.99792</cdr:x>
      <cdr:y>0.09524</cdr:y>
    </cdr:to>
    <cdr:sp macro="" textlink="">
      <cdr:nvSpPr>
        <cdr:cNvPr id="2" name="ZoneTexte 1"/>
        <cdr:cNvSpPr txBox="1"/>
      </cdr:nvSpPr>
      <cdr:spPr>
        <a:xfrm xmlns:a="http://schemas.openxmlformats.org/drawingml/2006/main">
          <a:off x="200025" y="28575"/>
          <a:ext cx="4362450"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600" b="1"/>
            <a:t>Taux de croissance annuel</a:t>
          </a:r>
          <a:r>
            <a:rPr lang="fr-FR" sz="1600" b="1" baseline="0"/>
            <a:t> des effectifs de la FPT</a:t>
          </a:r>
          <a:endParaRPr lang="fr-FR" sz="1600" b="1"/>
        </a:p>
      </cdr:txBody>
    </cdr:sp>
  </cdr:relSizeAnchor>
</c:userShapes>
</file>

<file path=xl/drawings/drawing13.xml><?xml version="1.0" encoding="utf-8"?>
<c:userShapes xmlns:c="http://schemas.openxmlformats.org/drawingml/2006/chart">
  <cdr:relSizeAnchor xmlns:cdr="http://schemas.openxmlformats.org/drawingml/2006/chartDrawing">
    <cdr:from>
      <cdr:x>0</cdr:x>
      <cdr:y>0</cdr:y>
    </cdr:from>
    <cdr:to>
      <cdr:x>0.18598</cdr:x>
      <cdr:y>0.18052</cdr:y>
    </cdr:to>
    <cdr:sp macro="" textlink="">
      <cdr:nvSpPr>
        <cdr:cNvPr id="2" name="ZoneTexte 1"/>
        <cdr:cNvSpPr txBox="1"/>
      </cdr:nvSpPr>
      <cdr:spPr>
        <a:xfrm xmlns:a="http://schemas.openxmlformats.org/drawingml/2006/main">
          <a:off x="0" y="0"/>
          <a:ext cx="855615" cy="6000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000"/>
            <a:t>En EQTP pour 1000 habitants</a:t>
          </a:r>
        </a:p>
      </cdr:txBody>
    </cdr:sp>
  </cdr:relSizeAnchor>
  <cdr:relSizeAnchor xmlns:cdr="http://schemas.openxmlformats.org/drawingml/2006/chartDrawing">
    <cdr:from>
      <cdr:x>0.17279</cdr:x>
      <cdr:y>0.01613</cdr:y>
    </cdr:from>
    <cdr:to>
      <cdr:x>0.99136</cdr:x>
      <cdr:y>0.1371</cdr:y>
    </cdr:to>
    <cdr:sp macro="" textlink="">
      <cdr:nvSpPr>
        <cdr:cNvPr id="3" name="ZoneTexte 2"/>
        <cdr:cNvSpPr txBox="1"/>
      </cdr:nvSpPr>
      <cdr:spPr>
        <a:xfrm xmlns:a="http://schemas.openxmlformats.org/drawingml/2006/main">
          <a:off x="762001" y="57151"/>
          <a:ext cx="3609974"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600" b="1"/>
            <a:t>Agents territoriaux pour 1000 habitants</a:t>
          </a:r>
        </a:p>
      </cdr:txBody>
    </cdr:sp>
  </cdr:relSizeAnchor>
  <cdr:relSizeAnchor xmlns:cdr="http://schemas.openxmlformats.org/drawingml/2006/chartDrawing">
    <cdr:from>
      <cdr:x>0.12008</cdr:x>
      <cdr:y>0.85673</cdr:y>
    </cdr:from>
    <cdr:to>
      <cdr:x>0.7619</cdr:x>
      <cdr:y>0.92264</cdr:y>
    </cdr:to>
    <cdr:sp macro="" textlink="">
      <cdr:nvSpPr>
        <cdr:cNvPr id="4" name="ZoneTexte 3"/>
        <cdr:cNvSpPr txBox="1"/>
      </cdr:nvSpPr>
      <cdr:spPr>
        <a:xfrm xmlns:a="http://schemas.openxmlformats.org/drawingml/2006/main">
          <a:off x="552450" y="2847975"/>
          <a:ext cx="295275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fr-FR" sz="1100"/>
            <a:t>Taille des communes</a:t>
          </a:r>
        </a:p>
      </cdr:txBody>
    </cdr:sp>
  </cdr:relSizeAnchor>
</c:userShape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J39"/>
  <sheetViews>
    <sheetView topLeftCell="A4" workbookViewId="0">
      <selection activeCell="B29" sqref="B29"/>
    </sheetView>
  </sheetViews>
  <sheetFormatPr baseColWidth="10" defaultColWidth="11.42578125" defaultRowHeight="12.75"/>
  <cols>
    <col min="1" max="1" width="7.140625" style="1" customWidth="1"/>
    <col min="2" max="6" width="14.42578125" style="1" customWidth="1"/>
    <col min="7" max="16384" width="11.42578125" style="1"/>
  </cols>
  <sheetData>
    <row r="6" spans="6:6" ht="12.95" customHeight="1"/>
    <row r="7" spans="6:6" ht="12.95" customHeight="1"/>
    <row r="8" spans="6:6" ht="12.95" customHeight="1"/>
    <row r="9" spans="6:6" ht="12.95" customHeight="1"/>
    <row r="10" spans="6:6" ht="30" customHeight="1">
      <c r="F10" s="8" t="s">
        <v>5</v>
      </c>
    </row>
    <row r="11" spans="6:6" ht="30" customHeight="1">
      <c r="F11" s="6">
        <v>1</v>
      </c>
    </row>
    <row r="12" spans="6:6" ht="12.95" customHeight="1"/>
    <row r="13" spans="6:6" ht="12.95" customHeight="1"/>
    <row r="14" spans="6:6" ht="12.95" customHeight="1"/>
    <row r="15" spans="6:6" ht="12.95" customHeight="1"/>
    <row r="16" spans="6:6" ht="12.95" customHeight="1"/>
    <row r="17" spans="2:10" ht="12.95" customHeight="1"/>
    <row r="18" spans="2:10" ht="12.95" customHeight="1"/>
    <row r="19" spans="2:10" ht="12.95" customHeight="1"/>
    <row r="20" spans="2:10" ht="30" customHeight="1">
      <c r="B20" s="7" t="s">
        <v>2</v>
      </c>
    </row>
    <row r="21" spans="2:10" ht="30" customHeight="1">
      <c r="B21" s="7" t="s">
        <v>3</v>
      </c>
      <c r="C21" s="7"/>
      <c r="D21" s="7"/>
      <c r="E21" s="7"/>
      <c r="F21" s="7"/>
      <c r="G21" s="7"/>
      <c r="H21" s="7"/>
      <c r="I21" s="3"/>
      <c r="J21" s="3"/>
    </row>
    <row r="22" spans="2:10" ht="30" customHeight="1">
      <c r="B22" s="7" t="s">
        <v>4</v>
      </c>
      <c r="C22" s="7"/>
      <c r="D22" s="7"/>
      <c r="E22" s="7"/>
      <c r="F22" s="7"/>
      <c r="G22" s="7"/>
      <c r="H22" s="7"/>
    </row>
    <row r="23" spans="2:10" ht="12.95" customHeight="1"/>
    <row r="24" spans="2:10" ht="12.95" customHeight="1">
      <c r="B24" s="151" t="s">
        <v>57</v>
      </c>
    </row>
    <row r="25" spans="2:10" ht="12.95" customHeight="1">
      <c r="B25" s="151" t="s">
        <v>58</v>
      </c>
    </row>
    <row r="26" spans="2:10" ht="12.95" customHeight="1">
      <c r="B26" s="151" t="s">
        <v>59</v>
      </c>
    </row>
    <row r="27" spans="2:10" ht="12.95" customHeight="1">
      <c r="B27" s="151" t="s">
        <v>60</v>
      </c>
    </row>
    <row r="28" spans="2:10" ht="12.95" customHeight="1">
      <c r="B28" s="151" t="s">
        <v>61</v>
      </c>
    </row>
    <row r="29" spans="2:10" ht="12.95" customHeight="1">
      <c r="B29" s="4"/>
      <c r="C29" s="4"/>
      <c r="D29" s="4"/>
      <c r="E29" s="4"/>
      <c r="F29" s="2"/>
    </row>
    <row r="30" spans="2:10" ht="12.95" customHeight="1">
      <c r="B30" s="4"/>
      <c r="C30" s="4"/>
      <c r="D30" s="4"/>
      <c r="E30" s="4"/>
      <c r="F30" s="4"/>
    </row>
    <row r="31" spans="2:10" ht="12.95" customHeight="1"/>
    <row r="32" spans="2:10" ht="12.95" customHeight="1"/>
    <row r="33" ht="12.95" customHeight="1"/>
    <row r="34" ht="12.95" customHeight="1"/>
    <row r="35" ht="12.95" customHeight="1"/>
    <row r="36" ht="12.95" customHeight="1"/>
    <row r="37" ht="12.95" customHeight="1"/>
    <row r="38" ht="12.95" customHeight="1"/>
    <row r="39" ht="12.95" customHeight="1"/>
  </sheetData>
  <phoneticPr fontId="3" type="noConversion"/>
  <pageMargins left="0.78740157499999996" right="0.78740157499999996" top="0.984251969" bottom="0.984251969" header="0.4921259845" footer="0.492125984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AM54"/>
  <sheetViews>
    <sheetView topLeftCell="A22" zoomScaleNormal="100" workbookViewId="0">
      <selection activeCell="W41" sqref="W41"/>
    </sheetView>
  </sheetViews>
  <sheetFormatPr baseColWidth="10" defaultColWidth="14.85546875" defaultRowHeight="12.75"/>
  <cols>
    <col min="1" max="1" width="24.42578125" style="10" customWidth="1"/>
    <col min="2" max="9" width="10.42578125" style="10" customWidth="1"/>
    <col min="10" max="10" width="3.5703125" style="10" customWidth="1"/>
    <col min="11" max="11" width="36.28515625" style="172" customWidth="1"/>
    <col min="12" max="12" width="7.42578125" style="172" bestFit="1" customWidth="1"/>
    <col min="13" max="15" width="8.140625" style="172" bestFit="1" customWidth="1"/>
    <col min="16" max="16" width="7.5703125" style="172" customWidth="1"/>
    <col min="17" max="19" width="8.140625" style="172" bestFit="1" customWidth="1"/>
    <col min="20" max="20" width="7.5703125" style="172" customWidth="1"/>
    <col min="21" max="21" width="8.140625" style="172" bestFit="1" customWidth="1"/>
    <col min="22" max="22" width="7.5703125" style="172" bestFit="1" customWidth="1"/>
    <col min="23" max="23" width="8.140625" style="172" bestFit="1" customWidth="1"/>
    <col min="24" max="24" width="7.5703125" style="172" customWidth="1"/>
    <col min="25" max="25" width="8.140625" style="172" bestFit="1" customWidth="1"/>
    <col min="26" max="26" width="7.5703125" style="172" bestFit="1" customWidth="1"/>
    <col min="27" max="27" width="8.140625" style="172" bestFit="1" customWidth="1"/>
    <col min="28" max="38" width="7.5703125" style="172" bestFit="1" customWidth="1"/>
    <col min="39" max="39" width="8.140625" style="172" bestFit="1" customWidth="1"/>
    <col min="40" max="16384" width="14.85546875" style="10"/>
  </cols>
  <sheetData>
    <row r="1" spans="1:39" ht="27.75">
      <c r="A1" s="20" t="s">
        <v>34</v>
      </c>
      <c r="B1" s="19"/>
      <c r="C1" s="19"/>
      <c r="D1" s="19"/>
      <c r="E1" s="19"/>
      <c r="F1" s="19"/>
      <c r="G1" s="19"/>
      <c r="H1" s="19"/>
    </row>
    <row r="2" spans="1:39" ht="62.25" customHeight="1">
      <c r="A2" s="293" t="s">
        <v>107</v>
      </c>
      <c r="B2" s="294"/>
      <c r="C2" s="294"/>
      <c r="D2" s="294"/>
      <c r="E2" s="294"/>
      <c r="F2" s="294"/>
      <c r="G2" s="294"/>
      <c r="H2" s="294"/>
    </row>
    <row r="3" spans="1:39" ht="12.75" customHeight="1">
      <c r="A3" s="165"/>
      <c r="B3" s="166"/>
      <c r="C3" s="166"/>
      <c r="D3" s="166"/>
      <c r="E3" s="166"/>
      <c r="F3" s="166"/>
      <c r="G3" s="166"/>
      <c r="H3" s="166"/>
    </row>
    <row r="4" spans="1:39" s="168" customFormat="1" ht="15.75">
      <c r="A4" s="125" t="s">
        <v>8</v>
      </c>
      <c r="B4" s="167"/>
      <c r="C4" s="167"/>
      <c r="D4" s="167"/>
      <c r="E4" s="167"/>
      <c r="F4" s="167"/>
      <c r="G4" s="167"/>
      <c r="H4" s="167"/>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row>
    <row r="5" spans="1:39" s="22" customFormat="1" ht="15" customHeight="1">
      <c r="A5" s="295" t="s">
        <v>98</v>
      </c>
      <c r="K5" s="172" t="s">
        <v>113</v>
      </c>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row>
    <row r="6" spans="1:39" s="24" customFormat="1" ht="15" customHeight="1">
      <c r="A6" s="295"/>
      <c r="K6" s="174"/>
      <c r="L6" s="169"/>
      <c r="M6" s="169"/>
      <c r="N6" s="169"/>
      <c r="O6" s="169"/>
      <c r="P6" s="169"/>
      <c r="Q6" s="169"/>
      <c r="R6" s="169"/>
      <c r="S6" s="169"/>
      <c r="T6" s="169"/>
      <c r="U6" s="169"/>
      <c r="V6" s="169"/>
      <c r="W6" s="169"/>
      <c r="X6" s="169"/>
      <c r="Y6" s="169"/>
      <c r="Z6" s="169"/>
      <c r="AA6" s="169"/>
      <c r="AB6" s="169"/>
      <c r="AC6" s="169"/>
      <c r="AD6" s="169"/>
      <c r="AE6" s="169"/>
      <c r="AF6" s="169"/>
      <c r="AG6" s="169"/>
      <c r="AH6" s="174"/>
      <c r="AI6" s="174"/>
      <c r="AJ6" s="174"/>
      <c r="AK6" s="174"/>
      <c r="AL6" s="174"/>
      <c r="AM6" s="174"/>
    </row>
    <row r="7" spans="1:39" s="22" customFormat="1" ht="15" customHeight="1">
      <c r="A7" s="295"/>
      <c r="K7" s="175"/>
      <c r="L7" s="195">
        <v>1999</v>
      </c>
      <c r="M7" s="176">
        <v>2000</v>
      </c>
      <c r="N7" s="176">
        <v>2001</v>
      </c>
      <c r="O7" s="176">
        <v>2002</v>
      </c>
      <c r="P7" s="176">
        <v>2003</v>
      </c>
      <c r="Q7" s="176">
        <v>2004</v>
      </c>
      <c r="R7" s="176">
        <v>2005</v>
      </c>
      <c r="S7" s="176">
        <v>2006</v>
      </c>
      <c r="T7" s="176">
        <v>2007</v>
      </c>
      <c r="U7" s="176">
        <v>2008</v>
      </c>
      <c r="V7" s="176">
        <v>2009</v>
      </c>
      <c r="W7" s="176">
        <v>2010</v>
      </c>
      <c r="X7" s="176">
        <v>2011</v>
      </c>
      <c r="Y7" s="176">
        <v>2012</v>
      </c>
      <c r="Z7" s="176">
        <v>2013</v>
      </c>
      <c r="AA7" s="176">
        <v>2014</v>
      </c>
      <c r="AB7" s="176">
        <v>2015</v>
      </c>
      <c r="AC7" s="176">
        <v>2016</v>
      </c>
      <c r="AD7" s="176">
        <v>2017</v>
      </c>
      <c r="AE7" s="176">
        <v>2018</v>
      </c>
      <c r="AF7" s="176">
        <v>2019</v>
      </c>
      <c r="AG7" s="176">
        <v>2020</v>
      </c>
      <c r="AH7" s="176">
        <v>2021</v>
      </c>
      <c r="AI7" s="176">
        <v>2022</v>
      </c>
      <c r="AJ7" s="176">
        <v>2023</v>
      </c>
      <c r="AK7" s="176">
        <v>2024</v>
      </c>
      <c r="AL7" s="176">
        <v>2025</v>
      </c>
      <c r="AM7" s="176">
        <v>2026</v>
      </c>
    </row>
    <row r="8" spans="1:39" s="22" customFormat="1" ht="15" customHeight="1">
      <c r="A8" s="295"/>
      <c r="K8" s="177" t="s">
        <v>8</v>
      </c>
      <c r="L8" s="193">
        <v>36679</v>
      </c>
      <c r="M8" s="189">
        <v>36679</v>
      </c>
      <c r="N8" s="189">
        <v>36679</v>
      </c>
      <c r="O8" s="189">
        <v>36679</v>
      </c>
      <c r="P8" s="189">
        <v>36678</v>
      </c>
      <c r="Q8" s="189">
        <v>36682</v>
      </c>
      <c r="R8" s="189">
        <v>36684</v>
      </c>
      <c r="S8" s="189">
        <v>36684</v>
      </c>
      <c r="T8" s="189">
        <v>36683</v>
      </c>
      <c r="U8" s="190">
        <v>36683</v>
      </c>
      <c r="V8" s="190">
        <v>36682</v>
      </c>
      <c r="W8" s="189">
        <v>36682</v>
      </c>
      <c r="X8" s="189">
        <v>36680</v>
      </c>
      <c r="Y8" s="189">
        <v>36700</v>
      </c>
      <c r="Z8" s="189">
        <v>36681</v>
      </c>
      <c r="AA8" s="189">
        <v>36681</v>
      </c>
      <c r="AB8" s="189">
        <v>36658</v>
      </c>
      <c r="AC8" s="189">
        <v>35885</v>
      </c>
      <c r="AD8" s="189">
        <v>35416</v>
      </c>
      <c r="AE8" s="189">
        <v>35357</v>
      </c>
      <c r="AF8" s="189">
        <v>34970</v>
      </c>
      <c r="AG8" s="189">
        <v>34968</v>
      </c>
      <c r="AH8" s="189">
        <v>34965</v>
      </c>
      <c r="AI8" s="189">
        <v>34955</v>
      </c>
      <c r="AJ8" s="189">
        <v>34945</v>
      </c>
      <c r="AK8" s="189">
        <v>34935</v>
      </c>
      <c r="AL8" s="189">
        <v>34875</v>
      </c>
      <c r="AM8" s="189">
        <v>34875</v>
      </c>
    </row>
    <row r="9" spans="1:39" s="24" customFormat="1" ht="15" customHeight="1">
      <c r="A9" s="295"/>
      <c r="K9" s="169"/>
      <c r="L9" s="169"/>
      <c r="M9" s="169"/>
      <c r="N9" s="169"/>
      <c r="O9" s="169"/>
      <c r="P9" s="169"/>
      <c r="Q9" s="169"/>
      <c r="R9" s="169"/>
      <c r="S9" s="169"/>
      <c r="T9" s="169"/>
      <c r="U9" s="169"/>
      <c r="V9" s="169"/>
      <c r="W9" s="169"/>
      <c r="X9" s="169"/>
      <c r="Y9" s="169"/>
      <c r="Z9" s="169"/>
      <c r="AA9" s="169"/>
      <c r="AB9" s="169"/>
      <c r="AC9" s="169"/>
      <c r="AD9" s="169"/>
      <c r="AE9" s="169"/>
      <c r="AF9" s="169"/>
      <c r="AG9" s="169"/>
      <c r="AH9" s="169"/>
      <c r="AI9" s="169"/>
      <c r="AJ9" s="169"/>
      <c r="AK9" s="169"/>
      <c r="AL9" s="169"/>
      <c r="AM9" s="169"/>
    </row>
    <row r="10" spans="1:39" s="22" customFormat="1" ht="15" customHeight="1">
      <c r="A10" s="295"/>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row>
    <row r="11" spans="1:39" s="22" customFormat="1" ht="15" customHeight="1">
      <c r="A11" s="295"/>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row>
    <row r="12" spans="1:39" s="22" customFormat="1" ht="15" customHeight="1">
      <c r="A12" s="295"/>
      <c r="K12" s="169"/>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row>
    <row r="13" spans="1:39" s="22" customFormat="1" ht="15" customHeight="1">
      <c r="A13" s="295"/>
      <c r="K13" s="169"/>
      <c r="L13" s="169"/>
      <c r="M13" s="169"/>
      <c r="N13" s="169"/>
      <c r="O13" s="169"/>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row>
    <row r="14" spans="1:39" s="22" customFormat="1" ht="15" customHeight="1">
      <c r="A14" s="295"/>
      <c r="K14" s="169"/>
      <c r="L14" s="169"/>
      <c r="M14" s="169"/>
      <c r="N14" s="169"/>
      <c r="O14" s="169"/>
      <c r="P14" s="169"/>
      <c r="Q14" s="169"/>
      <c r="R14" s="169"/>
      <c r="S14" s="169"/>
      <c r="T14" s="169"/>
      <c r="U14" s="169"/>
      <c r="V14" s="169"/>
      <c r="W14" s="169"/>
      <c r="X14" s="169"/>
      <c r="Y14" s="169"/>
      <c r="Z14" s="169"/>
      <c r="AA14" s="169"/>
      <c r="AB14" s="169"/>
      <c r="AC14" s="169"/>
      <c r="AD14" s="169"/>
      <c r="AE14" s="169"/>
      <c r="AF14" s="169"/>
      <c r="AG14" s="169"/>
      <c r="AH14" s="169"/>
      <c r="AI14" s="169"/>
      <c r="AJ14" s="169"/>
      <c r="AK14" s="169"/>
      <c r="AL14" s="169"/>
      <c r="AM14" s="169"/>
    </row>
    <row r="15" spans="1:39" s="22" customFormat="1" ht="15" customHeight="1">
      <c r="A15" s="295"/>
      <c r="K15" s="169"/>
      <c r="L15" s="169"/>
      <c r="M15" s="169"/>
      <c r="N15" s="169"/>
      <c r="O15" s="169"/>
      <c r="P15" s="169"/>
      <c r="Q15" s="169"/>
      <c r="R15" s="169"/>
      <c r="S15" s="169"/>
      <c r="T15" s="169"/>
      <c r="U15" s="169"/>
      <c r="V15" s="169"/>
      <c r="W15" s="169"/>
      <c r="X15" s="169"/>
      <c r="Y15" s="169"/>
      <c r="Z15" s="169"/>
      <c r="AA15" s="169"/>
      <c r="AB15" s="169"/>
      <c r="AC15" s="169"/>
      <c r="AD15" s="169"/>
      <c r="AE15" s="169"/>
      <c r="AF15" s="169"/>
      <c r="AG15" s="169"/>
      <c r="AH15" s="169"/>
      <c r="AI15" s="169"/>
      <c r="AJ15" s="169"/>
      <c r="AK15" s="169"/>
      <c r="AL15" s="169"/>
      <c r="AM15" s="169"/>
    </row>
    <row r="16" spans="1:39" s="22" customFormat="1" ht="15" customHeight="1">
      <c r="A16" s="295"/>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row>
    <row r="17" spans="1:39" s="22" customFormat="1" ht="15" customHeight="1">
      <c r="A17" s="170" t="s">
        <v>97</v>
      </c>
      <c r="C17" s="191" t="s">
        <v>99</v>
      </c>
      <c r="D17" s="28"/>
      <c r="E17" s="28"/>
      <c r="K17" s="169"/>
      <c r="L17" s="169"/>
      <c r="M17" s="169"/>
      <c r="N17" s="169"/>
      <c r="O17" s="169"/>
      <c r="P17" s="169"/>
      <c r="Q17" s="169"/>
      <c r="R17" s="169"/>
      <c r="S17" s="169"/>
      <c r="T17" s="169"/>
      <c r="U17" s="169"/>
      <c r="V17" s="169"/>
      <c r="W17" s="169"/>
      <c r="X17" s="169"/>
      <c r="Y17" s="169"/>
      <c r="Z17" s="169"/>
      <c r="AA17" s="169"/>
      <c r="AB17" s="169"/>
      <c r="AC17" s="169"/>
      <c r="AD17" s="169"/>
      <c r="AE17" s="169"/>
      <c r="AF17" s="169"/>
      <c r="AG17" s="169"/>
      <c r="AH17" s="169"/>
      <c r="AI17" s="169"/>
      <c r="AJ17" s="169"/>
      <c r="AK17" s="169"/>
      <c r="AL17" s="169"/>
      <c r="AM17" s="169"/>
    </row>
    <row r="18" spans="1:39" s="22" customFormat="1" ht="15" customHeight="1">
      <c r="C18" s="191" t="s">
        <v>100</v>
      </c>
      <c r="K18" s="169"/>
      <c r="L18" s="169"/>
      <c r="M18" s="169"/>
      <c r="N18" s="169"/>
      <c r="O18" s="169"/>
      <c r="P18" s="169"/>
      <c r="Q18" s="169"/>
      <c r="R18" s="169"/>
      <c r="S18" s="169"/>
      <c r="T18" s="169"/>
      <c r="U18" s="169"/>
      <c r="V18" s="169"/>
      <c r="W18" s="169"/>
      <c r="X18" s="169"/>
      <c r="Y18" s="169"/>
      <c r="Z18" s="169"/>
      <c r="AA18" s="169"/>
      <c r="AB18" s="169"/>
      <c r="AC18" s="169"/>
      <c r="AD18" s="169"/>
      <c r="AE18" s="169"/>
      <c r="AF18" s="169"/>
      <c r="AG18" s="169"/>
      <c r="AH18" s="169"/>
      <c r="AI18" s="169"/>
      <c r="AJ18" s="169"/>
      <c r="AK18" s="169"/>
      <c r="AL18" s="169"/>
      <c r="AM18" s="169"/>
    </row>
    <row r="19" spans="1:39" s="22" customFormat="1" ht="15" customHeight="1">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c r="AM19" s="169"/>
    </row>
    <row r="20" spans="1:39" s="168" customFormat="1" ht="15.75">
      <c r="A20" s="125" t="s">
        <v>101</v>
      </c>
      <c r="B20" s="167"/>
      <c r="C20" s="167"/>
      <c r="D20" s="167"/>
      <c r="E20" s="167"/>
      <c r="F20" s="167"/>
      <c r="G20" s="167"/>
      <c r="H20" s="167"/>
      <c r="K20" s="169"/>
      <c r="L20" s="169"/>
      <c r="M20" s="169"/>
      <c r="N20" s="169"/>
      <c r="O20" s="169"/>
      <c r="P20" s="169"/>
      <c r="Q20" s="169"/>
      <c r="R20" s="169"/>
      <c r="S20" s="169"/>
      <c r="T20" s="169"/>
      <c r="U20" s="169"/>
      <c r="V20" s="169"/>
      <c r="W20" s="169"/>
      <c r="X20" s="169"/>
      <c r="Y20" s="169"/>
      <c r="Z20" s="169"/>
      <c r="AA20" s="169"/>
      <c r="AB20" s="169"/>
      <c r="AC20" s="169"/>
      <c r="AD20" s="169"/>
      <c r="AE20" s="169"/>
      <c r="AF20" s="169"/>
      <c r="AG20" s="169"/>
      <c r="AH20" s="169"/>
      <c r="AI20" s="169"/>
      <c r="AJ20" s="169"/>
      <c r="AK20" s="169"/>
      <c r="AL20" s="169"/>
      <c r="AM20" s="169"/>
    </row>
    <row r="21" spans="1:39" s="22" customFormat="1" ht="15" customHeight="1">
      <c r="A21" s="296" t="s">
        <v>109</v>
      </c>
      <c r="B21" s="25"/>
      <c r="C21" s="26"/>
      <c r="D21" s="26"/>
      <c r="F21" s="25"/>
      <c r="G21" s="26"/>
      <c r="H21" s="26"/>
      <c r="K21" s="169"/>
      <c r="L21" s="169"/>
      <c r="M21" s="169"/>
      <c r="N21" s="169"/>
      <c r="O21" s="169"/>
      <c r="P21" s="169"/>
      <c r="Q21" s="169"/>
      <c r="R21" s="169"/>
      <c r="S21" s="169"/>
      <c r="T21" s="169"/>
      <c r="U21" s="169"/>
      <c r="V21" s="169"/>
      <c r="W21" s="169"/>
      <c r="X21" s="169"/>
      <c r="Y21" s="169"/>
      <c r="Z21" s="169"/>
      <c r="AA21" s="169"/>
      <c r="AB21" s="169"/>
      <c r="AC21" s="169"/>
      <c r="AD21" s="169"/>
      <c r="AE21" s="169"/>
      <c r="AF21" s="169"/>
      <c r="AG21" s="169"/>
      <c r="AH21" s="169"/>
      <c r="AI21" s="169"/>
      <c r="AJ21" s="169"/>
      <c r="AK21" s="169"/>
      <c r="AL21" s="169"/>
      <c r="AM21" s="169"/>
    </row>
    <row r="22" spans="1:39" s="22" customFormat="1" ht="15" customHeight="1">
      <c r="A22" s="296"/>
      <c r="B22" s="27"/>
      <c r="C22" s="27"/>
      <c r="D22" s="27"/>
      <c r="E22" s="27"/>
      <c r="F22" s="27"/>
      <c r="G22" s="27"/>
      <c r="H22" s="27"/>
      <c r="K22" s="169"/>
      <c r="L22" s="169"/>
      <c r="M22" s="169"/>
      <c r="N22" s="169"/>
      <c r="O22" s="169"/>
      <c r="P22" s="169"/>
      <c r="Q22" s="169"/>
      <c r="R22" s="169"/>
      <c r="S22" s="169"/>
      <c r="T22" s="169"/>
      <c r="U22" s="169"/>
      <c r="V22" s="169"/>
      <c r="W22" s="169"/>
      <c r="X22" s="169"/>
      <c r="Y22" s="169"/>
      <c r="Z22" s="169"/>
      <c r="AA22" s="169"/>
      <c r="AB22" s="169"/>
      <c r="AC22" s="169"/>
      <c r="AD22" s="169"/>
      <c r="AE22" s="169"/>
      <c r="AF22" s="169"/>
      <c r="AG22" s="169"/>
      <c r="AH22" s="169"/>
      <c r="AI22" s="169"/>
      <c r="AJ22" s="169"/>
      <c r="AK22" s="169"/>
      <c r="AL22" s="169"/>
      <c r="AM22" s="169"/>
    </row>
    <row r="23" spans="1:39" s="22" customFormat="1" ht="15" customHeight="1">
      <c r="A23" s="296"/>
      <c r="B23" s="27"/>
      <c r="C23" s="27"/>
      <c r="D23" s="27"/>
      <c r="E23" s="27"/>
      <c r="F23" s="27"/>
      <c r="G23" s="27"/>
      <c r="H23" s="27"/>
      <c r="K23" s="178"/>
      <c r="L23" s="195">
        <v>1999</v>
      </c>
      <c r="M23" s="176">
        <f>M7</f>
        <v>2000</v>
      </c>
      <c r="N23" s="176">
        <f t="shared" ref="N23:AM23" si="0">N7</f>
        <v>2001</v>
      </c>
      <c r="O23" s="176">
        <f t="shared" si="0"/>
        <v>2002</v>
      </c>
      <c r="P23" s="176">
        <f t="shared" si="0"/>
        <v>2003</v>
      </c>
      <c r="Q23" s="176">
        <f t="shared" si="0"/>
        <v>2004</v>
      </c>
      <c r="R23" s="176">
        <f t="shared" si="0"/>
        <v>2005</v>
      </c>
      <c r="S23" s="176">
        <f t="shared" si="0"/>
        <v>2006</v>
      </c>
      <c r="T23" s="176">
        <f t="shared" si="0"/>
        <v>2007</v>
      </c>
      <c r="U23" s="176">
        <f t="shared" si="0"/>
        <v>2008</v>
      </c>
      <c r="V23" s="176">
        <f t="shared" si="0"/>
        <v>2009</v>
      </c>
      <c r="W23" s="176">
        <f t="shared" si="0"/>
        <v>2010</v>
      </c>
      <c r="X23" s="176">
        <f t="shared" si="0"/>
        <v>2011</v>
      </c>
      <c r="Y23" s="176">
        <f t="shared" si="0"/>
        <v>2012</v>
      </c>
      <c r="Z23" s="176">
        <f t="shared" si="0"/>
        <v>2013</v>
      </c>
      <c r="AA23" s="176">
        <f t="shared" si="0"/>
        <v>2014</v>
      </c>
      <c r="AB23" s="176">
        <f t="shared" si="0"/>
        <v>2015</v>
      </c>
      <c r="AC23" s="176">
        <f t="shared" si="0"/>
        <v>2016</v>
      </c>
      <c r="AD23" s="176">
        <f t="shared" si="0"/>
        <v>2017</v>
      </c>
      <c r="AE23" s="176">
        <f t="shared" si="0"/>
        <v>2018</v>
      </c>
      <c r="AF23" s="176">
        <f t="shared" si="0"/>
        <v>2019</v>
      </c>
      <c r="AG23" s="176">
        <f t="shared" si="0"/>
        <v>2020</v>
      </c>
      <c r="AH23" s="176">
        <f t="shared" si="0"/>
        <v>2021</v>
      </c>
      <c r="AI23" s="176">
        <f t="shared" si="0"/>
        <v>2022</v>
      </c>
      <c r="AJ23" s="176">
        <f t="shared" si="0"/>
        <v>2023</v>
      </c>
      <c r="AK23" s="176">
        <f t="shared" si="0"/>
        <v>2024</v>
      </c>
      <c r="AL23" s="176">
        <f t="shared" si="0"/>
        <v>2025</v>
      </c>
      <c r="AM23" s="176">
        <f t="shared" si="0"/>
        <v>2026</v>
      </c>
    </row>
    <row r="24" spans="1:39" s="22" customFormat="1" ht="15" customHeight="1">
      <c r="A24" s="296"/>
      <c r="B24" s="27"/>
      <c r="C24" s="27"/>
      <c r="D24" s="27"/>
      <c r="E24" s="27"/>
      <c r="F24" s="27"/>
      <c r="G24" s="27"/>
      <c r="H24" s="27"/>
      <c r="K24" s="177" t="s">
        <v>106</v>
      </c>
      <c r="L24" s="194">
        <v>1678</v>
      </c>
      <c r="M24" s="189">
        <v>1845</v>
      </c>
      <c r="N24" s="189">
        <v>2000</v>
      </c>
      <c r="O24" s="189">
        <v>2174</v>
      </c>
      <c r="P24" s="189">
        <v>2360</v>
      </c>
      <c r="Q24" s="189">
        <v>2461</v>
      </c>
      <c r="R24" s="189">
        <v>2524</v>
      </c>
      <c r="S24" s="189">
        <v>2573</v>
      </c>
      <c r="T24" s="189">
        <v>2588</v>
      </c>
      <c r="U24" s="190">
        <v>2583</v>
      </c>
      <c r="V24" s="190">
        <v>2601</v>
      </c>
      <c r="W24" s="189">
        <v>2611</v>
      </c>
      <c r="X24" s="189">
        <v>2599</v>
      </c>
      <c r="Y24" s="189">
        <v>2581</v>
      </c>
      <c r="Z24" s="189">
        <v>2456</v>
      </c>
      <c r="AA24" s="189">
        <v>2145</v>
      </c>
      <c r="AB24" s="189">
        <v>2133</v>
      </c>
      <c r="AC24" s="189">
        <v>2062</v>
      </c>
      <c r="AD24" s="189">
        <v>1266</v>
      </c>
      <c r="AE24" s="189">
        <v>1263</v>
      </c>
      <c r="AF24" s="189">
        <v>1258</v>
      </c>
      <c r="AG24" s="189">
        <v>1254</v>
      </c>
      <c r="AH24" s="189">
        <v>1253</v>
      </c>
      <c r="AI24" s="189">
        <v>1254</v>
      </c>
      <c r="AJ24" s="189">
        <v>1254</v>
      </c>
      <c r="AK24" s="189">
        <v>1254</v>
      </c>
      <c r="AL24" s="189">
        <v>1254</v>
      </c>
      <c r="AM24" s="193">
        <v>1252</v>
      </c>
    </row>
    <row r="25" spans="1:39" s="22" customFormat="1" ht="15" customHeight="1">
      <c r="A25" s="296"/>
      <c r="B25" s="27"/>
      <c r="C25" s="27"/>
      <c r="D25" s="27"/>
      <c r="E25" s="27"/>
      <c r="F25" s="27"/>
      <c r="G25" s="27"/>
      <c r="H25" s="27"/>
      <c r="K25" s="169"/>
      <c r="L25" s="169"/>
      <c r="M25" s="169"/>
      <c r="N25" s="169"/>
      <c r="O25" s="169"/>
      <c r="P25" s="169"/>
      <c r="Q25" s="169"/>
      <c r="R25" s="169"/>
      <c r="S25" s="169"/>
      <c r="T25" s="169"/>
      <c r="U25" s="169"/>
      <c r="V25" s="169"/>
      <c r="W25" s="169"/>
      <c r="X25" s="169"/>
      <c r="Y25" s="169"/>
      <c r="Z25" s="169"/>
      <c r="AA25" s="169"/>
      <c r="AB25" s="169"/>
      <c r="AC25" s="169"/>
      <c r="AD25" s="169"/>
      <c r="AE25" s="169"/>
      <c r="AF25" s="169"/>
      <c r="AG25" s="169"/>
      <c r="AH25" s="169"/>
      <c r="AI25" s="169"/>
      <c r="AJ25" s="169"/>
      <c r="AK25" s="169"/>
      <c r="AL25" s="169"/>
      <c r="AM25" s="169"/>
    </row>
    <row r="26" spans="1:39" s="22" customFormat="1" ht="15" customHeight="1">
      <c r="A26" s="296"/>
      <c r="B26" s="27"/>
      <c r="C26" s="27"/>
      <c r="D26" s="27"/>
      <c r="E26" s="27"/>
      <c r="F26" s="27"/>
      <c r="G26" s="27"/>
      <c r="H26" s="27"/>
      <c r="K26" s="169"/>
      <c r="L26" s="169"/>
      <c r="M26" s="169"/>
      <c r="N26" s="169"/>
      <c r="O26" s="169"/>
      <c r="P26" s="169"/>
      <c r="Q26" s="169"/>
      <c r="R26" s="169"/>
      <c r="S26" s="169"/>
      <c r="T26" s="169"/>
      <c r="U26" s="169"/>
      <c r="V26" s="169"/>
      <c r="W26" s="169"/>
      <c r="X26" s="169"/>
      <c r="Y26" s="169"/>
      <c r="Z26" s="169"/>
      <c r="AA26" s="169"/>
      <c r="AB26" s="169"/>
      <c r="AC26" s="169"/>
      <c r="AD26" s="169"/>
      <c r="AE26" s="169"/>
      <c r="AF26" s="169"/>
      <c r="AG26" s="169"/>
      <c r="AH26" s="169"/>
      <c r="AI26" s="169"/>
      <c r="AJ26" s="169"/>
      <c r="AK26" s="169"/>
      <c r="AL26" s="169"/>
      <c r="AM26" s="169"/>
    </row>
    <row r="27" spans="1:39" s="22" customFormat="1" ht="15" customHeight="1">
      <c r="A27" s="296"/>
      <c r="B27" s="27"/>
      <c r="C27" s="27"/>
      <c r="D27" s="27"/>
      <c r="E27" s="27"/>
      <c r="F27" s="27"/>
      <c r="G27" s="27"/>
      <c r="H27" s="27"/>
      <c r="K27" s="169"/>
      <c r="L27" s="169"/>
      <c r="M27" s="169"/>
      <c r="N27" s="169"/>
      <c r="O27" s="169"/>
      <c r="P27" s="169"/>
      <c r="Q27" s="169"/>
      <c r="R27" s="169"/>
      <c r="S27" s="169"/>
      <c r="T27" s="169"/>
      <c r="U27" s="169"/>
      <c r="V27" s="169"/>
      <c r="W27" s="169"/>
      <c r="X27" s="169"/>
      <c r="Y27" s="169"/>
      <c r="Z27" s="169"/>
      <c r="AA27" s="169"/>
      <c r="AB27" s="169"/>
      <c r="AC27" s="169"/>
      <c r="AD27" s="169"/>
      <c r="AE27" s="169"/>
      <c r="AF27" s="169"/>
      <c r="AG27" s="169"/>
      <c r="AH27" s="169"/>
      <c r="AI27" s="169"/>
      <c r="AJ27" s="169"/>
      <c r="AK27" s="169"/>
      <c r="AL27" s="169"/>
      <c r="AM27" s="169"/>
    </row>
    <row r="28" spans="1:39" s="22" customFormat="1" ht="15" customHeight="1">
      <c r="A28" s="296"/>
      <c r="B28" s="25"/>
      <c r="C28" s="26"/>
      <c r="D28" s="26"/>
      <c r="F28" s="25"/>
      <c r="G28" s="26"/>
      <c r="H28" s="26"/>
      <c r="K28" s="169"/>
      <c r="L28" s="169"/>
      <c r="M28" s="169"/>
      <c r="N28" s="169"/>
      <c r="O28" s="169"/>
      <c r="P28" s="169"/>
      <c r="Q28" s="169"/>
      <c r="R28" s="169"/>
      <c r="S28" s="169"/>
      <c r="T28" s="169"/>
      <c r="U28" s="169"/>
      <c r="V28" s="169"/>
      <c r="W28" s="169"/>
      <c r="X28" s="169"/>
      <c r="Y28" s="169"/>
      <c r="Z28" s="169"/>
      <c r="AA28" s="169"/>
      <c r="AB28" s="169"/>
      <c r="AC28" s="169"/>
      <c r="AD28" s="169"/>
      <c r="AE28" s="169"/>
      <c r="AF28" s="169"/>
      <c r="AG28" s="169"/>
      <c r="AH28" s="169"/>
      <c r="AI28" s="169"/>
      <c r="AJ28" s="169"/>
      <c r="AK28" s="169"/>
      <c r="AL28" s="169"/>
      <c r="AM28" s="169"/>
    </row>
    <row r="29" spans="1:39" s="22" customFormat="1" ht="15" customHeight="1">
      <c r="A29" s="296"/>
      <c r="B29" s="25"/>
      <c r="C29" s="26"/>
      <c r="D29" s="26"/>
      <c r="F29" s="25"/>
      <c r="G29" s="26"/>
      <c r="H29" s="26"/>
      <c r="K29" s="169"/>
      <c r="L29" s="169"/>
      <c r="M29" s="169"/>
      <c r="N29" s="169"/>
      <c r="O29" s="169"/>
      <c r="P29" s="169"/>
      <c r="Q29" s="169"/>
      <c r="R29" s="169"/>
      <c r="S29" s="169"/>
      <c r="T29" s="169"/>
      <c r="U29" s="169"/>
      <c r="V29" s="169"/>
      <c r="W29" s="169"/>
      <c r="X29" s="169"/>
      <c r="Y29" s="169"/>
      <c r="Z29" s="169"/>
      <c r="AA29" s="169"/>
      <c r="AB29" s="169"/>
      <c r="AC29" s="169"/>
      <c r="AD29" s="169"/>
      <c r="AE29" s="169"/>
      <c r="AF29" s="169"/>
      <c r="AG29" s="169"/>
      <c r="AH29" s="169"/>
      <c r="AI29" s="169"/>
      <c r="AJ29" s="169"/>
      <c r="AK29" s="169"/>
      <c r="AL29" s="169"/>
      <c r="AM29" s="169"/>
    </row>
    <row r="30" spans="1:39" s="22" customFormat="1" ht="15" customHeight="1">
      <c r="A30" s="296"/>
      <c r="B30" s="25"/>
      <c r="C30" s="26"/>
      <c r="D30" s="26"/>
      <c r="F30" s="25"/>
      <c r="G30" s="26"/>
      <c r="H30" s="26"/>
      <c r="L30" s="169"/>
      <c r="M30" s="169"/>
      <c r="N30" s="169"/>
      <c r="O30" s="169"/>
      <c r="P30" s="169"/>
      <c r="Q30" s="169"/>
      <c r="R30" s="169"/>
      <c r="S30" s="169"/>
      <c r="T30" s="169"/>
      <c r="U30" s="169"/>
      <c r="V30" s="169"/>
      <c r="W30" s="169"/>
      <c r="X30" s="169"/>
      <c r="Y30" s="169"/>
      <c r="Z30" s="169"/>
      <c r="AA30" s="169"/>
      <c r="AB30" s="169"/>
      <c r="AC30" s="169"/>
      <c r="AD30" s="169"/>
      <c r="AE30" s="169"/>
      <c r="AF30" s="169"/>
      <c r="AG30" s="169"/>
      <c r="AH30" s="169"/>
      <c r="AI30" s="169"/>
      <c r="AJ30" s="169"/>
      <c r="AK30" s="169"/>
      <c r="AL30" s="169"/>
      <c r="AM30" s="169"/>
    </row>
    <row r="31" spans="1:39" s="22" customFormat="1" ht="15" customHeight="1">
      <c r="A31" s="296"/>
      <c r="B31" s="27"/>
      <c r="C31" s="191" t="s">
        <v>102</v>
      </c>
      <c r="D31" s="28"/>
      <c r="E31" s="28"/>
      <c r="F31" s="28"/>
      <c r="G31" s="28"/>
      <c r="H31" s="28"/>
      <c r="K31" s="169"/>
      <c r="L31" s="169"/>
      <c r="M31" s="169"/>
      <c r="N31" s="169"/>
      <c r="O31" s="169"/>
      <c r="P31" s="169"/>
      <c r="Q31" s="169"/>
      <c r="R31" s="169"/>
      <c r="S31" s="169"/>
      <c r="T31" s="169"/>
      <c r="U31" s="169"/>
      <c r="V31" s="169"/>
      <c r="W31" s="169"/>
      <c r="X31" s="169"/>
      <c r="Y31" s="169"/>
      <c r="Z31" s="169"/>
      <c r="AA31" s="169"/>
      <c r="AB31" s="169"/>
      <c r="AC31" s="169"/>
      <c r="AD31" s="169"/>
      <c r="AE31" s="169"/>
      <c r="AF31" s="169"/>
      <c r="AG31" s="169"/>
      <c r="AH31" s="169"/>
      <c r="AI31" s="169"/>
      <c r="AJ31" s="169"/>
      <c r="AK31" s="169"/>
      <c r="AL31" s="169"/>
      <c r="AM31" s="169"/>
    </row>
    <row r="32" spans="1:39" s="22" customFormat="1" ht="15" customHeight="1">
      <c r="A32" s="170" t="s">
        <v>103</v>
      </c>
      <c r="C32" s="191" t="s">
        <v>100</v>
      </c>
      <c r="F32" s="28"/>
      <c r="G32" s="28"/>
      <c r="H32" s="28"/>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row>
    <row r="33" spans="1:39" s="22" customFormat="1" ht="15" customHeight="1">
      <c r="K33" s="169"/>
      <c r="L33" s="169"/>
      <c r="M33" s="169"/>
      <c r="N33" s="169"/>
      <c r="O33" s="169"/>
      <c r="P33" s="169"/>
      <c r="Q33" s="169"/>
      <c r="R33" s="169"/>
      <c r="S33" s="169"/>
      <c r="T33" s="169"/>
      <c r="U33" s="169"/>
      <c r="V33" s="169"/>
      <c r="W33" s="169"/>
      <c r="X33" s="169"/>
      <c r="Y33" s="169"/>
      <c r="Z33" s="169"/>
      <c r="AA33" s="169"/>
      <c r="AB33" s="169"/>
      <c r="AC33" s="169"/>
      <c r="AD33" s="169"/>
      <c r="AE33" s="169"/>
      <c r="AF33" s="169"/>
      <c r="AG33" s="169"/>
      <c r="AH33" s="169"/>
      <c r="AI33" s="169"/>
      <c r="AJ33" s="169"/>
      <c r="AK33" s="169"/>
      <c r="AL33" s="169"/>
      <c r="AM33" s="169"/>
    </row>
    <row r="34" spans="1:39" s="22" customFormat="1" ht="15" customHeight="1">
      <c r="A34" s="171" t="s">
        <v>105</v>
      </c>
      <c r="B34" s="167"/>
      <c r="C34" s="167"/>
      <c r="D34" s="167"/>
      <c r="E34" s="167"/>
      <c r="F34" s="167"/>
      <c r="G34" s="167"/>
      <c r="H34" s="167"/>
      <c r="K34" s="169"/>
      <c r="L34" s="169"/>
      <c r="M34" s="169"/>
      <c r="N34" s="169"/>
      <c r="O34" s="169"/>
      <c r="P34" s="169"/>
      <c r="Q34" s="169"/>
      <c r="R34" s="169"/>
      <c r="S34" s="169"/>
      <c r="T34" s="169"/>
      <c r="U34" s="169"/>
      <c r="V34" s="169"/>
      <c r="W34" s="169"/>
      <c r="X34" s="169"/>
      <c r="Y34" s="169"/>
      <c r="Z34" s="169"/>
      <c r="AA34" s="169"/>
      <c r="AB34" s="169"/>
      <c r="AC34" s="169"/>
      <c r="AD34" s="169"/>
      <c r="AE34" s="169"/>
      <c r="AF34" s="169"/>
      <c r="AG34" s="169"/>
      <c r="AH34" s="169"/>
      <c r="AI34" s="169"/>
      <c r="AJ34" s="169"/>
      <c r="AK34" s="169"/>
      <c r="AL34" s="169"/>
      <c r="AM34" s="169"/>
    </row>
    <row r="35" spans="1:39" s="22" customFormat="1" ht="15" customHeight="1">
      <c r="A35" s="113"/>
      <c r="B35" s="23"/>
      <c r="C35" s="23"/>
      <c r="D35" s="23"/>
      <c r="E35" s="23"/>
      <c r="F35" s="23"/>
      <c r="K35" s="169"/>
      <c r="L35" s="169"/>
      <c r="M35" s="169"/>
      <c r="N35" s="169"/>
      <c r="O35" s="169"/>
      <c r="P35" s="169"/>
      <c r="Q35" s="169"/>
      <c r="R35" s="169"/>
      <c r="S35" s="169"/>
      <c r="T35" s="169"/>
      <c r="U35" s="169"/>
      <c r="V35" s="169"/>
      <c r="W35" s="169"/>
      <c r="X35" s="169"/>
      <c r="Y35" s="169"/>
      <c r="Z35" s="169"/>
      <c r="AA35" s="169"/>
      <c r="AB35" s="169"/>
      <c r="AC35" s="169"/>
      <c r="AD35" s="169"/>
      <c r="AE35" s="169"/>
      <c r="AF35" s="169"/>
      <c r="AG35" s="169"/>
      <c r="AH35" s="169"/>
      <c r="AI35" s="169"/>
      <c r="AJ35" s="169"/>
      <c r="AK35" s="169"/>
      <c r="AL35" s="169"/>
      <c r="AM35" s="169"/>
    </row>
    <row r="36" spans="1:39" s="22" customFormat="1" ht="15" customHeight="1">
      <c r="A36" s="295" t="s">
        <v>110</v>
      </c>
      <c r="B36" s="29"/>
      <c r="C36" s="29"/>
      <c r="D36" s="30"/>
      <c r="E36" s="31"/>
      <c r="F36" s="32"/>
      <c r="G36" s="33"/>
      <c r="K36" s="175"/>
      <c r="L36" s="195">
        <f>Z23</f>
        <v>2013</v>
      </c>
      <c r="M36" s="179">
        <f>AA23</f>
        <v>2014</v>
      </c>
      <c r="N36" s="179">
        <f t="shared" ref="N36:Y36" si="1">AB23</f>
        <v>2015</v>
      </c>
      <c r="O36" s="179">
        <f t="shared" si="1"/>
        <v>2016</v>
      </c>
      <c r="P36" s="179">
        <f t="shared" si="1"/>
        <v>2017</v>
      </c>
      <c r="Q36" s="179">
        <f t="shared" si="1"/>
        <v>2018</v>
      </c>
      <c r="R36" s="179">
        <f t="shared" si="1"/>
        <v>2019</v>
      </c>
      <c r="S36" s="179">
        <f t="shared" si="1"/>
        <v>2020</v>
      </c>
      <c r="T36" s="179">
        <f t="shared" si="1"/>
        <v>2021</v>
      </c>
      <c r="U36" s="179">
        <f t="shared" si="1"/>
        <v>2022</v>
      </c>
      <c r="V36" s="179">
        <f t="shared" si="1"/>
        <v>2023</v>
      </c>
      <c r="W36" s="179">
        <f t="shared" si="1"/>
        <v>2024</v>
      </c>
      <c r="X36" s="179">
        <f t="shared" si="1"/>
        <v>2025</v>
      </c>
      <c r="Y36" s="179">
        <f t="shared" si="1"/>
        <v>2026</v>
      </c>
      <c r="Z36" s="169"/>
      <c r="AA36" s="169"/>
      <c r="AB36" s="169"/>
      <c r="AC36" s="169"/>
      <c r="AD36" s="169"/>
      <c r="AE36" s="169"/>
      <c r="AF36" s="169"/>
      <c r="AG36" s="169"/>
      <c r="AH36" s="169"/>
      <c r="AI36" s="169"/>
      <c r="AJ36" s="169"/>
      <c r="AK36" s="169"/>
      <c r="AL36" s="169"/>
      <c r="AM36" s="169"/>
    </row>
    <row r="37" spans="1:39" s="22" customFormat="1" ht="15" customHeight="1">
      <c r="A37" s="295"/>
      <c r="B37" s="29"/>
      <c r="C37" s="29"/>
      <c r="D37" s="30"/>
      <c r="E37" s="31"/>
      <c r="F37" s="32"/>
      <c r="G37" s="33"/>
      <c r="K37" s="180" t="s">
        <v>104</v>
      </c>
      <c r="L37" s="181">
        <v>0.53799799999999998</v>
      </c>
      <c r="M37" s="181">
        <v>0.54547500000000004</v>
      </c>
      <c r="N37" s="181">
        <v>7.650442</v>
      </c>
      <c r="O37" s="181">
        <v>16.634298000000001</v>
      </c>
      <c r="P37" s="181">
        <v>17.019749000000001</v>
      </c>
      <c r="Q37" s="181">
        <v>19.32254</v>
      </c>
      <c r="R37" s="181">
        <v>19.3874</v>
      </c>
      <c r="S37" s="181">
        <v>19.433354000000001</v>
      </c>
      <c r="T37" s="181">
        <v>19.569911999999999</v>
      </c>
      <c r="U37" s="181">
        <v>19.701412000000001</v>
      </c>
      <c r="V37" s="181">
        <v>19.764286999999999</v>
      </c>
      <c r="W37" s="181">
        <v>19.860375999999999</v>
      </c>
      <c r="X37" s="181">
        <v>19.971738999999999</v>
      </c>
      <c r="Y37" s="181">
        <v>20.083081</v>
      </c>
      <c r="Z37" s="169"/>
      <c r="AA37" s="169"/>
      <c r="AB37" s="169"/>
      <c r="AC37" s="169"/>
      <c r="AD37" s="169"/>
      <c r="AE37" s="169"/>
      <c r="AF37" s="169"/>
      <c r="AG37" s="169"/>
      <c r="AH37" s="169"/>
      <c r="AI37" s="169"/>
      <c r="AJ37" s="169"/>
      <c r="AK37" s="169"/>
      <c r="AL37" s="169"/>
      <c r="AM37" s="169"/>
    </row>
    <row r="38" spans="1:39" s="22" customFormat="1" ht="15" customHeight="1">
      <c r="A38" s="295"/>
      <c r="B38" s="29"/>
      <c r="C38" s="29"/>
      <c r="D38" s="30"/>
      <c r="E38" s="31"/>
      <c r="F38" s="32"/>
      <c r="G38" s="33"/>
      <c r="K38" s="182" t="s">
        <v>48</v>
      </c>
      <c r="L38" s="181">
        <v>7.2379199999999999</v>
      </c>
      <c r="M38" s="181">
        <v>7.2937200000000004</v>
      </c>
      <c r="N38" s="181">
        <v>2.3228979999999999</v>
      </c>
      <c r="O38" s="181">
        <v>2.534713</v>
      </c>
      <c r="P38" s="181">
        <v>3.7556409999999998</v>
      </c>
      <c r="Q38" s="181">
        <v>2.4339870000000001</v>
      </c>
      <c r="R38" s="181">
        <v>2.92299</v>
      </c>
      <c r="S38" s="181">
        <v>3.11978</v>
      </c>
      <c r="T38" s="181">
        <v>3.1280860000000001</v>
      </c>
      <c r="U38" s="181">
        <v>3.1387649999999998</v>
      </c>
      <c r="V38" s="181">
        <v>3.146023</v>
      </c>
      <c r="W38" s="181">
        <v>3.157842</v>
      </c>
      <c r="X38" s="181">
        <v>3.1751909999999999</v>
      </c>
      <c r="Y38" s="181">
        <v>3.1900680000000001</v>
      </c>
      <c r="Z38" s="169"/>
      <c r="AA38" s="169"/>
      <c r="AB38" s="169"/>
      <c r="AC38" s="169"/>
      <c r="AD38" s="169"/>
      <c r="AE38" s="169"/>
      <c r="AF38" s="169"/>
      <c r="AG38" s="169"/>
      <c r="AH38" s="169"/>
      <c r="AI38" s="169"/>
      <c r="AJ38" s="169"/>
      <c r="AK38" s="169"/>
      <c r="AL38" s="169"/>
      <c r="AM38" s="169"/>
    </row>
    <row r="39" spans="1:39" s="22" customFormat="1" ht="15" customHeight="1">
      <c r="A39" s="295"/>
      <c r="B39" s="29"/>
      <c r="C39" s="29"/>
      <c r="D39" s="30"/>
      <c r="E39" s="31"/>
      <c r="F39" s="32"/>
      <c r="G39" s="33"/>
      <c r="K39" s="180" t="s">
        <v>6</v>
      </c>
      <c r="L39" s="181">
        <v>25.541906999999998</v>
      </c>
      <c r="M39" s="181">
        <v>27.136257000000001</v>
      </c>
      <c r="N39" s="181">
        <v>25.889681</v>
      </c>
      <c r="O39" s="181">
        <v>21.813717</v>
      </c>
      <c r="P39" s="181">
        <v>23.962577</v>
      </c>
      <c r="Q39" s="181">
        <v>23.660357000000001</v>
      </c>
      <c r="R39" s="181">
        <v>23.513248000000001</v>
      </c>
      <c r="S39" s="181">
        <v>23.370289</v>
      </c>
      <c r="T39" s="181">
        <v>23.492290000000001</v>
      </c>
      <c r="U39" s="181">
        <v>23.777483</v>
      </c>
      <c r="V39" s="181">
        <v>23.835712999999998</v>
      </c>
      <c r="W39" s="181">
        <v>24.081689000000001</v>
      </c>
      <c r="X39" s="181">
        <v>24.293545999999999</v>
      </c>
      <c r="Y39" s="181">
        <v>24.481368</v>
      </c>
      <c r="Z39" s="169"/>
      <c r="AA39" s="169"/>
      <c r="AB39" s="169"/>
      <c r="AC39" s="169"/>
      <c r="AD39" s="169"/>
      <c r="AE39" s="169"/>
      <c r="AF39" s="169"/>
      <c r="AG39" s="169"/>
      <c r="AH39" s="169"/>
      <c r="AI39" s="169"/>
      <c r="AJ39" s="169"/>
      <c r="AK39" s="169"/>
      <c r="AL39" s="169"/>
      <c r="AM39" s="169"/>
    </row>
    <row r="40" spans="1:39" s="22" customFormat="1" ht="15" customHeight="1">
      <c r="A40" s="295"/>
      <c r="B40" s="29"/>
      <c r="C40" s="29"/>
      <c r="D40" s="34"/>
      <c r="E40" s="35"/>
      <c r="F40" s="36"/>
      <c r="G40" s="37"/>
      <c r="K40" s="180" t="s">
        <v>7</v>
      </c>
      <c r="L40" s="181">
        <v>27.322240999999998</v>
      </c>
      <c r="M40" s="181">
        <v>27.401807000000002</v>
      </c>
      <c r="N40" s="181">
        <v>26.906507000000001</v>
      </c>
      <c r="O40" s="181">
        <v>26.044667</v>
      </c>
      <c r="P40" s="181">
        <v>22.814647999999998</v>
      </c>
      <c r="Q40" s="181">
        <v>22.448737999999999</v>
      </c>
      <c r="R40" s="181">
        <v>22.184722000000001</v>
      </c>
      <c r="S40" s="181">
        <v>22.094182</v>
      </c>
      <c r="T40" s="181">
        <v>22.039497999999998</v>
      </c>
      <c r="U40" s="181">
        <v>21.867972999999999</v>
      </c>
      <c r="V40" s="181">
        <v>21.898669999999999</v>
      </c>
      <c r="W40" s="181">
        <v>21.776996</v>
      </c>
      <c r="X40" s="181">
        <v>21.776751999999998</v>
      </c>
      <c r="Y40" s="181">
        <v>21.795878999999999</v>
      </c>
      <c r="Z40" s="169"/>
      <c r="AA40" s="169"/>
      <c r="AB40" s="169"/>
      <c r="AC40" s="169"/>
      <c r="AD40" s="169"/>
      <c r="AE40" s="169"/>
      <c r="AF40" s="169"/>
      <c r="AG40" s="169"/>
      <c r="AH40" s="169"/>
      <c r="AI40" s="169"/>
      <c r="AJ40" s="169"/>
      <c r="AK40" s="169"/>
      <c r="AL40" s="169"/>
      <c r="AM40" s="169"/>
    </row>
    <row r="41" spans="1:39" s="22" customFormat="1" ht="15" customHeight="1">
      <c r="A41" s="295"/>
      <c r="B41" s="38"/>
      <c r="C41" s="38"/>
      <c r="D41" s="39"/>
      <c r="E41" s="31"/>
      <c r="F41" s="33"/>
      <c r="K41" s="183" t="s">
        <v>9</v>
      </c>
      <c r="L41" s="184">
        <v>5.4100890000000001</v>
      </c>
      <c r="M41" s="184">
        <v>4.0034999999999998</v>
      </c>
      <c r="N41" s="184">
        <v>4.0346149999999996</v>
      </c>
      <c r="O41" s="184">
        <v>0.232101</v>
      </c>
      <c r="P41" s="185">
        <v>2.2473E-2</v>
      </c>
      <c r="Q41" s="185">
        <v>6.3590000000000001E-3</v>
      </c>
      <c r="R41" s="185">
        <v>6.3730000000000002E-3</v>
      </c>
      <c r="S41" s="185">
        <v>6.3819999999999997E-3</v>
      </c>
      <c r="T41" s="184">
        <v>6.4390000000000003E-3</v>
      </c>
      <c r="U41" s="184">
        <v>6.4599999999999996E-3</v>
      </c>
      <c r="V41" s="184">
        <v>6.509E-3</v>
      </c>
      <c r="W41" s="184">
        <v>6.5570000000000003E-3</v>
      </c>
      <c r="X41" s="184">
        <v>6.6119999999999998E-3</v>
      </c>
      <c r="Y41" s="184">
        <v>6.6039999999999996E-3</v>
      </c>
      <c r="Z41" s="169"/>
      <c r="AA41" s="169"/>
      <c r="AB41" s="169"/>
      <c r="AC41" s="169"/>
      <c r="AD41" s="169"/>
      <c r="AE41" s="169"/>
      <c r="AF41" s="169"/>
      <c r="AG41" s="169"/>
      <c r="AH41" s="169"/>
      <c r="AI41" s="169"/>
      <c r="AJ41" s="169"/>
      <c r="AK41" s="169"/>
      <c r="AL41" s="169"/>
      <c r="AM41" s="169"/>
    </row>
    <row r="42" spans="1:39" s="22" customFormat="1" ht="15" customHeight="1">
      <c r="A42" s="295"/>
      <c r="B42" s="40"/>
      <c r="C42" s="40"/>
      <c r="D42" s="41"/>
      <c r="E42" s="35"/>
      <c r="F42" s="37"/>
      <c r="J42" s="169"/>
      <c r="K42" s="196" t="s">
        <v>114</v>
      </c>
      <c r="L42" s="197">
        <f>SUM(L37:L41)</f>
        <v>66.050155000000004</v>
      </c>
      <c r="M42" s="197">
        <f>SUM(M37:M41)</f>
        <v>66.380759000000012</v>
      </c>
      <c r="N42" s="197">
        <f t="shared" ref="N42:Y42" si="2">SUM(N37:N41)</f>
        <v>66.80414300000001</v>
      </c>
      <c r="O42" s="197">
        <f t="shared" si="2"/>
        <v>67.259495999999999</v>
      </c>
      <c r="P42" s="197">
        <f t="shared" si="2"/>
        <v>67.575088000000008</v>
      </c>
      <c r="Q42" s="197">
        <f t="shared" si="2"/>
        <v>67.871981000000005</v>
      </c>
      <c r="R42" s="197">
        <f t="shared" si="2"/>
        <v>68.014733000000007</v>
      </c>
      <c r="S42" s="197">
        <f t="shared" si="2"/>
        <v>68.023987000000005</v>
      </c>
      <c r="T42" s="197">
        <f t="shared" si="2"/>
        <v>68.23622499999999</v>
      </c>
      <c r="U42" s="197">
        <f t="shared" si="2"/>
        <v>68.492093000000011</v>
      </c>
      <c r="V42" s="197">
        <f t="shared" si="2"/>
        <v>68.651201999999984</v>
      </c>
      <c r="W42" s="197">
        <f t="shared" si="2"/>
        <v>68.883459999999999</v>
      </c>
      <c r="X42" s="197">
        <f t="shared" si="2"/>
        <v>69.223839999999996</v>
      </c>
      <c r="Y42" s="197">
        <f t="shared" si="2"/>
        <v>69.557000000000002</v>
      </c>
      <c r="Z42" s="169"/>
      <c r="AA42" s="169"/>
      <c r="AB42" s="169"/>
      <c r="AC42" s="169"/>
      <c r="AD42" s="169"/>
      <c r="AE42" s="169"/>
      <c r="AF42" s="169"/>
      <c r="AG42" s="169"/>
      <c r="AH42" s="169"/>
      <c r="AI42" s="169"/>
      <c r="AJ42" s="169"/>
      <c r="AK42" s="169"/>
      <c r="AL42" s="169"/>
      <c r="AM42" s="169"/>
    </row>
    <row r="43" spans="1:39" s="22" customFormat="1" ht="15" customHeight="1">
      <c r="A43" s="295"/>
      <c r="B43" s="42"/>
      <c r="C43" s="42"/>
      <c r="D43" s="43"/>
      <c r="E43" s="44"/>
      <c r="F43" s="45"/>
      <c r="G43" s="46"/>
      <c r="K43" s="186" t="s">
        <v>10</v>
      </c>
      <c r="L43" s="187"/>
      <c r="M43" s="188"/>
      <c r="N43" s="188"/>
      <c r="O43" s="169"/>
      <c r="P43" s="187"/>
      <c r="Q43" s="188"/>
      <c r="R43" s="188"/>
      <c r="S43" s="169"/>
      <c r="T43" s="169"/>
      <c r="U43" s="169"/>
      <c r="V43" s="169"/>
      <c r="W43" s="169"/>
      <c r="X43" s="169"/>
      <c r="Y43" s="169"/>
      <c r="Z43" s="169"/>
      <c r="AA43" s="169"/>
      <c r="AB43" s="169"/>
      <c r="AC43" s="169"/>
      <c r="AD43" s="169"/>
      <c r="AE43" s="169"/>
      <c r="AF43" s="169"/>
      <c r="AG43" s="169"/>
      <c r="AH43" s="169"/>
      <c r="AI43" s="169"/>
      <c r="AJ43" s="169"/>
      <c r="AK43" s="169"/>
      <c r="AL43" s="169"/>
      <c r="AM43" s="169"/>
    </row>
    <row r="44" spans="1:39" s="22" customFormat="1" ht="15" customHeight="1">
      <c r="A44" s="295"/>
      <c r="B44" s="27"/>
      <c r="C44" s="28"/>
      <c r="D44" s="28"/>
      <c r="E44" s="28"/>
      <c r="F44" s="28"/>
      <c r="G44" s="28"/>
      <c r="H44" s="28"/>
      <c r="K44" s="169"/>
      <c r="L44" s="169"/>
      <c r="M44" s="169"/>
      <c r="N44" s="169"/>
      <c r="O44" s="169"/>
      <c r="P44" s="169"/>
      <c r="Q44" s="169"/>
      <c r="R44" s="169"/>
      <c r="S44" s="169"/>
      <c r="T44" s="169"/>
      <c r="U44" s="169"/>
      <c r="V44" s="169"/>
      <c r="W44" s="169"/>
      <c r="X44" s="169"/>
      <c r="Y44" s="169"/>
      <c r="Z44" s="169"/>
      <c r="AA44" s="169"/>
      <c r="AB44" s="169"/>
      <c r="AC44" s="169"/>
      <c r="AD44" s="169"/>
      <c r="AE44" s="169"/>
      <c r="AF44" s="169"/>
      <c r="AG44" s="169"/>
      <c r="AH44" s="169"/>
      <c r="AI44" s="169"/>
      <c r="AJ44" s="169"/>
      <c r="AK44" s="169"/>
      <c r="AL44" s="169"/>
      <c r="AM44" s="169"/>
    </row>
    <row r="45" spans="1:39" s="22" customFormat="1" ht="15" customHeight="1">
      <c r="A45" s="295"/>
      <c r="B45" s="47"/>
      <c r="C45" s="47"/>
      <c r="D45" s="47"/>
      <c r="E45" s="47"/>
      <c r="F45" s="47"/>
      <c r="K45" s="180"/>
      <c r="L45" s="181"/>
      <c r="M45" s="181"/>
      <c r="N45" s="181"/>
      <c r="O45" s="169"/>
      <c r="P45" s="169"/>
      <c r="Q45" s="169"/>
      <c r="R45" s="169"/>
      <c r="S45" s="169"/>
      <c r="T45" s="169"/>
      <c r="U45" s="169"/>
      <c r="V45" s="169"/>
      <c r="W45" s="169"/>
      <c r="X45" s="169"/>
      <c r="Y45" s="169"/>
      <c r="Z45" s="169"/>
      <c r="AA45" s="169"/>
      <c r="AB45" s="169"/>
      <c r="AC45" s="169"/>
      <c r="AD45" s="169"/>
      <c r="AE45" s="169"/>
      <c r="AF45" s="169"/>
      <c r="AG45" s="169"/>
      <c r="AH45" s="169"/>
      <c r="AI45" s="169"/>
      <c r="AJ45" s="169"/>
      <c r="AK45" s="169"/>
      <c r="AL45" s="169"/>
      <c r="AM45" s="169"/>
    </row>
    <row r="46" spans="1:39" s="22" customFormat="1" ht="15" customHeight="1">
      <c r="A46" s="170" t="s">
        <v>103</v>
      </c>
      <c r="B46" s="47"/>
      <c r="C46" s="47"/>
      <c r="D46" s="48"/>
      <c r="E46" s="47"/>
      <c r="F46" s="47"/>
      <c r="K46" s="169"/>
      <c r="L46" s="169"/>
      <c r="M46" s="169"/>
      <c r="N46" s="169"/>
      <c r="O46" s="169"/>
      <c r="P46" s="169"/>
      <c r="Q46" s="169"/>
      <c r="R46" s="169"/>
      <c r="S46" s="169"/>
      <c r="T46" s="169"/>
      <c r="U46" s="169"/>
      <c r="V46" s="169"/>
      <c r="W46" s="169"/>
      <c r="X46" s="169"/>
      <c r="Y46" s="169"/>
      <c r="Z46" s="169"/>
      <c r="AA46" s="169"/>
      <c r="AB46" s="169"/>
      <c r="AC46" s="169"/>
      <c r="AD46" s="169"/>
      <c r="AE46" s="169"/>
      <c r="AF46" s="169"/>
      <c r="AG46" s="169"/>
      <c r="AH46" s="169"/>
      <c r="AI46" s="169"/>
      <c r="AJ46" s="169"/>
      <c r="AK46" s="169"/>
      <c r="AL46" s="169"/>
      <c r="AM46" s="169"/>
    </row>
    <row r="47" spans="1:39" s="22" customFormat="1" ht="15" customHeight="1">
      <c r="B47" s="47"/>
      <c r="C47" s="47"/>
      <c r="D47" s="49"/>
      <c r="E47" s="47"/>
      <c r="F47" s="47"/>
      <c r="K47" s="169"/>
      <c r="L47" s="169"/>
      <c r="M47" s="169"/>
      <c r="N47" s="169"/>
      <c r="O47" s="169"/>
      <c r="P47" s="169"/>
      <c r="Q47" s="169"/>
      <c r="R47" s="169"/>
      <c r="S47" s="169"/>
      <c r="T47" s="169"/>
      <c r="U47" s="192"/>
      <c r="V47" s="169"/>
      <c r="W47" s="169"/>
      <c r="X47" s="169"/>
      <c r="Y47" s="169"/>
      <c r="Z47" s="169"/>
      <c r="AA47" s="169"/>
      <c r="AB47" s="169"/>
      <c r="AC47" s="169"/>
      <c r="AD47" s="169"/>
      <c r="AE47" s="169"/>
      <c r="AF47" s="169"/>
      <c r="AG47" s="169"/>
      <c r="AH47" s="169"/>
      <c r="AI47" s="169"/>
      <c r="AJ47" s="169"/>
      <c r="AK47" s="169"/>
      <c r="AL47" s="169"/>
      <c r="AM47" s="169"/>
    </row>
    <row r="48" spans="1:39" s="22" customFormat="1" ht="31.9" customHeight="1">
      <c r="A48" s="47"/>
      <c r="C48" s="164"/>
      <c r="D48" s="191" t="s">
        <v>112</v>
      </c>
      <c r="E48" s="164"/>
      <c r="F48" s="164"/>
      <c r="G48" s="164"/>
      <c r="H48" s="164"/>
      <c r="K48" s="169"/>
      <c r="L48" s="169"/>
      <c r="M48" s="169"/>
      <c r="N48" s="169"/>
      <c r="O48" s="169"/>
      <c r="P48" s="169"/>
      <c r="Q48" s="169"/>
      <c r="R48" s="169"/>
      <c r="S48" s="169"/>
      <c r="T48" s="169"/>
      <c r="U48" s="192"/>
      <c r="V48" s="169"/>
      <c r="W48" s="169"/>
      <c r="X48" s="169"/>
      <c r="Y48" s="169"/>
      <c r="Z48" s="169"/>
      <c r="AA48" s="169"/>
      <c r="AB48" s="169"/>
      <c r="AC48" s="169"/>
      <c r="AD48" s="169"/>
      <c r="AE48" s="169"/>
      <c r="AF48" s="169"/>
      <c r="AG48" s="169"/>
      <c r="AH48" s="169"/>
      <c r="AI48" s="169"/>
      <c r="AJ48" s="169"/>
      <c r="AK48" s="169"/>
      <c r="AL48" s="169"/>
      <c r="AM48" s="169"/>
    </row>
    <row r="49" spans="1:39" s="22" customFormat="1" ht="23.25" customHeight="1">
      <c r="A49" s="50"/>
      <c r="B49" s="50"/>
      <c r="D49" s="292" t="s">
        <v>108</v>
      </c>
      <c r="E49" s="292"/>
      <c r="F49" s="292"/>
      <c r="G49" s="292"/>
      <c r="H49" s="292"/>
      <c r="K49" s="169"/>
      <c r="L49" s="169"/>
      <c r="M49" s="169"/>
      <c r="N49" s="169"/>
      <c r="O49" s="169"/>
      <c r="P49" s="169"/>
      <c r="Q49" s="169"/>
      <c r="R49" s="169"/>
      <c r="S49" s="169"/>
      <c r="T49" s="169"/>
      <c r="U49" s="192"/>
      <c r="V49" s="169"/>
      <c r="W49" s="169"/>
      <c r="X49" s="169"/>
      <c r="Y49" s="169"/>
      <c r="Z49" s="169"/>
      <c r="AA49" s="169"/>
      <c r="AB49" s="172"/>
      <c r="AC49" s="172"/>
      <c r="AD49" s="172"/>
      <c r="AE49" s="172"/>
      <c r="AF49" s="172"/>
      <c r="AG49" s="172"/>
      <c r="AH49" s="172"/>
      <c r="AI49" s="172"/>
      <c r="AJ49" s="172"/>
      <c r="AK49" s="172"/>
      <c r="AL49" s="172"/>
      <c r="AM49" s="172"/>
    </row>
    <row r="50" spans="1:39" s="22" customFormat="1">
      <c r="A50" s="50"/>
      <c r="B50" s="50"/>
      <c r="D50" s="292" t="s">
        <v>111</v>
      </c>
      <c r="E50" s="292"/>
      <c r="F50" s="292"/>
      <c r="G50" s="292"/>
      <c r="H50" s="292"/>
      <c r="K50" s="169"/>
      <c r="L50" s="169"/>
      <c r="M50" s="169"/>
      <c r="N50" s="169"/>
      <c r="O50" s="169"/>
      <c r="P50" s="169"/>
      <c r="Q50" s="169"/>
      <c r="R50" s="169"/>
      <c r="S50" s="169"/>
      <c r="T50" s="169"/>
      <c r="U50" s="192"/>
      <c r="V50" s="169"/>
      <c r="W50" s="169"/>
      <c r="X50" s="169"/>
      <c r="Y50" s="169"/>
      <c r="Z50" s="169"/>
      <c r="AA50" s="169"/>
      <c r="AB50" s="172"/>
      <c r="AC50" s="172"/>
      <c r="AD50" s="172"/>
      <c r="AE50" s="172"/>
      <c r="AF50" s="172"/>
      <c r="AG50" s="172"/>
      <c r="AH50" s="172"/>
      <c r="AI50" s="172"/>
      <c r="AJ50" s="172"/>
      <c r="AK50" s="172"/>
      <c r="AL50" s="172"/>
      <c r="AM50" s="172"/>
    </row>
    <row r="51" spans="1:39" ht="15" customHeight="1">
      <c r="A51" s="51"/>
      <c r="B51" s="51"/>
      <c r="K51" s="169"/>
      <c r="L51" s="169"/>
      <c r="M51" s="169"/>
      <c r="N51" s="169"/>
      <c r="O51" s="169"/>
      <c r="P51" s="169"/>
      <c r="Q51" s="169"/>
      <c r="R51" s="169"/>
      <c r="S51" s="169"/>
      <c r="T51" s="169"/>
      <c r="U51" s="169"/>
      <c r="V51" s="169"/>
      <c r="W51" s="169"/>
      <c r="X51" s="169"/>
      <c r="Y51" s="169"/>
      <c r="Z51" s="169"/>
      <c r="AA51" s="169"/>
    </row>
    <row r="52" spans="1:39" ht="15" customHeight="1">
      <c r="A52" s="53"/>
      <c r="B52" s="53"/>
      <c r="D52" s="52"/>
      <c r="E52" s="52"/>
      <c r="F52" s="52"/>
      <c r="K52" s="169"/>
      <c r="L52" s="169"/>
      <c r="M52" s="169"/>
      <c r="N52" s="169"/>
      <c r="O52" s="169"/>
      <c r="P52" s="169"/>
      <c r="Q52" s="169"/>
      <c r="R52" s="169"/>
      <c r="S52" s="169"/>
      <c r="T52" s="169"/>
      <c r="U52" s="169"/>
      <c r="V52" s="169"/>
      <c r="W52" s="169"/>
      <c r="X52" s="169"/>
    </row>
    <row r="53" spans="1:39" ht="15" customHeight="1">
      <c r="A53" s="55"/>
      <c r="B53" s="55"/>
      <c r="C53" s="54"/>
      <c r="D53" s="52"/>
      <c r="E53" s="52"/>
      <c r="F53" s="52"/>
    </row>
    <row r="54" spans="1:39" ht="15" customHeight="1">
      <c r="A54" s="52"/>
      <c r="B54" s="52"/>
      <c r="C54" s="52"/>
      <c r="D54" s="52"/>
      <c r="E54" s="52"/>
      <c r="F54" s="52"/>
    </row>
  </sheetData>
  <mergeCells count="6">
    <mergeCell ref="D50:H50"/>
    <mergeCell ref="D49:H49"/>
    <mergeCell ref="A2:H2"/>
    <mergeCell ref="A5:A16"/>
    <mergeCell ref="A21:A31"/>
    <mergeCell ref="A36:A45"/>
  </mergeCells>
  <pageMargins left="0.62992125984251968" right="0.59055118110236227" top="0.59055118110236227" bottom="0.98425196850393704" header="0.39370078740157483" footer="0.51181102362204722"/>
  <pageSetup paperSize="9" scale="9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P85"/>
  <sheetViews>
    <sheetView showGridLines="0" topLeftCell="A34" zoomScaleNormal="100" workbookViewId="0">
      <selection activeCell="J21" sqref="J21"/>
    </sheetView>
  </sheetViews>
  <sheetFormatPr baseColWidth="10" defaultColWidth="11.42578125" defaultRowHeight="12.75"/>
  <cols>
    <col min="1" max="1" width="27.42578125" style="11" customWidth="1"/>
    <col min="2" max="2" width="10.5703125" style="11" customWidth="1"/>
    <col min="3" max="3" width="20.140625" style="11" customWidth="1"/>
    <col min="4" max="5" width="16.5703125" style="11" customWidth="1"/>
    <col min="6" max="6" width="14.42578125" style="11" customWidth="1"/>
    <col min="7" max="7" width="11.42578125" style="11"/>
    <col min="8" max="8" width="26.140625" style="11" customWidth="1"/>
    <col min="9" max="12" width="11.42578125" style="11"/>
    <col min="13" max="13" width="11.42578125" style="97"/>
    <col min="14" max="16384" width="11.42578125" style="11"/>
  </cols>
  <sheetData>
    <row r="1" spans="1:13" ht="27.75">
      <c r="A1" s="20" t="s">
        <v>35</v>
      </c>
      <c r="B1" s="19"/>
      <c r="C1" s="19"/>
      <c r="D1" s="19"/>
      <c r="E1" s="19"/>
      <c r="F1" s="19"/>
      <c r="G1" s="10"/>
      <c r="H1" s="210" t="s">
        <v>33</v>
      </c>
      <c r="I1" s="211"/>
      <c r="J1" s="211"/>
      <c r="K1" s="211"/>
      <c r="L1" s="211"/>
      <c r="M1" s="212"/>
    </row>
    <row r="2" spans="1:13" ht="14.45" customHeight="1">
      <c r="A2" s="126"/>
      <c r="B2" s="10"/>
      <c r="C2" s="10"/>
      <c r="D2" s="10"/>
      <c r="E2" s="10"/>
      <c r="F2" s="10"/>
      <c r="G2" s="10"/>
      <c r="H2" s="211"/>
      <c r="I2" s="211"/>
      <c r="J2" s="211"/>
      <c r="K2" s="211"/>
      <c r="L2" s="211"/>
      <c r="M2" s="212"/>
    </row>
    <row r="3" spans="1:13" ht="15.75">
      <c r="A3" s="125" t="s">
        <v>49</v>
      </c>
      <c r="B3" s="19"/>
      <c r="C3" s="19"/>
      <c r="D3" s="19"/>
      <c r="E3" s="19"/>
      <c r="F3" s="19"/>
      <c r="G3" s="10"/>
      <c r="H3" s="213"/>
      <c r="I3" s="214">
        <v>2021</v>
      </c>
      <c r="J3" s="214">
        <v>2022</v>
      </c>
      <c r="K3" s="214">
        <v>2023</v>
      </c>
      <c r="L3" s="215">
        <v>2024</v>
      </c>
      <c r="M3" s="214">
        <v>2025</v>
      </c>
    </row>
    <row r="4" spans="1:13" ht="32.1" customHeight="1">
      <c r="A4" s="298" t="s">
        <v>128</v>
      </c>
      <c r="B4" s="298"/>
      <c r="C4" s="298"/>
      <c r="D4" s="298"/>
      <c r="E4" s="298"/>
      <c r="F4" s="298"/>
      <c r="G4" s="76"/>
      <c r="H4" s="216" t="s">
        <v>50</v>
      </c>
      <c r="I4" s="217">
        <v>2.4688921098555694E-2</v>
      </c>
      <c r="J4" s="217">
        <v>4.5028892418324862E-2</v>
      </c>
      <c r="K4" s="217">
        <v>5.9143506481869057E-2</v>
      </c>
      <c r="L4" s="218">
        <v>4.0511696745314074E-2</v>
      </c>
      <c r="M4" s="218">
        <v>1.3718183350966529E-2</v>
      </c>
    </row>
    <row r="5" spans="1:13" ht="14.25" customHeight="1">
      <c r="A5" s="127" t="s">
        <v>54</v>
      </c>
      <c r="B5" s="77"/>
      <c r="C5" s="77"/>
      <c r="D5" s="77"/>
      <c r="E5" s="77"/>
      <c r="F5" s="77"/>
      <c r="G5" s="76"/>
      <c r="H5" s="219" t="s">
        <v>51</v>
      </c>
      <c r="I5" s="220">
        <v>4.9489779130194922E-2</v>
      </c>
      <c r="J5" s="220">
        <v>4.7080227253097684E-2</v>
      </c>
      <c r="K5" s="220">
        <v>3.3624000992093617E-2</v>
      </c>
      <c r="L5" s="221">
        <v>2.2875525233708061E-2</v>
      </c>
      <c r="M5" s="220">
        <v>2.2469150241587021E-2</v>
      </c>
    </row>
    <row r="6" spans="1:13" ht="14.25" customHeight="1">
      <c r="A6" s="76"/>
      <c r="B6" s="77"/>
      <c r="C6" s="77"/>
      <c r="D6" s="77"/>
      <c r="E6" s="77"/>
      <c r="F6" s="77"/>
      <c r="G6" s="76"/>
      <c r="H6" s="222" t="s">
        <v>20</v>
      </c>
      <c r="I6" s="217">
        <v>0.19151674355267745</v>
      </c>
      <c r="J6" s="217">
        <v>5.7182812957479401E-2</v>
      </c>
      <c r="K6" s="217">
        <v>-9.0611709430456266E-2</v>
      </c>
      <c r="L6" s="218">
        <v>-7.712078083734053E-2</v>
      </c>
      <c r="M6" s="217">
        <v>7.8411123816856554E-2</v>
      </c>
    </row>
    <row r="7" spans="1:13" ht="14.25" customHeight="1">
      <c r="A7" s="76"/>
      <c r="B7" s="77"/>
      <c r="C7" s="77"/>
      <c r="D7" s="77"/>
      <c r="E7" s="77"/>
      <c r="F7" s="77"/>
      <c r="G7" s="76"/>
      <c r="H7" s="223" t="s">
        <v>52</v>
      </c>
      <c r="I7" s="217">
        <v>5.7910083233776444E-2</v>
      </c>
      <c r="J7" s="217">
        <v>6.8250012676894345E-2</v>
      </c>
      <c r="K7" s="217">
        <v>6.7412741003011423E-2</v>
      </c>
      <c r="L7" s="218">
        <v>6.9809525612863466E-2</v>
      </c>
      <c r="M7" s="217">
        <v>1.7427488921544665E-2</v>
      </c>
    </row>
    <row r="8" spans="1:13" ht="14.25" customHeight="1">
      <c r="A8" s="76"/>
      <c r="B8" s="77"/>
      <c r="C8" s="77"/>
      <c r="D8" s="77"/>
      <c r="E8" s="77"/>
      <c r="F8" s="77"/>
      <c r="G8" s="76"/>
      <c r="H8" s="224" t="s">
        <v>53</v>
      </c>
      <c r="I8" s="220">
        <v>4.0873046912802025E-2</v>
      </c>
      <c r="J8" s="220">
        <v>3.9468022297546534E-2</v>
      </c>
      <c r="K8" s="220">
        <v>7.9802141629963241E-2</v>
      </c>
      <c r="L8" s="221">
        <v>4.7884128643166379E-2</v>
      </c>
      <c r="M8" s="220">
        <v>1.4255023496672514E-2</v>
      </c>
    </row>
    <row r="9" spans="1:13" ht="14.25" customHeight="1">
      <c r="A9" s="297"/>
      <c r="B9" s="77"/>
      <c r="C9" s="77"/>
      <c r="D9" s="77"/>
      <c r="E9" s="77"/>
      <c r="F9" s="77"/>
      <c r="G9" s="76"/>
      <c r="H9" s="225" t="s">
        <v>21</v>
      </c>
      <c r="I9" s="226">
        <v>1.7125070585533697E-2</v>
      </c>
      <c r="J9" s="226">
        <v>1.052623043127987E-2</v>
      </c>
      <c r="K9" s="226">
        <v>9.9064955530798748E-3</v>
      </c>
      <c r="L9" s="227">
        <v>4.1681007579581264E-2</v>
      </c>
      <c r="M9" s="227">
        <v>4.4496674056353047E-2</v>
      </c>
    </row>
    <row r="10" spans="1:13" ht="14.25" customHeight="1">
      <c r="A10" s="297"/>
      <c r="B10" s="77"/>
      <c r="C10" s="77"/>
      <c r="D10" s="77"/>
      <c r="E10" s="77"/>
      <c r="F10" s="77"/>
      <c r="G10" s="76"/>
    </row>
    <row r="11" spans="1:13" ht="14.25" customHeight="1">
      <c r="A11" s="297"/>
      <c r="B11" s="77"/>
      <c r="C11" s="77"/>
      <c r="D11" s="77"/>
      <c r="E11" s="77"/>
      <c r="F11" s="77"/>
      <c r="G11" s="76"/>
    </row>
    <row r="12" spans="1:13" ht="14.25" customHeight="1">
      <c r="A12" s="297"/>
      <c r="B12" s="77"/>
      <c r="C12" s="77"/>
      <c r="D12" s="77"/>
      <c r="E12" s="77"/>
      <c r="F12" s="77"/>
      <c r="G12" s="76"/>
    </row>
    <row r="13" spans="1:13" ht="14.25" customHeight="1">
      <c r="A13" s="297"/>
      <c r="B13" s="77"/>
      <c r="C13" s="77"/>
      <c r="D13" s="77"/>
      <c r="E13" s="77"/>
      <c r="F13" s="77"/>
      <c r="G13" s="76"/>
    </row>
    <row r="14" spans="1:13" ht="14.25" customHeight="1">
      <c r="A14" s="297"/>
      <c r="B14" s="77"/>
      <c r="C14" s="77"/>
      <c r="D14" s="77"/>
      <c r="E14" s="77"/>
      <c r="F14" s="77"/>
      <c r="G14" s="76"/>
    </row>
    <row r="15" spans="1:13" ht="14.25" customHeight="1">
      <c r="A15" s="297"/>
      <c r="B15" s="77"/>
      <c r="C15" s="77"/>
      <c r="D15" s="77"/>
      <c r="E15" s="77"/>
      <c r="F15" s="77"/>
      <c r="G15" s="76"/>
    </row>
    <row r="16" spans="1:13" ht="14.25" customHeight="1">
      <c r="A16" s="297"/>
      <c r="B16" s="77"/>
      <c r="C16" s="77"/>
      <c r="D16" s="77"/>
      <c r="E16" s="77"/>
      <c r="F16" s="77"/>
      <c r="G16" s="76"/>
    </row>
    <row r="17" spans="1:10" ht="14.25" customHeight="1">
      <c r="A17" s="76"/>
      <c r="B17" s="77"/>
      <c r="C17" s="77"/>
      <c r="D17" s="77"/>
      <c r="E17" s="77"/>
      <c r="F17" s="77"/>
      <c r="G17" s="76"/>
    </row>
    <row r="18" spans="1:10" ht="14.25" customHeight="1">
      <c r="A18" s="76"/>
      <c r="B18" s="77"/>
      <c r="C18" s="77"/>
      <c r="D18" s="77"/>
      <c r="E18" s="77"/>
      <c r="F18" s="77"/>
      <c r="G18" s="76"/>
    </row>
    <row r="19" spans="1:10" ht="14.25" customHeight="1">
      <c r="A19" s="76"/>
      <c r="B19" s="77"/>
      <c r="C19" s="77"/>
      <c r="D19" s="77"/>
      <c r="E19" s="77"/>
      <c r="F19" s="77"/>
      <c r="G19" s="76"/>
    </row>
    <row r="20" spans="1:10" ht="14.25" customHeight="1">
      <c r="A20" s="76"/>
      <c r="B20" s="77"/>
      <c r="C20" s="77"/>
      <c r="D20" s="77"/>
      <c r="E20" s="77"/>
      <c r="F20" s="77"/>
      <c r="G20" s="76"/>
    </row>
    <row r="21" spans="1:10" ht="14.25" customHeight="1">
      <c r="A21" s="76"/>
      <c r="B21" s="77"/>
      <c r="C21" s="77"/>
      <c r="D21" s="77"/>
      <c r="E21" s="77"/>
      <c r="F21" s="77"/>
      <c r="G21" s="76"/>
    </row>
    <row r="22" spans="1:10" ht="14.25" customHeight="1">
      <c r="A22" s="76"/>
      <c r="B22" s="77"/>
      <c r="C22" s="77"/>
      <c r="D22" s="77"/>
      <c r="E22" s="77"/>
      <c r="F22" s="77"/>
      <c r="G22" s="76"/>
    </row>
    <row r="23" spans="1:10" ht="14.25" customHeight="1">
      <c r="A23" s="76"/>
      <c r="B23" s="77"/>
      <c r="C23" s="77"/>
      <c r="D23" s="77"/>
      <c r="E23" s="77"/>
      <c r="F23" s="77"/>
      <c r="G23" s="76"/>
    </row>
    <row r="24" spans="1:10" ht="14.25" customHeight="1">
      <c r="A24" s="76"/>
      <c r="B24" s="77"/>
      <c r="C24" s="77"/>
      <c r="D24" s="77"/>
      <c r="E24" s="77"/>
      <c r="F24" s="77"/>
      <c r="G24" s="76"/>
    </row>
    <row r="25" spans="1:10" ht="14.25" customHeight="1">
      <c r="A25" s="76"/>
      <c r="B25" s="77"/>
      <c r="C25" s="77"/>
      <c r="D25" s="77"/>
      <c r="E25" s="77"/>
      <c r="F25" s="77"/>
      <c r="G25" s="76"/>
    </row>
    <row r="26" spans="1:10" ht="14.25" customHeight="1">
      <c r="A26" s="76"/>
      <c r="B26" s="77"/>
      <c r="C26" s="77"/>
      <c r="D26" s="77"/>
      <c r="E26" s="77"/>
      <c r="F26" s="77"/>
      <c r="G26" s="76"/>
    </row>
    <row r="27" spans="1:10" ht="14.25" customHeight="1">
      <c r="A27" s="70" t="s">
        <v>55</v>
      </c>
      <c r="B27" s="77"/>
      <c r="C27" s="77"/>
      <c r="E27" s="77"/>
      <c r="F27" s="77"/>
      <c r="G27" s="76"/>
    </row>
    <row r="28" spans="1:10" ht="14.25" customHeight="1">
      <c r="A28" s="70"/>
      <c r="B28" s="77"/>
      <c r="C28" s="77"/>
      <c r="D28" s="77"/>
      <c r="E28" s="77"/>
      <c r="F28" s="77"/>
      <c r="G28" s="76"/>
      <c r="H28" s="56"/>
    </row>
    <row r="29" spans="1:10" ht="20.25" customHeight="1">
      <c r="A29" s="138" t="s">
        <v>93</v>
      </c>
      <c r="B29" s="139"/>
      <c r="C29" s="139"/>
      <c r="D29" s="139"/>
      <c r="E29" s="139"/>
      <c r="F29" s="139"/>
      <c r="G29" s="17"/>
      <c r="H29" s="63"/>
      <c r="I29" s="12"/>
      <c r="J29" s="12"/>
    </row>
    <row r="30" spans="1:10" ht="15.75" customHeight="1">
      <c r="A30" s="12"/>
    </row>
    <row r="31" spans="1:10" ht="15">
      <c r="A31" s="58"/>
      <c r="B31" s="58"/>
      <c r="C31" s="128" t="s">
        <v>15</v>
      </c>
      <c r="D31" s="59" t="s">
        <v>1</v>
      </c>
      <c r="E31" s="128" t="s">
        <v>64</v>
      </c>
      <c r="F31" s="80" t="s">
        <v>0</v>
      </c>
      <c r="G31" s="15"/>
      <c r="H31" s="56"/>
    </row>
    <row r="32" spans="1:10" ht="12.95" customHeight="1">
      <c r="A32" s="57" t="s">
        <v>11</v>
      </c>
      <c r="B32" s="57"/>
      <c r="C32" s="129"/>
      <c r="D32" s="16"/>
      <c r="E32" s="129"/>
      <c r="F32" s="81"/>
      <c r="G32" s="15"/>
      <c r="H32" s="63"/>
      <c r="J32" s="12"/>
    </row>
    <row r="33" spans="1:16">
      <c r="A33" s="18" t="s">
        <v>94</v>
      </c>
      <c r="B33" s="18"/>
      <c r="C33" s="130">
        <v>117.64190997599999</v>
      </c>
      <c r="D33" s="65">
        <v>66.555291279000002</v>
      </c>
      <c r="E33" s="130">
        <v>25.340898029000002</v>
      </c>
      <c r="F33" s="82">
        <v>209.49069338800001</v>
      </c>
    </row>
    <row r="34" spans="1:16" s="12" customFormat="1" ht="15">
      <c r="A34" s="62" t="s">
        <v>16</v>
      </c>
      <c r="B34" s="62"/>
      <c r="C34" s="147">
        <v>1.633520382911624E-2</v>
      </c>
      <c r="D34" s="148">
        <v>1.1595334194915763E-2</v>
      </c>
      <c r="E34" s="147">
        <v>-7.2917369248832742E-3</v>
      </c>
      <c r="F34" s="149">
        <v>1.3718183350966529E-2</v>
      </c>
      <c r="G34" s="156"/>
      <c r="H34" s="140"/>
      <c r="I34" s="11"/>
      <c r="J34" s="11"/>
      <c r="K34" s="11"/>
      <c r="L34" s="11"/>
      <c r="M34" s="97"/>
      <c r="N34" s="11"/>
      <c r="O34" s="11"/>
      <c r="P34" s="11"/>
    </row>
    <row r="35" spans="1:16" ht="15">
      <c r="A35" s="57" t="s">
        <v>12</v>
      </c>
      <c r="B35" s="57"/>
      <c r="C35" s="130"/>
      <c r="D35" s="65"/>
      <c r="E35" s="130"/>
      <c r="F35" s="82"/>
      <c r="G35" s="155"/>
      <c r="H35" s="73"/>
      <c r="J35" s="73"/>
    </row>
    <row r="36" spans="1:16" ht="15">
      <c r="A36" s="18" t="s">
        <v>94</v>
      </c>
      <c r="B36" s="18"/>
      <c r="C36" s="130">
        <v>139.66650270299999</v>
      </c>
      <c r="D36" s="65">
        <v>73.063294558999999</v>
      </c>
      <c r="E36" s="130">
        <v>31.670126622000002</v>
      </c>
      <c r="F36" s="82">
        <v>244.35251798799999</v>
      </c>
      <c r="G36" s="155"/>
      <c r="J36" s="73"/>
    </row>
    <row r="37" spans="1:16" s="12" customFormat="1" ht="15">
      <c r="A37" s="64" t="s">
        <v>16</v>
      </c>
      <c r="B37" s="64"/>
      <c r="C37" s="131">
        <v>1.7118118081631328E-2</v>
      </c>
      <c r="D37" s="78">
        <v>3.3776577399968088E-2</v>
      </c>
      <c r="E37" s="131">
        <v>8.809877193627802E-3</v>
      </c>
      <c r="F37" s="83">
        <v>2.2469150241587021E-2</v>
      </c>
      <c r="G37" s="156"/>
      <c r="H37" s="140"/>
      <c r="I37" s="11"/>
      <c r="J37" s="69"/>
      <c r="K37" s="11"/>
      <c r="L37" s="11"/>
      <c r="M37" s="97"/>
      <c r="N37" s="11"/>
      <c r="O37" s="11"/>
      <c r="P37" s="11"/>
    </row>
    <row r="38" spans="1:16" ht="15">
      <c r="A38" s="60" t="s">
        <v>13</v>
      </c>
      <c r="B38" s="60"/>
      <c r="C38" s="132"/>
      <c r="D38" s="66"/>
      <c r="E38" s="132"/>
      <c r="F38" s="84"/>
      <c r="G38" s="155"/>
    </row>
    <row r="39" spans="1:16" ht="15">
      <c r="A39" s="18" t="s">
        <v>36</v>
      </c>
      <c r="B39" s="18"/>
      <c r="C39" s="133">
        <v>0.1576941664590483</v>
      </c>
      <c r="D39" s="87">
        <v>8.9073498796918657E-2</v>
      </c>
      <c r="E39" s="133">
        <v>0.19984854082027356</v>
      </c>
      <c r="F39" s="88">
        <v>0.14267020813230191</v>
      </c>
      <c r="G39" s="155"/>
    </row>
    <row r="40" spans="1:16" s="12" customFormat="1" ht="15">
      <c r="A40" s="62" t="s">
        <v>16</v>
      </c>
      <c r="B40" s="62"/>
      <c r="C40" s="134">
        <v>6.4885407126394345E-2</v>
      </c>
      <c r="D40" s="91">
        <v>1.9973878454946039</v>
      </c>
      <c r="E40" s="134">
        <v>1.2856828772758093</v>
      </c>
      <c r="F40" s="159">
        <v>0.74009372094263337</v>
      </c>
      <c r="G40" s="156"/>
      <c r="H40" s="11"/>
      <c r="I40" s="11"/>
      <c r="J40" s="11"/>
      <c r="K40" s="11"/>
      <c r="L40" s="11"/>
      <c r="M40" s="97"/>
      <c r="N40" s="11"/>
      <c r="O40" s="11"/>
      <c r="P40" s="11"/>
    </row>
    <row r="41" spans="1:16" ht="25.5">
      <c r="A41" s="57" t="s">
        <v>95</v>
      </c>
      <c r="B41" s="57"/>
      <c r="C41" s="135"/>
      <c r="D41" s="67"/>
      <c r="E41" s="135"/>
      <c r="F41" s="85"/>
      <c r="G41" s="155"/>
    </row>
    <row r="42" spans="1:16" ht="15">
      <c r="A42" s="18" t="s">
        <v>94</v>
      </c>
      <c r="B42" s="18"/>
      <c r="C42" s="130">
        <v>46.836816655</v>
      </c>
      <c r="D42" s="65">
        <v>11.201305819</v>
      </c>
      <c r="E42" s="130">
        <v>13.591989455</v>
      </c>
      <c r="F42" s="82">
        <v>71.630111928999995</v>
      </c>
      <c r="G42" s="155"/>
    </row>
    <row r="43" spans="1:16" s="12" customFormat="1" ht="15">
      <c r="A43" s="62" t="s">
        <v>16</v>
      </c>
      <c r="B43" s="62"/>
      <c r="C43" s="147">
        <v>7.2168052619498102E-2</v>
      </c>
      <c r="D43" s="148">
        <v>-8.0251433963636765E-2</v>
      </c>
      <c r="E43" s="147">
        <v>-7.0809122656923407E-2</v>
      </c>
      <c r="F43" s="149">
        <v>1.7427488921544665E-2</v>
      </c>
      <c r="G43" s="156"/>
      <c r="H43" s="11"/>
      <c r="I43" s="11"/>
      <c r="J43" s="11"/>
      <c r="K43" s="11"/>
      <c r="L43" s="11"/>
      <c r="M43" s="97"/>
      <c r="N43" s="11"/>
      <c r="O43" s="11"/>
      <c r="P43" s="11"/>
    </row>
    <row r="44" spans="1:16" ht="15">
      <c r="A44" s="57" t="s">
        <v>96</v>
      </c>
      <c r="B44" s="57"/>
      <c r="C44" s="144"/>
      <c r="D44" s="145"/>
      <c r="E44" s="144"/>
      <c r="F44" s="146"/>
      <c r="G44" s="155"/>
    </row>
    <row r="45" spans="1:16" ht="15">
      <c r="A45" s="18" t="s">
        <v>94</v>
      </c>
      <c r="B45" s="18"/>
      <c r="C45" s="130">
        <v>19.380051376000001</v>
      </c>
      <c r="D45" s="65">
        <v>3.2034270309999999</v>
      </c>
      <c r="E45" s="130">
        <v>5.8274963289999997</v>
      </c>
      <c r="F45" s="82">
        <v>28.410974735</v>
      </c>
      <c r="G45" s="155"/>
    </row>
    <row r="46" spans="1:16" s="12" customFormat="1" ht="15">
      <c r="A46" s="64" t="s">
        <v>16</v>
      </c>
      <c r="B46" s="64"/>
      <c r="C46" s="131">
        <v>5.6086688903911996E-2</v>
      </c>
      <c r="D46" s="78">
        <v>-1.3220006795725214E-2</v>
      </c>
      <c r="E46" s="131">
        <v>-9.8485876240804404E-2</v>
      </c>
      <c r="F46" s="83">
        <v>1.4255023496672514E-2</v>
      </c>
      <c r="G46" s="156"/>
      <c r="H46" s="11"/>
      <c r="I46" s="11"/>
      <c r="J46" s="11"/>
      <c r="K46" s="11"/>
      <c r="L46" s="11"/>
      <c r="M46" s="97"/>
      <c r="N46" s="11"/>
      <c r="O46" s="11"/>
      <c r="P46" s="11"/>
    </row>
    <row r="47" spans="1:16" ht="15">
      <c r="A47" s="114" t="s">
        <v>14</v>
      </c>
      <c r="B47" s="60"/>
      <c r="C47" s="136"/>
      <c r="D47" s="61"/>
      <c r="E47" s="137"/>
      <c r="F47" s="86"/>
      <c r="G47" s="155"/>
    </row>
    <row r="48" spans="1:16" ht="15">
      <c r="A48" s="79" t="s">
        <v>94</v>
      </c>
      <c r="B48" s="79"/>
      <c r="C48" s="141">
        <v>-5.432172553</v>
      </c>
      <c r="D48" s="142">
        <v>-1.489875509</v>
      </c>
      <c r="E48" s="141">
        <v>-1.435264533</v>
      </c>
      <c r="F48" s="143">
        <v>-8.3573125949999998</v>
      </c>
      <c r="G48" s="155"/>
    </row>
    <row r="49" spans="1:16" s="73" customFormat="1">
      <c r="A49" s="89" t="s">
        <v>17</v>
      </c>
      <c r="B49" s="71"/>
      <c r="C49" s="71"/>
      <c r="D49" s="71"/>
      <c r="E49" s="71"/>
      <c r="F49" s="71"/>
      <c r="G49" s="72"/>
      <c r="H49" s="11"/>
      <c r="I49" s="11"/>
      <c r="J49" s="11"/>
      <c r="K49" s="11"/>
      <c r="L49" s="11"/>
      <c r="M49" s="97"/>
      <c r="N49" s="11"/>
      <c r="O49" s="11"/>
      <c r="P49" s="11"/>
    </row>
    <row r="50" spans="1:16" s="73" customFormat="1">
      <c r="A50" s="90" t="s">
        <v>18</v>
      </c>
      <c r="B50" s="74"/>
      <c r="C50" s="74"/>
      <c r="D50" s="74"/>
      <c r="E50" s="74"/>
      <c r="F50" s="74"/>
      <c r="G50" s="75"/>
      <c r="H50" s="11"/>
      <c r="I50" s="11"/>
      <c r="J50" s="11"/>
      <c r="K50" s="11"/>
      <c r="L50" s="11"/>
      <c r="M50" s="97"/>
      <c r="N50" s="11"/>
      <c r="O50" s="11"/>
      <c r="P50" s="11"/>
    </row>
    <row r="51" spans="1:16" s="69" customFormat="1">
      <c r="A51" s="70" t="s">
        <v>55</v>
      </c>
      <c r="B51" s="68"/>
      <c r="C51" s="68"/>
      <c r="E51" s="68"/>
      <c r="F51" s="68"/>
      <c r="G51" s="68"/>
      <c r="H51" s="11"/>
      <c r="I51" s="11"/>
      <c r="J51" s="11"/>
      <c r="K51" s="11"/>
      <c r="L51" s="11"/>
      <c r="M51" s="97"/>
      <c r="N51" s="11"/>
    </row>
    <row r="52" spans="1:16">
      <c r="A52" s="70"/>
      <c r="B52" s="28"/>
      <c r="C52" s="28"/>
      <c r="D52" s="28"/>
      <c r="E52" s="28"/>
      <c r="F52" s="28"/>
      <c r="G52" s="28"/>
    </row>
    <row r="53" spans="1:16">
      <c r="A53" s="56"/>
    </row>
    <row r="54" spans="1:16">
      <c r="A54" s="56"/>
    </row>
    <row r="63" spans="1:16" ht="18">
      <c r="A63" s="13"/>
      <c r="B63" s="17"/>
      <c r="C63" s="17"/>
      <c r="D63" s="17"/>
      <c r="E63" s="17"/>
      <c r="F63" s="17"/>
      <c r="G63" s="17"/>
    </row>
    <row r="71" spans="8:14">
      <c r="H71" s="69"/>
      <c r="I71" s="69"/>
      <c r="J71" s="69"/>
      <c r="K71" s="69"/>
      <c r="L71" s="69"/>
      <c r="M71" s="206"/>
      <c r="N71" s="69"/>
    </row>
    <row r="85" spans="1:14" s="69" customFormat="1">
      <c r="A85" s="70" t="s">
        <v>19</v>
      </c>
      <c r="B85" s="68"/>
      <c r="C85" s="68"/>
      <c r="D85" s="68"/>
      <c r="E85" s="68"/>
      <c r="F85" s="68"/>
      <c r="G85" s="68"/>
      <c r="H85" s="11"/>
      <c r="I85" s="11"/>
      <c r="J85" s="11"/>
      <c r="K85" s="11"/>
      <c r="L85" s="11"/>
      <c r="M85" s="97"/>
      <c r="N85" s="11"/>
    </row>
  </sheetData>
  <mergeCells count="2">
    <mergeCell ref="A9:A16"/>
    <mergeCell ref="A4:F4"/>
  </mergeCells>
  <pageMargins left="0.7" right="0.7" top="0.75" bottom="0.75" header="0.3" footer="0.3"/>
  <pageSetup paperSize="9" scale="8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V71"/>
  <sheetViews>
    <sheetView showGridLines="0" zoomScaleNormal="100" workbookViewId="0">
      <selection activeCell="H36" sqref="H36"/>
    </sheetView>
  </sheetViews>
  <sheetFormatPr baseColWidth="10" defaultColWidth="11.42578125" defaultRowHeight="12.75"/>
  <cols>
    <col min="1" max="1" width="26.28515625" style="94" customWidth="1"/>
    <col min="2" max="5" width="13.5703125" style="94" customWidth="1"/>
    <col min="6" max="6" width="16.42578125" style="93" customWidth="1"/>
    <col min="7" max="7" width="9.85546875" style="93" customWidth="1"/>
    <col min="8" max="8" width="21.42578125" style="93" customWidth="1"/>
    <col min="9" max="9" width="9.42578125" style="93" customWidth="1"/>
    <col min="10" max="15" width="9.42578125" style="94" customWidth="1"/>
    <col min="16" max="16" width="10.140625" style="199" customWidth="1"/>
    <col min="17" max="16384" width="11.42578125" style="94"/>
  </cols>
  <sheetData>
    <row r="1" spans="1:22" ht="27.75">
      <c r="A1" s="20" t="s">
        <v>38</v>
      </c>
      <c r="B1" s="19"/>
      <c r="C1" s="19"/>
      <c r="D1" s="19"/>
      <c r="E1" s="19"/>
      <c r="F1" s="19"/>
      <c r="G1" s="9"/>
      <c r="H1" s="9"/>
    </row>
    <row r="2" spans="1:22" ht="15" customHeight="1">
      <c r="A2" s="95"/>
      <c r="B2" s="96"/>
      <c r="C2" s="96"/>
      <c r="D2" s="96"/>
      <c r="E2" s="96"/>
      <c r="F2" s="96"/>
      <c r="G2" s="96"/>
      <c r="H2" s="96"/>
    </row>
    <row r="3" spans="1:22" s="97" customFormat="1" ht="15" customHeight="1">
      <c r="H3" s="98"/>
      <c r="P3" s="200"/>
    </row>
    <row r="4" spans="1:22" s="93" customFormat="1" ht="15" customHeight="1">
      <c r="P4" s="201"/>
    </row>
    <row r="5" spans="1:22" s="99" customFormat="1" ht="15" customHeight="1">
      <c r="H5" s="172" t="s">
        <v>33</v>
      </c>
      <c r="I5" s="228"/>
      <c r="J5" s="228"/>
      <c r="K5" s="228"/>
      <c r="L5" s="228"/>
      <c r="M5" s="228"/>
      <c r="N5" s="228"/>
      <c r="O5" s="228"/>
      <c r="P5" s="228"/>
    </row>
    <row r="6" spans="1:22" s="99" customFormat="1" ht="15" customHeight="1">
      <c r="H6" s="229" t="s">
        <v>70</v>
      </c>
      <c r="I6" s="230"/>
      <c r="J6" s="230"/>
      <c r="K6" s="230"/>
      <c r="L6" s="230"/>
      <c r="M6" s="228"/>
      <c r="N6" s="228"/>
      <c r="O6" s="228"/>
      <c r="P6" s="228"/>
    </row>
    <row r="7" spans="1:22" s="99" customFormat="1" ht="15" customHeight="1">
      <c r="H7" s="231"/>
      <c r="I7" s="228"/>
      <c r="J7" s="228"/>
      <c r="K7" s="228"/>
      <c r="L7" s="232"/>
      <c r="M7" s="228"/>
      <c r="N7" s="228"/>
      <c r="O7" s="228"/>
      <c r="P7" s="228"/>
    </row>
    <row r="8" spans="1:22" s="99" customFormat="1" ht="15" customHeight="1">
      <c r="H8" s="233"/>
      <c r="I8" s="234">
        <v>2018</v>
      </c>
      <c r="J8" s="234">
        <v>2019</v>
      </c>
      <c r="K8" s="234">
        <v>2020</v>
      </c>
      <c r="L8" s="234">
        <v>2021</v>
      </c>
      <c r="M8" s="234">
        <v>2022</v>
      </c>
      <c r="N8" s="234">
        <v>2023</v>
      </c>
      <c r="O8" s="234">
        <v>2024</v>
      </c>
      <c r="P8" s="234">
        <v>2025</v>
      </c>
    </row>
    <row r="9" spans="1:22" s="99" customFormat="1" ht="15" customHeight="1">
      <c r="A9" s="299" t="s">
        <v>116</v>
      </c>
      <c r="G9" s="110"/>
      <c r="H9" s="235" t="s">
        <v>30</v>
      </c>
      <c r="I9" s="236">
        <v>33.627877290999997</v>
      </c>
      <c r="J9" s="236">
        <v>34.525962735</v>
      </c>
      <c r="K9" s="236">
        <v>35.263726094999996</v>
      </c>
      <c r="L9" s="236">
        <v>34.298171539000002</v>
      </c>
      <c r="M9" s="236">
        <v>36.225000000000001</v>
      </c>
      <c r="N9" s="236">
        <v>39.817999999999998</v>
      </c>
      <c r="O9" s="236">
        <v>41.946023789000002</v>
      </c>
      <c r="P9" s="236">
        <v>43.113139080999993</v>
      </c>
      <c r="T9" s="152"/>
    </row>
    <row r="10" spans="1:22" s="99" customFormat="1" ht="15" customHeight="1">
      <c r="A10" s="299"/>
      <c r="G10" s="110"/>
      <c r="H10" s="235" t="s">
        <v>31</v>
      </c>
      <c r="I10" s="236">
        <v>22.696573219999998</v>
      </c>
      <c r="J10" s="236">
        <v>23.443203732999997</v>
      </c>
      <c r="K10" s="236">
        <v>23.793444011999998</v>
      </c>
      <c r="L10" s="236">
        <v>2.7591212989999998</v>
      </c>
      <c r="M10" s="236">
        <v>2.8220000000000001</v>
      </c>
      <c r="N10" s="236">
        <v>3.7839999999999998</v>
      </c>
      <c r="O10" s="236">
        <v>3.723320781</v>
      </c>
      <c r="P10" s="236">
        <v>3.0130551460000001</v>
      </c>
      <c r="T10" s="150"/>
      <c r="U10" s="153"/>
      <c r="V10" s="153"/>
    </row>
    <row r="11" spans="1:22" s="99" customFormat="1" ht="15" customHeight="1">
      <c r="A11" s="299"/>
      <c r="G11" s="110"/>
      <c r="H11" s="235" t="s">
        <v>23</v>
      </c>
      <c r="I11" s="236">
        <v>17.724853929000002</v>
      </c>
      <c r="J11" s="236">
        <v>18.924924317000002</v>
      </c>
      <c r="K11" s="236">
        <v>19.490456426000001</v>
      </c>
      <c r="L11" s="236">
        <v>9.6391450640000009</v>
      </c>
      <c r="M11" s="236">
        <v>9.3239999999999998</v>
      </c>
      <c r="N11" s="236">
        <v>0</v>
      </c>
      <c r="O11" s="236">
        <v>0</v>
      </c>
      <c r="P11" s="236">
        <v>0</v>
      </c>
      <c r="T11" s="153"/>
    </row>
    <row r="12" spans="1:22" s="99" customFormat="1" ht="15" customHeight="1">
      <c r="A12" s="299"/>
      <c r="G12" s="110"/>
      <c r="H12" s="235" t="s">
        <v>29</v>
      </c>
      <c r="I12" s="236">
        <v>14.860513750999999</v>
      </c>
      <c r="J12" s="236">
        <v>16.363453015000001</v>
      </c>
      <c r="K12" s="236">
        <v>16.047025668</v>
      </c>
      <c r="L12" s="236">
        <v>19.974805908</v>
      </c>
      <c r="M12" s="236">
        <v>20.596025236999999</v>
      </c>
      <c r="N12" s="236">
        <v>16.307887741999998</v>
      </c>
      <c r="O12" s="236">
        <v>14.092529129000001</v>
      </c>
      <c r="P12" s="236">
        <v>16.70340022373</v>
      </c>
    </row>
    <row r="13" spans="1:22" s="99" customFormat="1" ht="15" customHeight="1">
      <c r="A13" s="299"/>
      <c r="G13" s="112"/>
      <c r="H13" s="237" t="s">
        <v>26</v>
      </c>
      <c r="I13" s="236">
        <v>11.744697689000001</v>
      </c>
      <c r="J13" s="236">
        <v>11.658701202</v>
      </c>
      <c r="K13" s="236">
        <v>10.759676133999999</v>
      </c>
      <c r="L13" s="236">
        <v>10.956508055</v>
      </c>
      <c r="M13" s="236">
        <v>10.889453903</v>
      </c>
      <c r="N13" s="236">
        <v>10.971917055</v>
      </c>
      <c r="O13" s="236">
        <v>11.701091533</v>
      </c>
      <c r="P13" s="236">
        <v>11.934268136939998</v>
      </c>
    </row>
    <row r="14" spans="1:22" s="99" customFormat="1" ht="15" customHeight="1">
      <c r="A14" s="299"/>
      <c r="G14" s="110"/>
      <c r="H14" s="235" t="s">
        <v>22</v>
      </c>
      <c r="I14" s="236">
        <v>7.9540907079999998</v>
      </c>
      <c r="J14" s="236">
        <v>8.0057612420000002</v>
      </c>
      <c r="K14" s="236">
        <v>8.2647013979999997</v>
      </c>
      <c r="L14" s="236">
        <v>6.8528352579999998</v>
      </c>
      <c r="M14" s="236">
        <v>7.1020000000000003</v>
      </c>
      <c r="N14" s="236">
        <v>7.6040000000000001</v>
      </c>
      <c r="O14" s="236">
        <v>8.0308988790000004</v>
      </c>
      <c r="P14" s="236">
        <v>8.3805522870000004</v>
      </c>
      <c r="T14" s="153"/>
    </row>
    <row r="15" spans="1:22" s="99" customFormat="1" ht="15" customHeight="1">
      <c r="A15" s="299"/>
      <c r="G15" s="110"/>
      <c r="H15" s="235" t="s">
        <v>27</v>
      </c>
      <c r="I15" s="236">
        <v>7.2957413170000001</v>
      </c>
      <c r="J15" s="236">
        <v>7.5202509949999996</v>
      </c>
      <c r="K15" s="236">
        <v>7.7673299169999996</v>
      </c>
      <c r="L15" s="236">
        <v>8.1915516149999998</v>
      </c>
      <c r="M15" s="236">
        <v>8.5881242810000007</v>
      </c>
      <c r="N15" s="236">
        <v>9.2043624370000003</v>
      </c>
      <c r="O15" s="236">
        <v>9.7307159240000001</v>
      </c>
      <c r="P15" s="236">
        <v>10.416315356769999</v>
      </c>
    </row>
    <row r="16" spans="1:22" s="99" customFormat="1" ht="15" customHeight="1">
      <c r="A16" s="299"/>
      <c r="G16" s="110"/>
      <c r="H16" s="235" t="s">
        <v>28</v>
      </c>
      <c r="I16" s="238">
        <v>6.9235509439999996</v>
      </c>
      <c r="J16" s="238">
        <v>7.0118429829999993</v>
      </c>
      <c r="K16" s="238">
        <v>7.1373654770000003</v>
      </c>
      <c r="L16" s="238">
        <v>7.4317290679999992</v>
      </c>
      <c r="M16" s="238">
        <v>7.9180000000000001</v>
      </c>
      <c r="N16" s="238">
        <v>8.4749999999999996</v>
      </c>
      <c r="O16" s="236">
        <v>8.9378700119999994</v>
      </c>
      <c r="P16" s="236">
        <v>9.2264293540000004</v>
      </c>
      <c r="T16" s="153"/>
    </row>
    <row r="17" spans="1:20" s="99" customFormat="1" ht="15" customHeight="1">
      <c r="G17" s="110"/>
      <c r="H17" s="235" t="s">
        <v>63</v>
      </c>
      <c r="I17" s="236">
        <v>4.3702504519999996</v>
      </c>
      <c r="J17" s="236">
        <v>4.6160668210000004</v>
      </c>
      <c r="K17" s="236">
        <v>4.368267661</v>
      </c>
      <c r="L17" s="236">
        <v>4.7486531149999998</v>
      </c>
      <c r="M17" s="236">
        <v>4.740802381</v>
      </c>
      <c r="N17" s="236">
        <v>5.1625253579999999</v>
      </c>
      <c r="O17" s="236">
        <v>5.4709049820000004</v>
      </c>
      <c r="P17" s="236">
        <v>5.6880530456200002</v>
      </c>
    </row>
    <row r="18" spans="1:20" s="99" customFormat="1" ht="15" customHeight="1">
      <c r="G18" s="110"/>
      <c r="H18" s="235" t="s">
        <v>37</v>
      </c>
      <c r="I18" s="236">
        <v>2.3204636399999998</v>
      </c>
      <c r="J18" s="236">
        <v>2.3602877310000001</v>
      </c>
      <c r="K18" s="236">
        <v>0.702263733</v>
      </c>
      <c r="L18" s="236">
        <v>0.43915593000000003</v>
      </c>
      <c r="M18" s="236">
        <v>0.33271767000000002</v>
      </c>
      <c r="N18" s="236">
        <v>0.26113106200000002</v>
      </c>
      <c r="O18" s="236">
        <v>8.6058704999999999E-2</v>
      </c>
      <c r="P18" s="236">
        <v>6.4467575880000003E-2</v>
      </c>
    </row>
    <row r="19" spans="1:20" s="99" customFormat="1" ht="15" customHeight="1">
      <c r="G19" s="110"/>
      <c r="H19" s="235" t="s">
        <v>24</v>
      </c>
      <c r="I19" s="236">
        <v>1.538317304</v>
      </c>
      <c r="J19" s="236">
        <v>1.556833871</v>
      </c>
      <c r="K19" s="236">
        <v>1.6168328789999999</v>
      </c>
      <c r="L19" s="236">
        <v>1.646546705</v>
      </c>
      <c r="M19" s="236">
        <v>1.694</v>
      </c>
      <c r="N19" s="236">
        <v>1.903</v>
      </c>
      <c r="O19" s="236">
        <v>1.8938929980000001</v>
      </c>
      <c r="P19" s="236">
        <v>1.9821696260000001</v>
      </c>
      <c r="T19" s="153"/>
    </row>
    <row r="20" spans="1:20" s="93" customFormat="1" ht="15" customHeight="1">
      <c r="G20" s="110"/>
      <c r="H20" s="235" t="s">
        <v>25</v>
      </c>
      <c r="I20" s="236">
        <v>0.77448542999999992</v>
      </c>
      <c r="J20" s="236">
        <v>0.79057489299999995</v>
      </c>
      <c r="K20" s="236">
        <v>0.79880443400000001</v>
      </c>
      <c r="L20" s="236">
        <v>0.7941829760000001</v>
      </c>
      <c r="M20" s="236">
        <v>0.84699999999999998</v>
      </c>
      <c r="N20" s="236">
        <v>0.93500000000000005</v>
      </c>
      <c r="O20" s="236">
        <v>1.0385547589999999</v>
      </c>
      <c r="P20" s="236">
        <v>0.97565429299999995</v>
      </c>
    </row>
    <row r="21" spans="1:20" s="93" customFormat="1" ht="15" customHeight="1">
      <c r="H21" s="235" t="s">
        <v>71</v>
      </c>
      <c r="I21" s="236">
        <v>4.197731342</v>
      </c>
      <c r="J21" s="236">
        <v>4.2923156469999997</v>
      </c>
      <c r="K21" s="236">
        <v>4.0259199949999998</v>
      </c>
      <c r="L21" s="236">
        <v>37.461401547999998</v>
      </c>
      <c r="M21" s="236">
        <v>40.910668395000002</v>
      </c>
      <c r="N21" s="236">
        <v>50.812187557999998</v>
      </c>
      <c r="O21" s="236">
        <v>52.487420794999998</v>
      </c>
      <c r="P21" s="236">
        <v>52.708070795380003</v>
      </c>
    </row>
    <row r="22" spans="1:20" s="100" customFormat="1" ht="15" customHeight="1">
      <c r="G22" s="99"/>
      <c r="H22" s="239" t="s">
        <v>115</v>
      </c>
      <c r="I22" s="240">
        <v>136.02914701699999</v>
      </c>
      <c r="J22" s="240">
        <v>141.07017918500003</v>
      </c>
      <c r="K22" s="240">
        <v>140.03581382900001</v>
      </c>
      <c r="L22" s="240">
        <v>145.19380808</v>
      </c>
      <c r="M22" s="240">
        <v>151.98979186700001</v>
      </c>
      <c r="N22" s="240">
        <v>155.23901121200001</v>
      </c>
      <c r="O22" s="240">
        <v>159.139282286</v>
      </c>
      <c r="P22" s="240">
        <v>164.20557492131999</v>
      </c>
    </row>
    <row r="23" spans="1:20" s="101" customFormat="1" ht="15" customHeight="1">
      <c r="G23" s="99"/>
      <c r="H23" s="204"/>
      <c r="I23" s="204"/>
      <c r="J23" s="204"/>
      <c r="K23" s="204"/>
      <c r="L23" s="204"/>
      <c r="M23" s="204"/>
      <c r="N23" s="204"/>
      <c r="O23" s="204"/>
      <c r="P23" s="204"/>
      <c r="Q23" s="204"/>
    </row>
    <row r="24" spans="1:20" s="93" customFormat="1" ht="15" customHeight="1">
      <c r="A24" s="105"/>
      <c r="B24" s="103"/>
      <c r="C24" s="103"/>
      <c r="D24" s="103"/>
      <c r="E24" s="104"/>
      <c r="H24" s="110"/>
      <c r="J24" s="153"/>
      <c r="K24" s="153"/>
      <c r="L24" s="153"/>
      <c r="M24" s="153"/>
      <c r="N24" s="153"/>
      <c r="O24" s="153"/>
      <c r="P24" s="205"/>
    </row>
    <row r="25" spans="1:20" s="93" customFormat="1" ht="15" customHeight="1">
      <c r="A25" s="105"/>
      <c r="B25" s="103"/>
      <c r="C25" s="103"/>
      <c r="D25" s="103"/>
      <c r="E25" s="104"/>
      <c r="H25" s="110"/>
    </row>
    <row r="26" spans="1:20" s="93" customFormat="1" ht="15" customHeight="1">
      <c r="A26" s="105"/>
      <c r="B26" s="103"/>
      <c r="C26" s="103"/>
      <c r="D26" s="103"/>
      <c r="E26" s="104"/>
      <c r="H26" s="154"/>
    </row>
    <row r="27" spans="1:20" s="93" customFormat="1" ht="15" customHeight="1">
      <c r="A27" s="105"/>
      <c r="B27" s="103"/>
      <c r="C27" s="103"/>
      <c r="D27" s="103"/>
      <c r="E27" s="104"/>
      <c r="H27" s="110"/>
      <c r="J27" s="153"/>
      <c r="K27" s="153"/>
      <c r="L27" s="153"/>
      <c r="M27" s="153"/>
      <c r="N27" s="153"/>
    </row>
    <row r="28" spans="1:20" s="93" customFormat="1" ht="15" customHeight="1">
      <c r="A28" s="105"/>
      <c r="B28" s="103"/>
      <c r="C28" s="103"/>
      <c r="D28" s="103"/>
      <c r="E28" s="104"/>
      <c r="H28" s="110"/>
    </row>
    <row r="29" spans="1:20" s="93" customFormat="1" ht="15" customHeight="1">
      <c r="A29" s="105"/>
      <c r="B29" s="103"/>
      <c r="C29" s="103"/>
      <c r="D29" s="103"/>
      <c r="E29" s="104"/>
      <c r="H29" s="110"/>
      <c r="J29" s="153"/>
      <c r="K29" s="153"/>
      <c r="L29" s="153"/>
      <c r="M29" s="153"/>
      <c r="N29" s="153"/>
      <c r="O29" s="153"/>
      <c r="P29" s="202"/>
    </row>
    <row r="30" spans="1:20" s="93" customFormat="1" ht="15" customHeight="1">
      <c r="A30" s="108"/>
      <c r="B30" s="103"/>
      <c r="C30" s="103"/>
      <c r="D30" s="103"/>
      <c r="E30" s="104"/>
      <c r="H30" s="110"/>
      <c r="P30" s="201"/>
    </row>
    <row r="31" spans="1:20" s="93" customFormat="1" ht="15" customHeight="1">
      <c r="A31" s="109"/>
      <c r="B31" s="102"/>
      <c r="C31" s="102"/>
      <c r="D31" s="102"/>
      <c r="E31" s="102"/>
      <c r="H31" s="110"/>
      <c r="P31" s="201"/>
    </row>
    <row r="32" spans="1:20" s="93" customFormat="1" ht="30" customHeight="1">
      <c r="A32" s="109"/>
      <c r="B32" s="300" t="s">
        <v>62</v>
      </c>
      <c r="C32" s="300"/>
      <c r="D32" s="300"/>
      <c r="E32" s="300"/>
      <c r="F32" s="300"/>
      <c r="H32" s="110"/>
      <c r="J32" s="153"/>
      <c r="K32" s="153"/>
      <c r="L32" s="153"/>
      <c r="M32" s="153"/>
      <c r="N32" s="153"/>
      <c r="O32" s="153"/>
      <c r="P32" s="202"/>
    </row>
    <row r="33" spans="1:16" s="93" customFormat="1" ht="15" customHeight="1">
      <c r="A33" s="109"/>
      <c r="B33" s="111"/>
      <c r="C33" s="111"/>
      <c r="D33" s="111"/>
      <c r="E33" s="111"/>
      <c r="F33" s="111"/>
      <c r="H33" s="110"/>
      <c r="P33" s="201"/>
    </row>
    <row r="42" spans="1:16">
      <c r="A42" s="97"/>
      <c r="B42" s="97"/>
      <c r="C42" s="97"/>
      <c r="D42" s="97"/>
      <c r="E42" s="97"/>
      <c r="F42" s="97"/>
      <c r="G42" s="97"/>
      <c r="H42" s="97"/>
    </row>
    <row r="43" spans="1:16">
      <c r="H43" s="97"/>
    </row>
    <row r="44" spans="1:16">
      <c r="H44" s="97"/>
    </row>
    <row r="45" spans="1:16">
      <c r="I45" s="94"/>
    </row>
    <row r="46" spans="1:16">
      <c r="I46" s="94"/>
    </row>
    <row r="47" spans="1:16">
      <c r="I47" s="94"/>
    </row>
    <row r="71" spans="1:16" s="101" customFormat="1" ht="12.95" customHeight="1">
      <c r="A71" s="106" t="s">
        <v>32</v>
      </c>
      <c r="B71" s="107"/>
      <c r="C71" s="107"/>
      <c r="D71" s="107"/>
      <c r="E71" s="107"/>
      <c r="F71" s="107"/>
      <c r="G71" s="107"/>
      <c r="P71" s="203"/>
    </row>
  </sheetData>
  <mergeCells count="2">
    <mergeCell ref="A9:A16"/>
    <mergeCell ref="B32:F32"/>
  </mergeCells>
  <pageMargins left="0.39370078740157483" right="0.39370078740157483" top="0.98425196850393704" bottom="0.98425196850393704" header="0.51181102362204722" footer="0.51181102362204722"/>
  <pageSetup paperSize="9" scale="85"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Y49"/>
  <sheetViews>
    <sheetView showGridLines="0" topLeftCell="A28" workbookViewId="0">
      <selection activeCell="H36" sqref="H36"/>
    </sheetView>
  </sheetViews>
  <sheetFormatPr baseColWidth="10" defaultColWidth="11.42578125" defaultRowHeight="12.75"/>
  <cols>
    <col min="1" max="1" width="30.5703125" style="97" customWidth="1"/>
    <col min="2" max="10" width="11.42578125" style="97"/>
    <col min="11" max="11" width="45.5703125" style="97" customWidth="1"/>
    <col min="12" max="16" width="8.85546875" style="97" customWidth="1"/>
    <col min="17" max="19" width="8.42578125" style="97" customWidth="1"/>
    <col min="20" max="20" width="9.28515625" style="200" customWidth="1"/>
    <col min="21" max="21" width="8.42578125" style="200" customWidth="1"/>
    <col min="22" max="22" width="11.42578125" style="198"/>
    <col min="23" max="16384" width="11.42578125" style="97"/>
  </cols>
  <sheetData>
    <row r="1" spans="1:25" ht="27.75">
      <c r="A1" s="20" t="s">
        <v>47</v>
      </c>
      <c r="B1" s="21"/>
      <c r="C1" s="21"/>
      <c r="D1" s="21"/>
      <c r="E1" s="21"/>
      <c r="F1" s="21"/>
      <c r="G1" s="21"/>
      <c r="H1" s="21"/>
      <c r="K1" s="210" t="s">
        <v>33</v>
      </c>
      <c r="L1" s="242"/>
      <c r="M1" s="243"/>
      <c r="N1" s="244"/>
      <c r="O1" s="242"/>
      <c r="P1" s="242"/>
      <c r="Q1" s="212"/>
      <c r="R1" s="212"/>
      <c r="S1" s="212"/>
      <c r="T1" s="212"/>
    </row>
    <row r="2" spans="1:25" ht="23.25">
      <c r="A2" s="92"/>
      <c r="K2" s="210"/>
      <c r="L2" s="242"/>
      <c r="M2" s="243"/>
      <c r="N2" s="244"/>
      <c r="O2" s="242"/>
      <c r="P2" s="242"/>
      <c r="Q2" s="212"/>
      <c r="R2" s="212"/>
      <c r="S2" s="212"/>
      <c r="T2" s="212"/>
    </row>
    <row r="3" spans="1:25" ht="15" customHeight="1">
      <c r="F3" s="123"/>
      <c r="G3" s="123"/>
      <c r="H3" s="123"/>
      <c r="I3" s="123"/>
      <c r="J3" s="123"/>
      <c r="K3" s="245"/>
      <c r="L3" s="246">
        <v>2018</v>
      </c>
      <c r="M3" s="247">
        <v>2019</v>
      </c>
      <c r="N3" s="248">
        <v>2020</v>
      </c>
      <c r="O3" s="247">
        <v>2021</v>
      </c>
      <c r="P3" s="248">
        <v>2022</v>
      </c>
      <c r="Q3" s="247">
        <v>2023</v>
      </c>
      <c r="R3" s="248">
        <v>2024</v>
      </c>
      <c r="S3" s="247">
        <v>2025</v>
      </c>
      <c r="T3" s="248">
        <v>2026</v>
      </c>
    </row>
    <row r="4" spans="1:25" ht="15" customHeight="1">
      <c r="F4" s="116"/>
      <c r="G4" s="96"/>
      <c r="H4" s="96"/>
      <c r="I4" s="96"/>
      <c r="J4" s="96"/>
      <c r="K4" s="249" t="s">
        <v>65</v>
      </c>
      <c r="L4" s="250">
        <v>104.77200000000001</v>
      </c>
      <c r="M4" s="251">
        <v>111.849</v>
      </c>
      <c r="N4" s="250">
        <v>116.069</v>
      </c>
      <c r="O4" s="251">
        <v>104.248</v>
      </c>
      <c r="P4" s="250">
        <v>106.24381299999999</v>
      </c>
      <c r="Q4" s="251">
        <v>105.832671956</v>
      </c>
      <c r="R4" s="250">
        <v>105.9045</v>
      </c>
      <c r="S4" s="251">
        <v>104.71096067000003</v>
      </c>
      <c r="T4" s="250">
        <v>108.25490000000001</v>
      </c>
    </row>
    <row r="5" spans="1:25" ht="15" customHeight="1">
      <c r="F5" s="116"/>
      <c r="G5" s="117"/>
      <c r="K5" s="252" t="s">
        <v>66</v>
      </c>
      <c r="L5" s="253">
        <v>48.26</v>
      </c>
      <c r="M5" s="254">
        <v>48.771000000000001</v>
      </c>
      <c r="N5" s="255">
        <v>49.505000000000003</v>
      </c>
      <c r="O5" s="256">
        <v>52.119</v>
      </c>
      <c r="P5" s="255">
        <v>53.079812999999994</v>
      </c>
      <c r="Q5" s="256">
        <v>55.314671956000012</v>
      </c>
      <c r="R5" s="255">
        <v>54.804899999999996</v>
      </c>
      <c r="S5" s="256">
        <v>54.684960670000031</v>
      </c>
      <c r="T5" s="255">
        <v>54.736900000000006</v>
      </c>
    </row>
    <row r="6" spans="1:25" ht="15" customHeight="1">
      <c r="F6" s="116"/>
      <c r="G6" s="117"/>
      <c r="K6" s="257" t="s">
        <v>67</v>
      </c>
      <c r="L6" s="253">
        <v>38.015000000000001</v>
      </c>
      <c r="M6" s="258">
        <v>38.764000000000003</v>
      </c>
      <c r="N6" s="253">
        <v>38.503999999999998</v>
      </c>
      <c r="O6" s="259">
        <v>38.142000000000003</v>
      </c>
      <c r="P6" s="255">
        <v>40.011000000000003</v>
      </c>
      <c r="Q6" s="256">
        <v>38.341000000000001</v>
      </c>
      <c r="R6" s="255">
        <v>38.748599999999996</v>
      </c>
      <c r="S6" s="256">
        <v>38.692999999999998</v>
      </c>
      <c r="T6" s="255">
        <v>42.414999999999999</v>
      </c>
    </row>
    <row r="7" spans="1:25" ht="15" customHeight="1">
      <c r="K7" s="212" t="s">
        <v>68</v>
      </c>
      <c r="L7" s="260">
        <v>18.497</v>
      </c>
      <c r="M7" s="261">
        <v>24.314</v>
      </c>
      <c r="N7" s="260">
        <v>28.06</v>
      </c>
      <c r="O7" s="261">
        <v>13.968999999999999</v>
      </c>
      <c r="P7" s="255">
        <v>12.262</v>
      </c>
      <c r="Q7" s="256">
        <v>11.372</v>
      </c>
      <c r="R7" s="255">
        <v>11.071999999999999</v>
      </c>
      <c r="S7" s="256">
        <v>10.054</v>
      </c>
      <c r="T7" s="255">
        <v>9.8160000000000007</v>
      </c>
    </row>
    <row r="8" spans="1:25" ht="15" customHeight="1">
      <c r="K8" s="212"/>
      <c r="L8" s="262"/>
      <c r="M8" s="262"/>
      <c r="N8" s="262"/>
      <c r="O8" s="262"/>
      <c r="P8" s="262"/>
      <c r="Q8" s="262"/>
      <c r="R8" s="212"/>
      <c r="S8" s="212"/>
      <c r="T8" s="212"/>
    </row>
    <row r="9" spans="1:25" ht="15" customHeight="1">
      <c r="K9" s="118"/>
      <c r="L9" s="158"/>
      <c r="M9" s="158"/>
      <c r="N9" s="158"/>
      <c r="O9" s="158"/>
      <c r="P9" s="158"/>
      <c r="Q9" s="158"/>
    </row>
    <row r="10" spans="1:25" ht="15" customHeight="1">
      <c r="K10" s="118"/>
      <c r="L10" s="158"/>
      <c r="M10" s="158"/>
      <c r="N10" s="158"/>
      <c r="O10" s="158"/>
      <c r="P10" s="158"/>
      <c r="Q10" s="158"/>
    </row>
    <row r="11" spans="1:25" ht="15" customHeight="1">
      <c r="A11" s="302" t="s">
        <v>117</v>
      </c>
      <c r="K11" s="118"/>
      <c r="L11" s="158"/>
      <c r="M11" s="158"/>
      <c r="N11" s="158"/>
      <c r="O11" s="158"/>
      <c r="P11" s="158"/>
      <c r="Q11" s="158"/>
      <c r="V11" s="200"/>
      <c r="W11" s="200"/>
      <c r="X11" s="200"/>
      <c r="Y11" s="200"/>
    </row>
    <row r="12" spans="1:25" ht="15" customHeight="1">
      <c r="A12" s="302"/>
      <c r="K12" s="118"/>
      <c r="L12" s="158"/>
      <c r="M12" s="158"/>
      <c r="N12" s="158"/>
      <c r="O12" s="158"/>
      <c r="P12" s="158"/>
      <c r="Q12" s="158"/>
      <c r="V12" s="200"/>
      <c r="W12" s="200"/>
      <c r="X12" s="200"/>
      <c r="Y12" s="200"/>
    </row>
    <row r="13" spans="1:25" ht="15" customHeight="1">
      <c r="A13" s="302"/>
      <c r="K13" s="118"/>
      <c r="L13" s="158"/>
      <c r="M13" s="158"/>
      <c r="N13" s="158"/>
      <c r="O13" s="158"/>
      <c r="P13" s="158"/>
      <c r="Q13" s="158"/>
      <c r="V13" s="200"/>
      <c r="W13" s="200"/>
      <c r="X13" s="200"/>
      <c r="Y13" s="200"/>
    </row>
    <row r="14" spans="1:25">
      <c r="A14" s="302"/>
      <c r="K14" s="118"/>
      <c r="L14" s="158"/>
      <c r="M14" s="158"/>
      <c r="N14" s="158"/>
      <c r="O14" s="158"/>
      <c r="P14" s="158"/>
      <c r="Q14" s="158"/>
      <c r="V14" s="200"/>
      <c r="W14" s="200"/>
      <c r="X14" s="200"/>
      <c r="Y14" s="200"/>
    </row>
    <row r="15" spans="1:25">
      <c r="A15" s="302"/>
      <c r="K15" s="118"/>
      <c r="L15" s="158"/>
      <c r="M15" s="158"/>
      <c r="N15" s="158"/>
      <c r="O15" s="158"/>
      <c r="P15" s="158"/>
      <c r="Q15" s="158"/>
      <c r="V15" s="200"/>
      <c r="W15" s="200"/>
      <c r="X15" s="200"/>
      <c r="Y15" s="200"/>
    </row>
    <row r="16" spans="1:25" ht="15" customHeight="1">
      <c r="A16" s="302"/>
      <c r="K16" s="118"/>
      <c r="L16" s="158"/>
      <c r="M16" s="158"/>
      <c r="N16" s="158"/>
      <c r="O16" s="158"/>
      <c r="P16" s="158"/>
      <c r="Q16" s="158"/>
      <c r="V16" s="200"/>
      <c r="W16" s="200"/>
      <c r="X16" s="200"/>
      <c r="Y16" s="200"/>
    </row>
    <row r="17" spans="1:25" ht="15" customHeight="1">
      <c r="A17" s="302"/>
      <c r="K17" s="118"/>
      <c r="L17" s="158"/>
      <c r="M17" s="158"/>
      <c r="N17" s="158"/>
      <c r="O17" s="158"/>
      <c r="P17" s="158"/>
      <c r="Q17" s="158"/>
      <c r="V17" s="200"/>
      <c r="W17" s="200"/>
      <c r="X17" s="200"/>
      <c r="Y17" s="200"/>
    </row>
    <row r="18" spans="1:25" ht="15" customHeight="1">
      <c r="A18" s="302"/>
      <c r="K18" s="118"/>
      <c r="L18" s="158"/>
      <c r="M18" s="158"/>
      <c r="N18" s="158"/>
      <c r="O18" s="158"/>
      <c r="P18" s="158"/>
      <c r="Q18" s="158"/>
      <c r="V18" s="200"/>
      <c r="W18" s="200"/>
      <c r="X18" s="200"/>
      <c r="Y18" s="200"/>
    </row>
    <row r="19" spans="1:25" ht="15" customHeight="1">
      <c r="A19" s="302"/>
      <c r="K19" s="118"/>
      <c r="L19" s="158"/>
      <c r="M19" s="158"/>
      <c r="N19" s="158"/>
      <c r="O19" s="158"/>
      <c r="P19" s="158"/>
      <c r="Q19" s="158"/>
      <c r="V19" s="200"/>
      <c r="W19" s="200"/>
      <c r="X19" s="200"/>
      <c r="Y19" s="200"/>
    </row>
    <row r="20" spans="1:25" ht="15" customHeight="1">
      <c r="A20" s="302"/>
      <c r="L20" s="119"/>
      <c r="M20" s="119"/>
      <c r="N20" s="119"/>
      <c r="O20" s="119"/>
      <c r="P20" s="119"/>
    </row>
    <row r="21" spans="1:25" ht="15" customHeight="1">
      <c r="A21" s="302"/>
      <c r="L21" s="119"/>
      <c r="M21" s="119"/>
      <c r="N21" s="119"/>
      <c r="O21" s="119"/>
      <c r="P21" s="119"/>
    </row>
    <row r="22" spans="1:25" ht="15" customHeight="1">
      <c r="A22" s="302"/>
    </row>
    <row r="23" spans="1:25" ht="15" customHeight="1">
      <c r="A23" s="302"/>
    </row>
    <row r="24" spans="1:25" ht="15" customHeight="1">
      <c r="A24" s="124"/>
    </row>
    <row r="25" spans="1:25" ht="15" customHeight="1">
      <c r="A25" s="124"/>
    </row>
    <row r="26" spans="1:25" ht="15" customHeight="1"/>
    <row r="27" spans="1:25" ht="15" customHeight="1"/>
    <row r="30" spans="1:25" ht="15">
      <c r="S30" s="121"/>
    </row>
    <row r="31" spans="1:25">
      <c r="K31" s="241"/>
      <c r="O31" s="209"/>
    </row>
    <row r="32" spans="1:25">
      <c r="B32" s="120" t="s">
        <v>72</v>
      </c>
      <c r="K32" s="212"/>
      <c r="L32" s="212"/>
      <c r="M32" s="212"/>
      <c r="N32" s="212"/>
      <c r="O32" s="212"/>
    </row>
    <row r="33" spans="2:15" ht="15">
      <c r="K33" s="229" t="s">
        <v>119</v>
      </c>
      <c r="L33" s="263"/>
      <c r="M33" s="212"/>
      <c r="N33" s="212"/>
      <c r="O33" s="212"/>
    </row>
    <row r="34" spans="2:15" ht="15.75">
      <c r="B34" s="301" t="s">
        <v>118</v>
      </c>
      <c r="C34" s="301"/>
      <c r="D34" s="301"/>
      <c r="E34" s="301"/>
      <c r="F34" s="301"/>
      <c r="G34" s="301"/>
      <c r="K34" s="212"/>
      <c r="L34" s="264">
        <v>2026</v>
      </c>
      <c r="M34" s="212"/>
      <c r="N34" s="212"/>
      <c r="O34" s="212"/>
    </row>
    <row r="35" spans="2:15" ht="38.25">
      <c r="K35" s="265" t="s">
        <v>120</v>
      </c>
      <c r="L35" s="266">
        <v>27.405900000000003</v>
      </c>
      <c r="M35" s="212"/>
      <c r="N35" s="212"/>
      <c r="O35" s="212"/>
    </row>
    <row r="36" spans="2:15" ht="38.25">
      <c r="K36" s="265" t="s">
        <v>121</v>
      </c>
      <c r="L36" s="266">
        <v>16.460599999999999</v>
      </c>
      <c r="M36" s="212"/>
      <c r="N36" s="212"/>
      <c r="O36" s="212"/>
    </row>
    <row r="37" spans="2:15" ht="25.5">
      <c r="K37" s="265" t="s">
        <v>89</v>
      </c>
      <c r="L37" s="266">
        <v>3.775500000000001</v>
      </c>
      <c r="M37" s="212"/>
      <c r="N37" s="212"/>
      <c r="O37" s="212"/>
    </row>
    <row r="38" spans="2:15" ht="25.5">
      <c r="K38" s="265" t="s">
        <v>90</v>
      </c>
      <c r="L38" s="266">
        <v>5.2869999999999999</v>
      </c>
      <c r="M38" s="212"/>
      <c r="N38" s="212"/>
      <c r="O38" s="212"/>
    </row>
    <row r="39" spans="2:15" ht="38.25">
      <c r="K39" s="265" t="s">
        <v>122</v>
      </c>
      <c r="L39" s="266">
        <v>4.391</v>
      </c>
      <c r="M39" s="212"/>
      <c r="N39" s="212"/>
      <c r="O39" s="212"/>
    </row>
    <row r="40" spans="2:15" ht="51">
      <c r="K40" s="265" t="s">
        <v>123</v>
      </c>
      <c r="L40" s="266">
        <v>4.6180000000000003</v>
      </c>
      <c r="M40" s="212"/>
      <c r="N40" s="212"/>
      <c r="O40" s="212"/>
    </row>
    <row r="41" spans="2:15" ht="25.5">
      <c r="F41" s="122"/>
      <c r="K41" s="265" t="s">
        <v>91</v>
      </c>
      <c r="L41" s="266">
        <v>0.80700000000000005</v>
      </c>
      <c r="M41" s="212"/>
      <c r="N41" s="212"/>
      <c r="O41" s="212"/>
    </row>
    <row r="42" spans="2:15" ht="51">
      <c r="K42" s="265" t="s">
        <v>124</v>
      </c>
      <c r="L42" s="266">
        <v>42.414999999999999</v>
      </c>
      <c r="M42" s="212"/>
      <c r="N42" s="212"/>
      <c r="O42" s="212"/>
    </row>
    <row r="43" spans="2:15" ht="25.5">
      <c r="K43" s="265" t="s">
        <v>125</v>
      </c>
      <c r="L43" s="266">
        <v>3.0949000000000098</v>
      </c>
      <c r="M43" s="212"/>
      <c r="N43" s="212"/>
      <c r="O43" s="212"/>
    </row>
    <row r="44" spans="2:15">
      <c r="K44" s="263"/>
      <c r="L44" s="263"/>
      <c r="M44" s="212"/>
      <c r="N44" s="212"/>
      <c r="O44" s="212"/>
    </row>
    <row r="45" spans="2:15">
      <c r="K45" s="212" t="s">
        <v>69</v>
      </c>
      <c r="L45" s="263"/>
      <c r="M45" s="212"/>
      <c r="N45" s="212"/>
      <c r="O45" s="212"/>
    </row>
    <row r="46" spans="2:15">
      <c r="K46" s="212"/>
      <c r="L46" s="212"/>
      <c r="M46" s="212"/>
      <c r="N46" s="212"/>
      <c r="O46" s="212"/>
    </row>
    <row r="47" spans="2:15">
      <c r="K47" s="207"/>
    </row>
    <row r="48" spans="2:15">
      <c r="B48" s="120" t="s">
        <v>92</v>
      </c>
    </row>
    <row r="49" spans="2:2">
      <c r="B49" s="120" t="str">
        <f>+K45</f>
        <v>(a) Fonds de sauvegarde des départements ; Ressources formation professionnelle et apprentissage.</v>
      </c>
    </row>
  </sheetData>
  <mergeCells count="2">
    <mergeCell ref="B34:G34"/>
    <mergeCell ref="A11:A23"/>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AB57"/>
  <sheetViews>
    <sheetView showGridLines="0" tabSelected="1" zoomScale="91" workbookViewId="0">
      <selection activeCell="A3" sqref="A3:A18"/>
    </sheetView>
  </sheetViews>
  <sheetFormatPr baseColWidth="10" defaultColWidth="11.42578125" defaultRowHeight="15" customHeight="1"/>
  <cols>
    <col min="1" max="1" width="25.140625" style="5" customWidth="1"/>
    <col min="2" max="2" width="12.5703125" style="5" customWidth="1"/>
    <col min="3" max="6" width="11.5703125" style="5" customWidth="1"/>
    <col min="7" max="7" width="12.5703125" style="5" customWidth="1"/>
    <col min="8" max="8" width="18.42578125" style="5" customWidth="1"/>
    <col min="9" max="10" width="11.5703125" style="5" customWidth="1"/>
    <col min="11" max="11" width="14.28515625" style="5" customWidth="1"/>
    <col min="12" max="12" width="12.5703125" style="5" customWidth="1"/>
    <col min="13" max="17" width="6.5703125" style="5" customWidth="1"/>
    <col min="18" max="18" width="14.42578125" style="5" customWidth="1"/>
    <col min="19" max="22" width="6.5703125" style="5" customWidth="1"/>
    <col min="23" max="23" width="6.7109375" style="5" customWidth="1"/>
    <col min="24" max="24" width="9" style="5" customWidth="1"/>
    <col min="25" max="25" width="8.7109375" style="5" bestFit="1" customWidth="1"/>
    <col min="26" max="26" width="8.85546875" style="5" customWidth="1"/>
    <col min="27" max="27" width="8.42578125" style="5" customWidth="1"/>
    <col min="28" max="16384" width="11.42578125" style="5"/>
  </cols>
  <sheetData>
    <row r="1" spans="1:28" s="9" customFormat="1" ht="27.75">
      <c r="A1" s="20" t="s">
        <v>39</v>
      </c>
      <c r="B1" s="20"/>
      <c r="C1" s="20"/>
      <c r="D1" s="20"/>
      <c r="E1" s="20"/>
      <c r="F1" s="20"/>
      <c r="G1" s="20"/>
    </row>
    <row r="2" spans="1:28" ht="15" customHeight="1">
      <c r="H2" s="9"/>
      <c r="I2" s="9"/>
      <c r="K2" s="267" t="s">
        <v>33</v>
      </c>
      <c r="L2" s="268"/>
      <c r="M2" s="268"/>
      <c r="N2" s="268"/>
      <c r="O2" s="268"/>
      <c r="P2" s="268"/>
      <c r="Q2" s="268"/>
      <c r="R2" s="268"/>
      <c r="S2" s="268"/>
      <c r="T2" s="268"/>
      <c r="U2" s="268"/>
      <c r="V2" s="268"/>
      <c r="W2" s="268"/>
      <c r="X2" s="268"/>
      <c r="Y2" s="268"/>
      <c r="Z2" s="268"/>
    </row>
    <row r="3" spans="1:28" ht="15" customHeight="1">
      <c r="A3" s="303" t="s">
        <v>129</v>
      </c>
      <c r="H3" s="9"/>
      <c r="I3" s="9"/>
      <c r="K3" s="268"/>
      <c r="L3" s="268"/>
      <c r="M3" s="268"/>
      <c r="N3" s="268"/>
      <c r="O3" s="268"/>
      <c r="P3" s="268"/>
      <c r="Q3" s="268"/>
      <c r="R3" s="268"/>
      <c r="S3" s="268"/>
      <c r="T3" s="268"/>
      <c r="U3" s="268"/>
      <c r="V3" s="268"/>
      <c r="W3" s="268"/>
      <c r="X3" s="268"/>
      <c r="Y3" s="268"/>
      <c r="Z3" s="268"/>
    </row>
    <row r="4" spans="1:28" ht="15" customHeight="1">
      <c r="A4" s="303"/>
      <c r="H4" s="9"/>
      <c r="I4" s="9"/>
      <c r="K4" s="268"/>
      <c r="L4" s="269">
        <v>2014</v>
      </c>
      <c r="M4" s="269">
        <v>2015</v>
      </c>
      <c r="N4" s="269">
        <v>2016</v>
      </c>
      <c r="O4" s="269">
        <v>2017</v>
      </c>
      <c r="P4" s="269">
        <v>2018</v>
      </c>
      <c r="Q4" s="269">
        <v>2019</v>
      </c>
      <c r="R4" s="269">
        <v>2020</v>
      </c>
      <c r="S4" s="269">
        <v>2021</v>
      </c>
      <c r="T4" s="270" t="s">
        <v>73</v>
      </c>
      <c r="U4" s="269">
        <v>2023</v>
      </c>
      <c r="V4" s="269">
        <v>2024</v>
      </c>
    </row>
    <row r="5" spans="1:28" ht="15" customHeight="1">
      <c r="A5" s="303"/>
      <c r="H5" s="9"/>
      <c r="I5" s="9"/>
      <c r="K5" s="271" t="s">
        <v>40</v>
      </c>
      <c r="L5" s="272">
        <v>1.5425699283676986E-2</v>
      </c>
      <c r="M5" s="272">
        <v>1.4065421621989316E-3</v>
      </c>
      <c r="N5" s="272">
        <v>-3.5524900692556205E-3</v>
      </c>
      <c r="O5" s="272">
        <v>-3.1347470884229844E-3</v>
      </c>
      <c r="P5" s="272">
        <v>-6.5829695153970524E-3</v>
      </c>
      <c r="Q5" s="272">
        <v>5.3569422171377834E-3</v>
      </c>
      <c r="R5" s="272">
        <v>-4.1513653226883385E-3</v>
      </c>
      <c r="S5" s="272">
        <v>8.6133149555407407E-3</v>
      </c>
      <c r="T5" s="272">
        <v>-1.8020400243636801E-3</v>
      </c>
      <c r="U5" s="272">
        <v>8.9733146945283303E-3</v>
      </c>
      <c r="V5" s="272">
        <v>2.95501310255464E-3</v>
      </c>
    </row>
    <row r="6" spans="1:28" ht="15" customHeight="1">
      <c r="A6" s="303"/>
      <c r="H6" s="9"/>
      <c r="I6" s="9"/>
      <c r="K6" s="268"/>
      <c r="L6" s="268"/>
      <c r="M6" s="268"/>
      <c r="N6" s="268"/>
      <c r="O6" s="268"/>
      <c r="P6" s="268"/>
      <c r="Q6" s="268"/>
      <c r="R6" s="268"/>
      <c r="S6" s="268"/>
      <c r="T6" s="268"/>
      <c r="U6" s="268"/>
      <c r="V6" s="268"/>
      <c r="W6" s="268"/>
      <c r="X6" s="268"/>
      <c r="Y6" s="273"/>
      <c r="Z6" s="273"/>
      <c r="AA6" s="14"/>
    </row>
    <row r="7" spans="1:28" ht="15" customHeight="1">
      <c r="A7" s="303"/>
      <c r="H7" s="9"/>
      <c r="I7" s="9"/>
      <c r="K7" s="268"/>
      <c r="L7" s="268"/>
      <c r="M7" s="268"/>
      <c r="N7" s="268"/>
      <c r="O7" s="268"/>
      <c r="P7" s="268"/>
      <c r="Q7" s="268"/>
      <c r="R7" s="268"/>
      <c r="S7" s="268"/>
      <c r="T7" s="268"/>
      <c r="U7" s="268"/>
      <c r="V7" s="268"/>
      <c r="W7" s="268"/>
      <c r="X7" s="268"/>
      <c r="Y7" s="273"/>
      <c r="Z7" s="273"/>
      <c r="AA7" s="14"/>
    </row>
    <row r="8" spans="1:28" ht="16.5" customHeight="1">
      <c r="A8" s="303"/>
      <c r="H8" s="9"/>
      <c r="Y8" s="14"/>
      <c r="Z8" s="14"/>
      <c r="AA8" s="14"/>
    </row>
    <row r="9" spans="1:28" ht="25.5" customHeight="1">
      <c r="A9" s="303"/>
      <c r="H9" s="9"/>
      <c r="Y9" s="14"/>
      <c r="Z9" s="14"/>
      <c r="AA9" s="14"/>
      <c r="AB9" s="208"/>
    </row>
    <row r="10" spans="1:28" ht="15" customHeight="1">
      <c r="A10" s="303"/>
      <c r="H10" s="9"/>
      <c r="Y10" s="14"/>
      <c r="Z10" s="14"/>
      <c r="AA10" s="14"/>
    </row>
    <row r="11" spans="1:28" ht="15" customHeight="1">
      <c r="A11" s="303"/>
      <c r="H11" s="9"/>
      <c r="Y11" s="14"/>
      <c r="Z11" s="14"/>
      <c r="AA11" s="14"/>
    </row>
    <row r="12" spans="1:28" ht="15" customHeight="1">
      <c r="A12" s="303"/>
      <c r="H12" s="9"/>
      <c r="Y12" s="14"/>
      <c r="Z12" s="14"/>
      <c r="AA12" s="14"/>
    </row>
    <row r="13" spans="1:28" ht="15" customHeight="1">
      <c r="A13" s="303"/>
      <c r="H13" s="9"/>
      <c r="Y13" s="14"/>
      <c r="Z13" s="14"/>
      <c r="AA13" s="14"/>
    </row>
    <row r="14" spans="1:28" ht="15" customHeight="1">
      <c r="A14" s="303"/>
      <c r="H14" s="9"/>
      <c r="Y14" s="14"/>
      <c r="Z14" s="14"/>
      <c r="AA14" s="14"/>
    </row>
    <row r="15" spans="1:28" ht="15" customHeight="1">
      <c r="A15" s="303"/>
      <c r="H15" s="9"/>
      <c r="Y15" s="14"/>
      <c r="Z15" s="14"/>
      <c r="AA15" s="14"/>
    </row>
    <row r="16" spans="1:28" ht="15" customHeight="1">
      <c r="A16" s="303"/>
      <c r="H16" s="9"/>
      <c r="Y16" s="14"/>
      <c r="Z16" s="14"/>
      <c r="AA16" s="14"/>
      <c r="AB16" s="208"/>
    </row>
    <row r="17" spans="1:27" ht="15" customHeight="1">
      <c r="A17" s="303"/>
      <c r="H17" s="9"/>
      <c r="Y17" s="14"/>
      <c r="Z17" s="14"/>
      <c r="AA17" s="14"/>
    </row>
    <row r="18" spans="1:27" ht="15" customHeight="1">
      <c r="A18" s="303"/>
      <c r="H18" s="9"/>
      <c r="Y18" s="14"/>
      <c r="Z18" s="14"/>
      <c r="AA18" s="14"/>
    </row>
    <row r="19" spans="1:27" ht="15" customHeight="1">
      <c r="H19" s="9"/>
      <c r="Y19" s="14"/>
      <c r="Z19" s="14"/>
      <c r="AA19" s="14"/>
    </row>
    <row r="20" spans="1:27" ht="15" customHeight="1">
      <c r="B20" s="279" t="s">
        <v>56</v>
      </c>
      <c r="D20" s="14"/>
      <c r="G20" s="14"/>
      <c r="H20" s="9"/>
      <c r="Y20" s="14"/>
      <c r="Z20" s="14"/>
      <c r="AA20" s="14"/>
    </row>
    <row r="21" spans="1:27" ht="15" customHeight="1">
      <c r="D21" s="14"/>
      <c r="G21" s="14"/>
      <c r="H21" s="9"/>
      <c r="Y21" s="14"/>
      <c r="Z21" s="14"/>
      <c r="AA21" s="14"/>
    </row>
    <row r="22" spans="1:27" ht="15" customHeight="1">
      <c r="A22" s="304" t="s">
        <v>127</v>
      </c>
      <c r="D22" s="14"/>
      <c r="G22" s="14"/>
      <c r="K22" s="274" t="s">
        <v>74</v>
      </c>
      <c r="L22" s="275">
        <v>7.0381292008207099</v>
      </c>
    </row>
    <row r="23" spans="1:27" ht="15" customHeight="1">
      <c r="A23" s="304"/>
      <c r="D23" s="14"/>
      <c r="G23" s="14"/>
      <c r="K23" s="274" t="s">
        <v>75</v>
      </c>
      <c r="L23" s="275">
        <v>6.0478656861276203</v>
      </c>
      <c r="M23" s="162"/>
      <c r="N23" s="162"/>
    </row>
    <row r="24" spans="1:27" ht="15" customHeight="1">
      <c r="A24" s="304"/>
      <c r="D24" s="14"/>
      <c r="G24" s="14"/>
      <c r="K24" s="274" t="s">
        <v>76</v>
      </c>
      <c r="L24" s="275">
        <v>6.3816625614287501</v>
      </c>
      <c r="M24" s="162"/>
      <c r="N24" s="162"/>
    </row>
    <row r="25" spans="1:27" ht="15" customHeight="1">
      <c r="A25" s="304"/>
      <c r="D25" s="14"/>
      <c r="G25" s="14"/>
      <c r="K25" s="274" t="s">
        <v>77</v>
      </c>
      <c r="L25" s="275">
        <v>7.6444120780534002</v>
      </c>
      <c r="M25" s="162"/>
      <c r="N25" s="162"/>
    </row>
    <row r="26" spans="1:27" ht="15" customHeight="1">
      <c r="A26" s="304"/>
      <c r="D26" s="14"/>
      <c r="G26" s="14"/>
      <c r="K26" s="274" t="s">
        <v>78</v>
      </c>
      <c r="L26" s="276">
        <v>8.8889987261062995</v>
      </c>
      <c r="M26" s="162"/>
      <c r="N26" s="162"/>
    </row>
    <row r="27" spans="1:27" ht="15" customHeight="1">
      <c r="A27" s="304"/>
      <c r="D27" s="14"/>
      <c r="G27" s="14"/>
      <c r="K27" s="274" t="s">
        <v>79</v>
      </c>
      <c r="L27" s="275">
        <v>10.692631831273699</v>
      </c>
      <c r="M27" s="162"/>
      <c r="N27" s="162"/>
    </row>
    <row r="28" spans="1:27" ht="15" customHeight="1">
      <c r="A28" s="304"/>
      <c r="D28" s="14"/>
      <c r="G28" s="14"/>
      <c r="K28" s="274" t="s">
        <v>80</v>
      </c>
      <c r="L28" s="275">
        <v>12.881021144186001</v>
      </c>
      <c r="M28" s="162"/>
      <c r="N28" s="162"/>
    </row>
    <row r="29" spans="1:27" ht="15" customHeight="1">
      <c r="A29" s="304"/>
      <c r="K29" s="274" t="s">
        <v>81</v>
      </c>
      <c r="L29" s="275">
        <v>14.887617468240901</v>
      </c>
      <c r="M29" s="161"/>
      <c r="N29" s="160"/>
    </row>
    <row r="30" spans="1:27" ht="15" customHeight="1">
      <c r="A30" s="304"/>
      <c r="K30" s="274" t="s">
        <v>82</v>
      </c>
      <c r="L30" s="275">
        <v>17.179247731946301</v>
      </c>
      <c r="M30" s="161"/>
      <c r="N30" s="160"/>
    </row>
    <row r="31" spans="1:27" ht="15" customHeight="1">
      <c r="A31" s="304"/>
      <c r="K31" s="274" t="s">
        <v>83</v>
      </c>
      <c r="L31" s="275">
        <v>18.977174236532299</v>
      </c>
      <c r="M31" s="161"/>
      <c r="N31" s="160"/>
    </row>
    <row r="32" spans="1:27" ht="15" customHeight="1">
      <c r="A32" s="304"/>
      <c r="K32" s="274" t="s">
        <v>84</v>
      </c>
      <c r="L32" s="276">
        <v>20.07152549565</v>
      </c>
      <c r="M32" s="161"/>
      <c r="N32" s="157"/>
    </row>
    <row r="33" spans="1:14" ht="15" customHeight="1">
      <c r="A33" s="304"/>
      <c r="K33" s="274" t="s">
        <v>85</v>
      </c>
      <c r="L33" s="275">
        <v>20.169898426918401</v>
      </c>
      <c r="M33" s="161"/>
      <c r="N33" s="160"/>
    </row>
    <row r="34" spans="1:14">
      <c r="K34" s="274" t="s">
        <v>86</v>
      </c>
      <c r="L34" s="275">
        <v>15.017550707985</v>
      </c>
      <c r="M34" s="161"/>
      <c r="N34" s="160"/>
    </row>
    <row r="35" spans="1:14" ht="15" customHeight="1">
      <c r="K35" s="274" t="s">
        <v>87</v>
      </c>
      <c r="L35" s="275">
        <v>19.542563474521199</v>
      </c>
      <c r="M35" s="161"/>
      <c r="N35" s="160"/>
    </row>
    <row r="36" spans="1:14" ht="15" customHeight="1">
      <c r="K36" s="268"/>
      <c r="L36" s="268"/>
    </row>
    <row r="37" spans="1:14" ht="21.75" customHeight="1">
      <c r="K37" s="277" t="s">
        <v>88</v>
      </c>
      <c r="L37" s="278">
        <v>14.5347881554883</v>
      </c>
      <c r="M37" s="163"/>
      <c r="N37" s="14"/>
    </row>
    <row r="39" spans="1:14" ht="15" customHeight="1">
      <c r="B39" s="279" t="s">
        <v>56</v>
      </c>
    </row>
    <row r="40" spans="1:14" ht="15" customHeight="1">
      <c r="A40" s="303" t="s">
        <v>126</v>
      </c>
    </row>
    <row r="41" spans="1:14" ht="15" customHeight="1" thickBot="1">
      <c r="A41" s="303"/>
      <c r="J41" s="268"/>
      <c r="K41" s="268"/>
      <c r="L41" s="268"/>
    </row>
    <row r="42" spans="1:14" ht="48.6" customHeight="1" thickBot="1">
      <c r="A42" s="303"/>
      <c r="J42" s="280"/>
      <c r="K42" s="281" t="s">
        <v>41</v>
      </c>
      <c r="L42" s="282" t="s">
        <v>42</v>
      </c>
    </row>
    <row r="43" spans="1:14" ht="15" customHeight="1">
      <c r="A43" s="303"/>
      <c r="J43" s="283" t="s">
        <v>44</v>
      </c>
      <c r="K43" s="284">
        <v>13.463726222502901</v>
      </c>
      <c r="L43" s="285">
        <v>58.308160940702706</v>
      </c>
    </row>
    <row r="44" spans="1:14" ht="15" customHeight="1">
      <c r="A44" s="303"/>
      <c r="J44" s="283" t="s">
        <v>45</v>
      </c>
      <c r="K44" s="284">
        <v>15.576499928138702</v>
      </c>
      <c r="L44" s="286">
        <v>21.6301916146856</v>
      </c>
    </row>
    <row r="45" spans="1:14" ht="15" customHeight="1">
      <c r="A45" s="303"/>
      <c r="J45" s="283" t="s">
        <v>46</v>
      </c>
      <c r="K45" s="287">
        <v>69.024527992518301</v>
      </c>
      <c r="L45" s="288">
        <v>16.351735117524299</v>
      </c>
    </row>
    <row r="46" spans="1:14" ht="15" customHeight="1" thickBot="1">
      <c r="A46" s="303"/>
      <c r="J46" s="289" t="s">
        <v>43</v>
      </c>
      <c r="K46" s="290">
        <v>1.9352458568400899</v>
      </c>
      <c r="L46" s="291">
        <v>3.7099123270874399</v>
      </c>
    </row>
    <row r="47" spans="1:14" ht="15" customHeight="1">
      <c r="A47" s="303"/>
      <c r="J47" s="268"/>
      <c r="K47" s="268"/>
      <c r="L47" s="268"/>
    </row>
    <row r="48" spans="1:14" ht="15" customHeight="1">
      <c r="A48" s="303"/>
    </row>
    <row r="49" spans="2:12" ht="15" customHeight="1">
      <c r="J49" s="268"/>
      <c r="K49" s="268"/>
      <c r="L49" s="268"/>
    </row>
    <row r="51" spans="2:12" ht="15" customHeight="1">
      <c r="J51" s="268"/>
      <c r="K51" s="268"/>
      <c r="L51" s="268"/>
    </row>
    <row r="53" spans="2:12" ht="15" customHeight="1">
      <c r="J53" s="268"/>
      <c r="K53" s="268"/>
      <c r="L53" s="268"/>
    </row>
    <row r="55" spans="2:12" ht="15" customHeight="1">
      <c r="J55" s="268"/>
      <c r="K55" s="268"/>
      <c r="L55" s="268"/>
    </row>
    <row r="56" spans="2:12" ht="15" customHeight="1">
      <c r="B56" s="115" t="s">
        <v>56</v>
      </c>
    </row>
    <row r="57" spans="2:12" ht="15" customHeight="1">
      <c r="J57" s="268"/>
      <c r="K57" s="268"/>
      <c r="L57" s="268"/>
    </row>
  </sheetData>
  <mergeCells count="3">
    <mergeCell ref="A3:A18"/>
    <mergeCell ref="A22:A33"/>
    <mergeCell ref="A40:A48"/>
  </mergeCells>
  <pageMargins left="0.70866141732283472" right="0.51181102362204722" top="0.47244094488188981" bottom="0.98425196850393704" header="0.23622047244094491" footer="0.19685039370078741"/>
  <pageSetup paperSize="9" scale="89" firstPageNumber="7" orientation="portrait" useFirstPageNumber="1"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5</vt:i4>
      </vt:variant>
    </vt:vector>
  </HeadingPairs>
  <TitlesOfParts>
    <vt:vector size="11" baseType="lpstr">
      <vt:lpstr>1</vt:lpstr>
      <vt:lpstr>1-1 Coll Terr</vt:lpstr>
      <vt:lpstr>1-2 finances</vt:lpstr>
      <vt:lpstr>1-3 fiscalité</vt:lpstr>
      <vt:lpstr>1-4 Transferts</vt:lpstr>
      <vt:lpstr>1-5 FPT</vt:lpstr>
      <vt:lpstr>'1-1 Coll Terr'!Zone_d_impression</vt:lpstr>
      <vt:lpstr>'1-2 finances'!Zone_d_impression</vt:lpstr>
      <vt:lpstr>'1-3 fiscalité'!Zone_d_impression</vt:lpstr>
      <vt:lpstr>'1-4 Transferts'!Zone_d_impression</vt:lpstr>
      <vt:lpstr>'1-5 FPT'!Zone_d_impression</vt:lpstr>
    </vt:vector>
  </TitlesOfParts>
  <Company>Ministère de l'Intérieur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SEVERAC-BASTIDECH</dc:creator>
  <cp:lastModifiedBy>LEON Olivier</cp:lastModifiedBy>
  <cp:lastPrinted>2022-05-20T15:05:26Z</cp:lastPrinted>
  <dcterms:created xsi:type="dcterms:W3CDTF">2009-01-22T10:39:21Z</dcterms:created>
  <dcterms:modified xsi:type="dcterms:W3CDTF">2026-09-01T12:52:13Z</dcterms:modified>
</cp:coreProperties>
</file>