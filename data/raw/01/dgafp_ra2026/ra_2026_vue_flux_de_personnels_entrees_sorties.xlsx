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NM-DGAFP-SRV\dessi\Publications DES réalisation\RAPPORT ANNUEL\rapportannuel 2026\4. BAT\Entrants - sortants\"/>
    </mc:Choice>
  </mc:AlternateContent>
  <xr:revisionPtr revIDLastSave="0" documentId="13_ncr:1_{A91B2259-7F9C-4C96-A84B-7A7506621E0C}" xr6:coauthVersionLast="47" xr6:coauthVersionMax="47" xr10:uidLastSave="{00000000-0000-0000-0000-000000000000}"/>
  <bookViews>
    <workbookView xWindow="2475" yWindow="4200" windowWidth="18900" windowHeight="10830" tabRatio="599" xr2:uid="{00000000-000D-0000-FFFF-FFFF00000000}"/>
  </bookViews>
  <sheets>
    <sheet name="SOMMAIRE" sheetId="17" r:id="rId1"/>
    <sheet name="Fig. 1" sheetId="21" r:id="rId2"/>
    <sheet name="Fig. 2" sheetId="22" r:id="rId3"/>
    <sheet name="Fig. 3" sheetId="23" r:id="rId4"/>
    <sheet name="Fig. 4" sheetId="14" r:id="rId5"/>
    <sheet name="Fig. 5" sheetId="15" r:id="rId6"/>
    <sheet name="Encadré 1" sheetId="24" r:id="rId7"/>
    <sheet name="Encadré 2" sheetId="20" r:id="rId8"/>
    <sheet name="Encadré 3" sheetId="19" r:id="rId9"/>
  </sheets>
  <definedNames>
    <definedName name="_xlnm.Print_Area" localSheetId="7">'Encadré 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<sst xmlns="http://schemas.openxmlformats.org/spreadsheetml/2006/main" count="222" uniqueCount="135">
  <si>
    <t>en milliers</t>
  </si>
  <si>
    <t>Fonctionnaires</t>
  </si>
  <si>
    <t>Contractuels</t>
  </si>
  <si>
    <t>Autres catégories et statuts</t>
  </si>
  <si>
    <t>Entrées</t>
  </si>
  <si>
    <t>Sorties</t>
  </si>
  <si>
    <t>Taux</t>
  </si>
  <si>
    <t>Ensemble de la fonction publique</t>
  </si>
  <si>
    <t>Femmes</t>
  </si>
  <si>
    <t>Hommes</t>
  </si>
  <si>
    <t>Ensemble</t>
  </si>
  <si>
    <t>Taux de sortie (en %)</t>
  </si>
  <si>
    <t>Variation du taux de sortie           (en point de %)</t>
  </si>
  <si>
    <t>Entrées dans le versant</t>
  </si>
  <si>
    <t>Sorties du versant</t>
  </si>
  <si>
    <t>Mouvements interversants</t>
  </si>
  <si>
    <t>en %</t>
  </si>
  <si>
    <t>Âge</t>
  </si>
  <si>
    <t>Figure 1</t>
  </si>
  <si>
    <t>oui</t>
  </si>
  <si>
    <t>Figure 2</t>
  </si>
  <si>
    <t>Figure 3</t>
  </si>
  <si>
    <t>Encadré 1 Figure</t>
  </si>
  <si>
    <t>Figure 4</t>
  </si>
  <si>
    <t>Figure 5</t>
  </si>
  <si>
    <t>Encadré 2 Figure</t>
  </si>
  <si>
    <t>Encadré 3 Figure</t>
  </si>
  <si>
    <t>Entrées et sorties de la fonction publique civile</t>
  </si>
  <si>
    <t>Effectifs</t>
  </si>
  <si>
    <t>Part (en %)</t>
  </si>
  <si>
    <t>FPE</t>
  </si>
  <si>
    <t>Ministères</t>
  </si>
  <si>
    <t>FPT</t>
  </si>
  <si>
    <t>Communes</t>
  </si>
  <si>
    <t>Départements</t>
  </si>
  <si>
    <t>Régions</t>
  </si>
  <si>
    <t>Établissements départementaux</t>
  </si>
  <si>
    <t>Établissements communaux</t>
  </si>
  <si>
    <t>Établissements intercommunaux</t>
  </si>
  <si>
    <t>Autres EPA locaux</t>
  </si>
  <si>
    <t>FPH</t>
  </si>
  <si>
    <t>Champ : France.</t>
  </si>
  <si>
    <t>Nombre</t>
  </si>
  <si>
    <t>Âge moyen</t>
  </si>
  <si>
    <t>Variation
du taux
de sortie
(en point de %)</t>
  </si>
  <si>
    <t>Variation
du taux
de rotation 
(en point de %)</t>
  </si>
  <si>
    <t>Nombre
de sortants 
(en milliers)</t>
  </si>
  <si>
    <t>Source : Siasp, Insee. Traitement DGAFP-SDessi.</t>
  </si>
  <si>
    <t xml:space="preserve">Champ de la fonction publique civile : Agents civils, hors bénéficiaires de contrats aidés, en emploi principal en France (hors Mayotte) au 31/12. </t>
  </si>
  <si>
    <t xml:space="preserve">Dont anciens bénéficiaires
de contrats aidés
</t>
  </si>
  <si>
    <t xml:space="preserve">Champ de la fonction publique civile : Postes civils de contractuels non annexes dans la fonction publique civile en France (hors Mayotte). </t>
  </si>
  <si>
    <t>En %</t>
  </si>
  <si>
    <t>Part de femmes (en %)</t>
  </si>
  <si>
    <t>Évolution
 par rapport
à 2023
(en %)</t>
  </si>
  <si>
    <t>Évolution
par rapport
à 2023
(en %)</t>
  </si>
  <si>
    <t>Effectifs fin 2024</t>
  </si>
  <si>
    <t xml:space="preserve">Lecture : En 2024, 5,4 % des agents entrant dans la fonction publique en tant que fonctionnaires ont 23 ans. </t>
  </si>
  <si>
    <t>Effectifs 2024
(en milliers)</t>
  </si>
  <si>
    <t>Évolution
des effectifs par rapport
à 2023 
(en %)</t>
  </si>
  <si>
    <t>Champ de la fonction publique civile : Postes civils non annexes, hors postes sur contrats aidés, dans la fonction publique civile en France (hors Mayotte), en 2024.</t>
  </si>
  <si>
    <t>Profil par âge, de 15 à 70 ans, des entrants et des sortants de la fonction publique civile en 2024</t>
  </si>
  <si>
    <t>Champ de la fonction publique civile : Agents civils, hors bénéficiaires de contrats aidés, en emploi principal en France (hors Mayotte) au 31/12/2024. Agents de 15 à 70 ans.</t>
  </si>
  <si>
    <t>Figure 1 : Nombre dʼentrants et de sortants dans la fonction publique civile et taux dʼentrée et de sortie, par versant, sexe et statut en 2024</t>
  </si>
  <si>
    <t>Variation
du taux dʼentrée 
(en point de %)</t>
  </si>
  <si>
    <t>1. Entrants : Agents présents au 31/12/2024 mais pas au 31/12/2023.</t>
  </si>
  <si>
    <t>Nombre dʼentrants 
(en milliers)</t>
  </si>
  <si>
    <t>Taux dʼentrée (en %)</t>
  </si>
  <si>
    <t>Variation
du taux dʼentrée                         (en point de %)</t>
  </si>
  <si>
    <r>
      <t>Entrées</t>
    </r>
    <r>
      <rPr>
        <b/>
        <vertAlign val="superscript"/>
        <sz val="10"/>
        <rFont val="Arial"/>
        <family val="2"/>
      </rPr>
      <t>1</t>
    </r>
  </si>
  <si>
    <r>
      <t>Sorties</t>
    </r>
    <r>
      <rPr>
        <b/>
        <vertAlign val="superscript"/>
        <sz val="10"/>
        <rFont val="Arial"/>
        <family val="2"/>
      </rPr>
      <t>2</t>
    </r>
  </si>
  <si>
    <t>1. Agents présents au 31/12/2024 mais pas au 31/12/2023.</t>
  </si>
  <si>
    <t>2. Agents présents au 31/12/2023 mais pas au 31/12/2024.</t>
  </si>
  <si>
    <t>Depuis lʼextérieur de la fonction publique</t>
  </si>
  <si>
    <r>
      <t>Effectifs fin 2023</t>
    </r>
    <r>
      <rPr>
        <b/>
        <vertAlign val="superscript"/>
        <sz val="10"/>
        <rFont val="Arial"/>
        <family val="2"/>
      </rPr>
      <t>1</t>
    </r>
  </si>
  <si>
    <r>
      <t>Entrées</t>
    </r>
    <r>
      <rPr>
        <vertAlign val="superscript"/>
        <sz val="10"/>
        <rFont val="Arial"/>
        <family val="2"/>
      </rPr>
      <t>2</t>
    </r>
    <r>
      <rPr>
        <sz val="10"/>
        <rFont val="Arial"/>
        <family val="2"/>
      </rPr>
      <t xml:space="preserve"> dans la fonction publique</t>
    </r>
  </si>
  <si>
    <r>
      <t>Sorties</t>
    </r>
    <r>
      <rPr>
        <vertAlign val="superscript"/>
        <sz val="10"/>
        <rFont val="Arial"/>
        <family val="2"/>
      </rPr>
      <t xml:space="preserve">3
</t>
    </r>
    <r>
      <rPr>
        <sz val="10"/>
        <rFont val="Arial"/>
        <family val="2"/>
      </rPr>
      <t>de la fonction publique</t>
    </r>
  </si>
  <si>
    <r>
      <t>1. Du fait d’ajustements méthodologiques, les résultats en niveau pour l’année 2023 figurant dans cette publication sont différents de ceux du</t>
    </r>
    <r>
      <rPr>
        <i/>
        <sz val="10"/>
        <rFont val="Arial"/>
        <family val="2"/>
      </rPr>
      <t xml:space="preserve"> Rapport annuel sur l’état de la fonction publique – Édition 2025</t>
    </r>
    <r>
      <rPr>
        <sz val="10"/>
        <rFont val="Arial"/>
        <family val="2"/>
      </rPr>
      <t xml:space="preserve">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 ces postes sont désormais assimilés à des postes annexes. Sur l’ensemble de la fonction publique, la révision sur l’emploi au 31 décembre 2023 est de + 7 400.</t>
    </r>
  </si>
  <si>
    <t>2. Agents présents au 31/12/2024 mais pas au 31/12/2023.</t>
  </si>
  <si>
    <t>3. Agents présents au 31/12/2023 mais pas au 31/12/2024.</t>
  </si>
  <si>
    <r>
      <t>Entrants dans la fonction publique</t>
    </r>
    <r>
      <rPr>
        <b/>
        <vertAlign val="superscript"/>
        <sz val="10"/>
        <rFont val="Arial"/>
        <family val="2"/>
      </rPr>
      <t>1</t>
    </r>
  </si>
  <si>
    <r>
      <t>Sortants de la fonction publique</t>
    </r>
    <r>
      <rPr>
        <b/>
        <vertAlign val="superscript"/>
        <sz val="10"/>
        <rFont val="Arial"/>
        <family val="2"/>
      </rPr>
      <t>2</t>
    </r>
  </si>
  <si>
    <t>2. Sortants : Agents présents au 31/12/2023 mais pas au 31/12/2024.</t>
  </si>
  <si>
    <r>
      <t>Part dans les effectifs totaux</t>
    </r>
    <r>
      <rPr>
        <vertAlign val="superscript"/>
        <sz val="10"/>
        <rFont val="Arial"/>
        <family val="2"/>
      </rPr>
      <t xml:space="preserve">1
</t>
    </r>
    <r>
      <rPr>
        <sz val="10"/>
        <rFont val="Arial"/>
        <family val="2"/>
      </rPr>
      <t>(en %)</t>
    </r>
  </si>
  <si>
    <t>Lecture : En 2024, 307 100 postes civils de contractuels non annexes ont débuté et fini au cours de lʼannée.</t>
  </si>
  <si>
    <t>Note : Pour 2023 et 2024, postes non annexes dont le salaire brut annuel est supérieur à 7 heures de smic horaire au premier janvier soit 80,6 euros en 2023 et 81,6 euros en 2024.</t>
  </si>
  <si>
    <t>Source : Système dʼinformation sur lʼapprentissage (SIA), Dares. Traitement DGAFP-SDessi.</t>
  </si>
  <si>
    <t>Note : Les valeurs indiquées pour « Ensemble » peuvent légèrement différer du total des valeurs individuelles pour des questions dʼarrondis. Les évolutions sont calculées sans arrondis sur les effectifs.</t>
  </si>
  <si>
    <t>Nom de lʼonglet</t>
  </si>
  <si>
    <t xml:space="preserve">Contient des données sur lʼégalité professionnelle entre les femmes et les hommes </t>
  </si>
  <si>
    <t>Nombre dʼentrants et de sortants dans la fonction publique civile et taux dʼentrée et de sortie, par versant, sexe et statut en 2024</t>
  </si>
  <si>
    <t>Nombre dʼentrants et de sortants dans la fonction publique civile et taux dʼentrée et de sortie, par versant et statut en 2024</t>
  </si>
  <si>
    <t>Établissements publics à caractère administratif (EPA) sous tutelle des ministères</t>
  </si>
  <si>
    <t>Les ruptures conventionnelles entre 2020 et 2025</t>
  </si>
  <si>
    <r>
      <t>Taux de rotation</t>
    </r>
    <r>
      <rPr>
        <b/>
        <vertAlign val="superscript"/>
        <sz val="10"/>
        <rFont val="Arial"/>
        <family val="2"/>
      </rPr>
      <t>5</t>
    </r>
  </si>
  <si>
    <r>
      <t>Nombre dʼentrants</t>
    </r>
    <r>
      <rPr>
        <vertAlign val="superscript"/>
        <sz val="10"/>
        <rFont val="Arial"/>
        <family val="2"/>
      </rPr>
      <t>1</t>
    </r>
    <r>
      <rPr>
        <sz val="10"/>
        <rFont val="Arial"/>
        <family val="2"/>
      </rPr>
      <t xml:space="preserve"> 
(en milliers)</t>
    </r>
  </si>
  <si>
    <r>
      <t>Taux dʼentrée</t>
    </r>
    <r>
      <rPr>
        <vertAlign val="superscript"/>
        <sz val="10"/>
        <rFont val="Arial"/>
        <family val="2"/>
      </rPr>
      <t>2</t>
    </r>
    <r>
      <rPr>
        <sz val="10"/>
        <rFont val="Arial"/>
        <family val="2"/>
      </rPr>
      <t xml:space="preserve"> 
(en %)</t>
    </r>
  </si>
  <si>
    <r>
      <t>Nombre de sortants</t>
    </r>
    <r>
      <rPr>
        <vertAlign val="superscript"/>
        <sz val="10"/>
        <rFont val="Arial"/>
        <family val="2"/>
      </rPr>
      <t>3</t>
    </r>
    <r>
      <rPr>
        <sz val="10"/>
        <rFont val="Arial"/>
        <family val="2"/>
      </rPr>
      <t xml:space="preserve">
(en milliers)</t>
    </r>
  </si>
  <si>
    <r>
      <t>Taux
de sortie</t>
    </r>
    <r>
      <rPr>
        <vertAlign val="superscript"/>
        <sz val="10"/>
        <rFont val="Arial"/>
        <family val="2"/>
      </rPr>
      <t xml:space="preserve">4 </t>
    </r>
    <r>
      <rPr>
        <sz val="10"/>
        <rFont val="Arial"/>
        <family val="2"/>
      </rPr>
      <t xml:space="preserve">
(en %)</t>
    </r>
  </si>
  <si>
    <t>Fonction publique de lʼÉtat (FPE)</t>
  </si>
  <si>
    <t>Fonction publique territoriale (FPT)</t>
  </si>
  <si>
    <t>Fonction publique hospitalière (FPH)</t>
  </si>
  <si>
    <t xml:space="preserve">2. Taux dʼentrée : Nombre dʼentrants rapporté à la moyenne des effectifs au 31/12 des années 2023 et 2024 (soit au nombre moyen dʼagents en 2024). </t>
  </si>
  <si>
    <t>3. Sortants : Agents présents au 31/12/2023 mais pas au 31/12/2024.</t>
  </si>
  <si>
    <t>4. Taux de sortie : Nombre de sortants rapporté à la moyenne des effectifs au 31/12 des années 2023 et 2024 (soit au nombre moyen dʼagents en 2024).</t>
  </si>
  <si>
    <t>5. Taux de rotation : Moyenne du taux dʼentrée et du taux de sortie.</t>
  </si>
  <si>
    <t>Note : Postes non annexes en 2024 et 2023 (pour colonne des évolutions par rapport à 2023) dont le salaire brut annuel est supérieur à 7 heures de smic horaire au premier janvier soit 80,6 euros en 2023 et 81,6 euros en 2024.</t>
  </si>
  <si>
    <t xml:space="preserve">Lecture : En 2024, 332 100 postes civils ont débuté et fini au cours de lʼannée. Cela représente 5,3 % des postes civils occupés en 2024. </t>
  </si>
  <si>
    <t>Source : DGAFP-SDessi, dʼaprès Fichiers de paie de la DGFiP.</t>
  </si>
  <si>
    <t xml:space="preserve">Lecture : En 2025, 1 816 indemnités spécifiques de rupture conventionnelle ont été enregistrées, 75 % dʼentre elles ont été attribuées à des femmes et lʼâge moyen des bénéficiaires est de 46,9 ans. </t>
  </si>
  <si>
    <t>Figure : Nouveaux contrats dʼapprentissage dans la fonction publique en 2025 par versant et par catégorie dʼemployeur</t>
  </si>
  <si>
    <t>Effectifs 2024</t>
  </si>
  <si>
    <t>Évolution 2025/2024</t>
  </si>
  <si>
    <r>
      <t>Autres collectivités territoriales</t>
    </r>
    <r>
      <rPr>
        <vertAlign val="superscript"/>
        <sz val="10"/>
        <color theme="1"/>
        <rFont val="Arial"/>
        <family val="2"/>
      </rPr>
      <t>1</t>
    </r>
  </si>
  <si>
    <t>Ensemble FP</t>
  </si>
  <si>
    <t>1. Autres collectivités territoriales : Ville de Paris, Métropole de Lyon, etc.</t>
  </si>
  <si>
    <t>En nombre</t>
  </si>
  <si>
    <t>Lecture : Parmi les nouveaux contrats dʼapprentissage débutés en 2025 dans la FPE, 39 % lʼont été par des EPA.</t>
  </si>
  <si>
    <t>1. Part des postes non annexes occupés moins de un an en 2024 sur lʼensemble des postes non annexes en 2024, occupés tout ou partie de lʼannée.</t>
  </si>
  <si>
    <t>Figure : Entrées et sorties par versant et statut de la fonction publique civile, en 2024</t>
  </si>
  <si>
    <t>Champ : Ministères (hors établissements publics), hors militaires.</t>
  </si>
  <si>
    <t>Entrées et sorties par versant et statut de la fonction publique civile, en 2024</t>
  </si>
  <si>
    <t>Postes occupés moins de un an au cours de lʼannée 2024, par versant et par statut</t>
  </si>
  <si>
    <t>Postes de contractuels de la fonction publique civile de moins de un an depuis 2016</t>
  </si>
  <si>
    <t>Nouveaux contrats dʼapprentissage dans la fonction publique en 2025 par versant et catégorie dʼemployeur</t>
  </si>
  <si>
    <t>Note : Les mouvements interstatuts ne sont pas pris en compte. Les effectifs fin 2024 ne sont pas exactement égaux aux effectifs fin 2023 augmentés des entrées 2024 et diminués des sorties 2024. Des écarts peuvent subsister, car certains agents ne peuvent être suivis dʼune année sur lʼautre.</t>
  </si>
  <si>
    <t>Figure 2 : Nombre dʼentrants et de sortants dans la fonction publique civile et taux dʼentrée et de sortie, par versant et statut en 2024</t>
  </si>
  <si>
    <t>Figure 4 : Postes occupés moins de un an au cours de lʼannée 2024, par versant et par statut</t>
  </si>
  <si>
    <t>Figure 3 : Profil par âge, de 15 à 70 ans, des entrants et des sortants de la fonction publique civile en 2024</t>
  </si>
  <si>
    <t>Figure 5 : Postes de contractuels de la fonction publique civile de moins de un an depuis 2016</t>
  </si>
  <si>
    <t>Dont anciens militaires</t>
  </si>
  <si>
    <t>Lecture : Au 31 décembre 2024, on compte 517 100 entrants (y compris anciens bénéficiaires de contrats aidés ou militaires) dans la fonction publique (entrés en tant que fonctionnaires, contractuels ou autres catégories et statuts), soit 3,1 % de moins qu’au 31 décembre 2023. Le taux d’entrée, c’est-à-dire le nombre d’entrants rapporté au nombre moyen d’agents pendant l’année, est égal à 9,4 %, en baisse de 0,4 point par rapport à 2023.</t>
  </si>
  <si>
    <r>
      <t xml:space="preserve">Note : Les mouvements interstatuts et interversants ne sont pas pris en compte. Il sʼagit dʼentrées et de sorties nettes de la fonction publique. Les entrées dans la fonction publique en 2023 ont été révisées (+ 10 600, soit + 2 %)  par rapport à l’édition 2025 du </t>
    </r>
    <r>
      <rPr>
        <i/>
        <sz val="10"/>
        <rFont val="Arial"/>
        <family val="2"/>
      </rPr>
      <t xml:space="preserve">Rapport annuel sur l’état de la fonction publique. </t>
    </r>
  </si>
  <si>
    <t>Lecture : Au 31 décembre 2024, on compte 33 800 entrants dans la fonction publique de lʼÉtat sous statut de fonctionnaire, soit 0,7 % de plus quʼau 31 décembre 2023. Le taux d’entrée, c’est-à-dire le nombre d’entrants rapporté au nombre moyen d’agents pendant l’année, est égal à 2,2 %, stable par rapport à lʼannée précédente.</t>
  </si>
  <si>
    <r>
      <t xml:space="preserve">Note : Les mouvements interstatuts et interversants ne sont pas pris en compte. Il sʼagit dʼentrées et de sorties nettes de la fonction publique. Les entrées dans la fonction publique en 2023 ont été révisées (+ 10 600, soit + 2 %)  par rapport à l’édition 2025 du </t>
    </r>
    <r>
      <rPr>
        <i/>
        <sz val="10"/>
        <rFont val="Arial"/>
        <family val="2"/>
      </rPr>
      <t>Rapport annuel sur l’état de la fonction publique.</t>
    </r>
    <r>
      <rPr>
        <sz val="10"/>
        <rFont val="Arial"/>
        <family val="2"/>
      </rPr>
      <t xml:space="preserve"> </t>
    </r>
  </si>
  <si>
    <t>Lecture : Au 31 décembre 2023, 2 249 900 agents civils étaient présents au sein de la FPE (hors bénéficiaires de contrats aidés). Sur lʼannée 2024, 199 000 sont entrés dans la FPE (185 700 agents depuis lʼextérieur, y compris anciens contrats aidés et militaires, et 13 300 depuis un autre versant), tandis que 179 600 en sont partis (170 000 ont quitté la fonction publique, 9 600 sont allés dans un autre versant). Finalement, au 31 décembre 2024, 2 269 000 agents civils sont présents au sein de la FPE (hors bénéficiaires de contrats aidés). Des écarts peuvent subsister, car certains agents ne peuvent être suivis dʼune année sur lʼautre.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</si>
</sst>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
    <numFmt numFmtId="167" formatCode="#,##0_ ;\-#,##0\ "/>
    <numFmt numFmtId="168" formatCode="0_ ;\-0\ "/>
    <numFmt numFmtId="169" formatCode="\+#,##0_ ;\-#,##0_ "/>
    <numFmt numFmtId="170" formatCode="\+#,##0.0_ ;\-#,##0.0_ "/>
  </numFmts>
  <fonts count="16" x14ac:knownFonts="1">
    <font>
      <sz val="11"/>
      <color theme="1"/>
      <name val="Calibri"/>
      <family val="2"/>
      <scheme val="minor"/>
    </font>
    <font>
      <sz val="11"/>
      <color indexed="8"/>
      <name val="Calibri"/>
      <family val="2"/>
    </font>
    <font>
      <sz val="10"/>
      <name val="Arial"/>
      <family val="2"/>
    </font>
    <font>
      <b/>
      <sz val="10"/>
      <name val="Arial"/>
      <family val="2"/>
    </font>
    <font>
      <vertAlign val="superscript"/>
      <sz val="10"/>
      <name val="Arial"/>
      <family val="2"/>
    </font>
    <font>
      <b/>
      <vertAlign val="superscript"/>
      <sz val="10"/>
      <name val="Arial"/>
      <family val="2"/>
    </font>
    <font>
      <u/>
      <sz val="11"/>
      <color theme="10"/>
      <name val="Calibri"/>
      <family val="2"/>
      <scheme val="minor"/>
    </font>
    <font>
      <b/>
      <sz val="10"/>
      <color theme="1"/>
      <name val="Arial"/>
      <family val="2"/>
    </font>
    <font>
      <sz val="10"/>
      <color theme="1"/>
      <name val="Arial"/>
      <family val="2"/>
    </font>
    <font>
      <i/>
      <sz val="10"/>
      <name val="Arial"/>
      <family val="2"/>
    </font>
    <font>
      <b/>
      <i/>
      <sz val="10"/>
      <name val="Arial"/>
      <family val="2"/>
    </font>
    <font>
      <sz val="11"/>
      <color theme="1"/>
      <name val="Calibri"/>
      <family val="2"/>
      <scheme val="minor"/>
    </font>
    <font>
      <sz val="10"/>
      <color rgb="FF000000"/>
      <name val="Arial"/>
      <family val="2"/>
    </font>
    <font>
      <vertAlign val="superscript"/>
      <sz val="10"/>
      <color theme="1"/>
      <name val="Arial"/>
      <family val="2"/>
    </font>
    <font>
      <i/>
      <sz val="10"/>
      <color theme="1"/>
      <name val="Arial"/>
      <family val="2"/>
    </font>
    <font>
      <sz val="1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6">
    <border>
      <left/>
      <right/>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5">
    <xf numFmtId="0" fontId="0" fillId="0" borderId="0"/>
    <xf numFmtId="0" fontId="6" fillId="0" borderId="0" applyNumberFormat="0" applyFill="0" applyBorder="0" applyAlignment="0" applyProtection="0"/>
    <xf numFmtId="0" fontId="1" fillId="0" borderId="0"/>
    <xf numFmtId="0" fontId="2" fillId="0" borderId="0"/>
    <xf numFmtId="9" fontId="11" fillId="0" borderId="0" applyFont="0" applyFill="0" applyBorder="0" applyAlignment="0" applyProtection="0"/>
  </cellStyleXfs>
  <cellXfs count="261">
    <xf numFmtId="0" fontId="0" fillId="0" borderId="0" xfId="0"/>
    <xf numFmtId="0" fontId="3" fillId="2" borderId="0" xfId="0" applyFont="1" applyFill="1"/>
    <xf numFmtId="0" fontId="3" fillId="0" borderId="0" xfId="0" applyFont="1"/>
    <xf numFmtId="0" fontId="3" fillId="0" borderId="7" xfId="0" applyFont="1" applyBorder="1" applyAlignment="1">
      <alignment horizontal="center" wrapText="1"/>
    </xf>
    <xf numFmtId="0" fontId="3" fillId="0" borderId="7" xfId="0" applyFont="1" applyBorder="1" applyAlignment="1">
      <alignment horizontal="center"/>
    </xf>
    <xf numFmtId="0" fontId="2" fillId="0" borderId="0" xfId="0" applyFont="1"/>
    <xf numFmtId="0" fontId="3" fillId="2" borderId="7" xfId="0" applyFont="1" applyFill="1" applyBorder="1" applyAlignment="1">
      <alignment horizontal="center" vertical="center"/>
    </xf>
    <xf numFmtId="0" fontId="2" fillId="2" borderId="7" xfId="0" applyFont="1" applyFill="1" applyBorder="1" applyAlignment="1">
      <alignment vertical="center"/>
    </xf>
    <xf numFmtId="164" fontId="2" fillId="2" borderId="7" xfId="0" applyNumberFormat="1" applyFont="1" applyFill="1" applyBorder="1" applyAlignment="1">
      <alignment horizontal="right" vertical="center"/>
    </xf>
    <xf numFmtId="0" fontId="3" fillId="3" borderId="0" xfId="0" applyFont="1" applyFill="1" applyAlignment="1">
      <alignment vertical="top"/>
    </xf>
    <xf numFmtId="0" fontId="2" fillId="3" borderId="5" xfId="0" applyFont="1" applyFill="1" applyBorder="1" applyAlignment="1">
      <alignment horizontal="center" vertical="center" wrapText="1"/>
    </xf>
    <xf numFmtId="0" fontId="2" fillId="3" borderId="1" xfId="0" applyFont="1" applyFill="1" applyBorder="1"/>
    <xf numFmtId="0" fontId="2" fillId="3" borderId="0" xfId="0" applyFont="1" applyFill="1"/>
    <xf numFmtId="0" fontId="3" fillId="3" borderId="0" xfId="0" applyFont="1" applyFill="1"/>
    <xf numFmtId="0" fontId="3" fillId="3" borderId="3" xfId="0" applyFont="1" applyFill="1" applyBorder="1"/>
    <xf numFmtId="0" fontId="2" fillId="0" borderId="0" xfId="2" applyFont="1"/>
    <xf numFmtId="0" fontId="2" fillId="0" borderId="14" xfId="0" applyFont="1" applyBorder="1" applyAlignment="1">
      <alignment horizontal="center" vertical="top" wrapText="1"/>
    </xf>
    <xf numFmtId="0" fontId="2" fillId="0" borderId="10" xfId="0" applyFont="1" applyBorder="1" applyAlignment="1">
      <alignment horizontal="center"/>
    </xf>
    <xf numFmtId="0" fontId="2" fillId="0" borderId="7" xfId="0" applyFont="1" applyBorder="1" applyAlignment="1">
      <alignment horizontal="center"/>
    </xf>
    <xf numFmtId="0" fontId="2" fillId="0" borderId="7" xfId="2" applyFont="1" applyBorder="1" applyAlignment="1">
      <alignment horizontal="center"/>
    </xf>
    <xf numFmtId="0" fontId="2" fillId="0" borderId="7" xfId="2" applyFont="1" applyBorder="1"/>
    <xf numFmtId="0" fontId="3" fillId="3" borderId="0" xfId="2" applyFont="1" applyFill="1" applyAlignment="1">
      <alignment horizontal="center" vertical="center"/>
    </xf>
    <xf numFmtId="0" fontId="2" fillId="3" borderId="0" xfId="2" applyFont="1" applyFill="1"/>
    <xf numFmtId="0" fontId="7" fillId="0" borderId="0" xfId="0" applyFont="1"/>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xf>
    <xf numFmtId="3" fontId="8" fillId="0" borderId="7" xfId="0" applyNumberFormat="1" applyFont="1" applyBorder="1" applyAlignment="1">
      <alignment horizontal="center" vertical="center"/>
    </xf>
    <xf numFmtId="3" fontId="8" fillId="0" borderId="7" xfId="0" applyNumberFormat="1" applyFont="1" applyBorder="1" applyAlignment="1">
      <alignment horizontal="center"/>
    </xf>
    <xf numFmtId="1" fontId="8" fillId="0" borderId="7" xfId="0" applyNumberFormat="1" applyFont="1" applyBorder="1" applyAlignment="1">
      <alignment horizontal="center" vertical="center"/>
    </xf>
    <xf numFmtId="0" fontId="8" fillId="0" borderId="7" xfId="0" applyFont="1" applyBorder="1" applyAlignment="1">
      <alignment horizontal="center"/>
    </xf>
    <xf numFmtId="166" fontId="8" fillId="0" borderId="7" xfId="0" applyNumberFormat="1" applyFont="1" applyBorder="1" applyAlignment="1">
      <alignment horizontal="center" vertical="center"/>
    </xf>
    <xf numFmtId="0" fontId="8" fillId="0" borderId="0" xfId="0" applyFont="1" applyAlignment="1">
      <alignment horizontal="left"/>
    </xf>
    <xf numFmtId="0" fontId="2" fillId="3" borderId="0" xfId="0" applyFont="1" applyFill="1" applyAlignment="1">
      <alignment horizontal="center" vertical="center" wrapText="1"/>
    </xf>
    <xf numFmtId="2" fontId="2" fillId="2" borderId="0" xfId="0" applyNumberFormat="1" applyFont="1" applyFill="1"/>
    <xf numFmtId="165" fontId="2" fillId="3" borderId="0" xfId="0" applyNumberFormat="1" applyFont="1" applyFill="1"/>
    <xf numFmtId="0" fontId="2" fillId="0" borderId="2" xfId="0" applyFont="1" applyBorder="1" applyAlignment="1">
      <alignment horizontal="right"/>
    </xf>
    <xf numFmtId="0" fontId="2" fillId="0" borderId="0" xfId="0" applyFont="1" applyFill="1"/>
    <xf numFmtId="0" fontId="2" fillId="0" borderId="12"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3" fillId="0" borderId="0" xfId="0" applyFont="1" applyFill="1" applyAlignment="1"/>
    <xf numFmtId="0" fontId="2" fillId="0" borderId="11" xfId="0" applyFont="1" applyFill="1" applyBorder="1" applyAlignment="1">
      <alignment horizontal="center" vertical="center" wrapText="1"/>
    </xf>
    <xf numFmtId="0" fontId="3" fillId="0" borderId="12" xfId="0" applyFont="1" applyFill="1" applyBorder="1" applyAlignment="1">
      <alignment vertical="center"/>
    </xf>
    <xf numFmtId="0" fontId="3" fillId="0" borderId="4" xfId="0" applyFont="1" applyFill="1" applyBorder="1" applyAlignment="1">
      <alignment vertical="center"/>
    </xf>
    <xf numFmtId="164" fontId="2" fillId="0" borderId="4" xfId="0" applyNumberFormat="1" applyFont="1" applyFill="1" applyBorder="1" applyAlignment="1">
      <alignment horizontal="right" vertical="center"/>
    </xf>
    <xf numFmtId="164" fontId="2" fillId="0" borderId="1" xfId="0" applyNumberFormat="1" applyFont="1" applyFill="1" applyBorder="1" applyAlignment="1">
      <alignment horizontal="right" vertical="center"/>
    </xf>
    <xf numFmtId="164" fontId="2" fillId="0" borderId="8" xfId="0" applyNumberFormat="1" applyFont="1" applyFill="1" applyBorder="1" applyAlignment="1">
      <alignment horizontal="right" vertical="center"/>
    </xf>
    <xf numFmtId="0" fontId="3" fillId="0" borderId="5" xfId="0" applyFont="1" applyFill="1" applyBorder="1" applyAlignment="1">
      <alignment vertical="center"/>
    </xf>
    <xf numFmtId="164" fontId="2" fillId="0" borderId="5" xfId="0" applyNumberFormat="1" applyFont="1" applyFill="1" applyBorder="1" applyAlignment="1">
      <alignment horizontal="right" vertical="center"/>
    </xf>
    <xf numFmtId="164" fontId="2" fillId="0" borderId="0" xfId="0" applyNumberFormat="1" applyFont="1" applyFill="1" applyAlignment="1">
      <alignment horizontal="right" vertical="center"/>
    </xf>
    <xf numFmtId="164" fontId="2" fillId="0" borderId="13" xfId="0" applyNumberFormat="1" applyFont="1" applyFill="1" applyBorder="1" applyAlignment="1">
      <alignment horizontal="right" vertical="center"/>
    </xf>
    <xf numFmtId="164" fontId="2" fillId="0" borderId="6" xfId="0" applyNumberFormat="1" applyFont="1" applyFill="1" applyBorder="1" applyAlignment="1">
      <alignment horizontal="right" vertical="center"/>
    </xf>
    <xf numFmtId="164" fontId="2" fillId="0" borderId="3" xfId="0" applyNumberFormat="1" applyFont="1" applyFill="1" applyBorder="1" applyAlignment="1">
      <alignment horizontal="right" vertical="center"/>
    </xf>
    <xf numFmtId="164" fontId="2" fillId="0" borderId="9" xfId="0" applyNumberFormat="1" applyFont="1" applyFill="1" applyBorder="1" applyAlignment="1">
      <alignment horizontal="right" vertical="center"/>
    </xf>
    <xf numFmtId="0" fontId="3" fillId="0" borderId="6" xfId="0" applyFont="1" applyFill="1" applyBorder="1" applyAlignment="1">
      <alignment vertical="center"/>
    </xf>
    <xf numFmtId="0" fontId="3" fillId="0" borderId="0" xfId="0" applyFont="1" applyFill="1" applyBorder="1" applyAlignment="1">
      <alignment vertical="center"/>
    </xf>
    <xf numFmtId="164" fontId="2" fillId="0" borderId="0" xfId="0" applyNumberFormat="1" applyFont="1" applyFill="1" applyBorder="1" applyAlignment="1">
      <alignment horizontal="right" vertical="center"/>
    </xf>
    <xf numFmtId="2" fontId="2" fillId="2" borderId="2" xfId="0" applyNumberFormat="1" applyFont="1" applyFill="1" applyBorder="1"/>
    <xf numFmtId="164" fontId="2" fillId="0" borderId="12" xfId="0" applyNumberFormat="1" applyFont="1" applyFill="1" applyBorder="1" applyAlignment="1">
      <alignment horizontal="right" vertical="center"/>
    </xf>
    <xf numFmtId="164" fontId="2" fillId="0" borderId="11" xfId="0" applyNumberFormat="1" applyFont="1" applyFill="1" applyBorder="1" applyAlignment="1">
      <alignment horizontal="right" vertical="center"/>
    </xf>
    <xf numFmtId="164" fontId="2" fillId="0" borderId="10" xfId="0" applyNumberFormat="1" applyFont="1" applyFill="1" applyBorder="1" applyAlignment="1">
      <alignment horizontal="right" vertical="center"/>
    </xf>
    <xf numFmtId="164" fontId="2" fillId="0" borderId="7" xfId="0" applyNumberFormat="1" applyFont="1" applyFill="1" applyBorder="1" applyAlignment="1">
      <alignment horizontal="right" vertical="center"/>
    </xf>
    <xf numFmtId="0" fontId="9" fillId="0" borderId="0" xfId="0" applyFont="1" applyFill="1" applyAlignment="1">
      <alignment horizontal="left" vertical="center"/>
    </xf>
    <xf numFmtId="0" fontId="2" fillId="0" borderId="0" xfId="0" applyFont="1" applyFill="1" applyAlignment="1">
      <alignment vertical="center"/>
    </xf>
    <xf numFmtId="0" fontId="9" fillId="2" borderId="0" xfId="0" applyFont="1" applyFill="1" applyAlignment="1">
      <alignment horizontal="left" vertical="center"/>
    </xf>
    <xf numFmtId="0" fontId="2" fillId="2" borderId="0" xfId="0" applyFont="1" applyFill="1" applyAlignment="1">
      <alignment vertical="center"/>
    </xf>
    <xf numFmtId="0" fontId="9" fillId="3" borderId="0" xfId="0" applyFont="1" applyFill="1" applyAlignment="1">
      <alignment horizontal="left" vertical="center"/>
    </xf>
    <xf numFmtId="0" fontId="2" fillId="3" borderId="0" xfId="0" applyFont="1" applyFill="1" applyAlignment="1">
      <alignment vertical="center"/>
    </xf>
    <xf numFmtId="165" fontId="2" fillId="3" borderId="0" xfId="0" applyNumberFormat="1" applyFont="1" applyFill="1" applyAlignment="1">
      <alignment vertical="center"/>
    </xf>
    <xf numFmtId="0" fontId="2" fillId="0" borderId="0" xfId="0" applyFont="1" applyAlignment="1">
      <alignment horizontal="left" vertical="center"/>
    </xf>
    <xf numFmtId="0" fontId="9" fillId="0" borderId="0" xfId="0" applyFont="1" applyAlignment="1">
      <alignment horizontal="left" vertical="center"/>
    </xf>
    <xf numFmtId="165" fontId="9" fillId="0" borderId="0" xfId="0" applyNumberFormat="1" applyFont="1" applyAlignment="1">
      <alignment horizontal="left" vertical="center"/>
    </xf>
    <xf numFmtId="0" fontId="2" fillId="0" borderId="0" xfId="0" applyFont="1" applyAlignment="1">
      <alignment vertical="center"/>
    </xf>
    <xf numFmtId="165" fontId="2" fillId="0" borderId="0" xfId="0" applyNumberFormat="1" applyFont="1"/>
    <xf numFmtId="0" fontId="2" fillId="0" borderId="0" xfId="0" applyFont="1" applyFill="1" applyAlignment="1"/>
    <xf numFmtId="0" fontId="8" fillId="0" borderId="0" xfId="0" applyFont="1"/>
    <xf numFmtId="0" fontId="2" fillId="2" borderId="0" xfId="0" applyFont="1" applyFill="1" applyBorder="1" applyAlignment="1">
      <alignment vertical="center"/>
    </xf>
    <xf numFmtId="164" fontId="2" fillId="2" borderId="0" xfId="0" applyNumberFormat="1" applyFont="1" applyFill="1" applyBorder="1" applyAlignment="1">
      <alignment horizontal="right" vertical="center"/>
    </xf>
    <xf numFmtId="0" fontId="2" fillId="0" borderId="7" xfId="0" applyFont="1" applyBorder="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8" fillId="0" borderId="0" xfId="0" applyFont="1" applyAlignment="1">
      <alignment horizontal="center"/>
    </xf>
    <xf numFmtId="0" fontId="2" fillId="0" borderId="12" xfId="0" applyFont="1" applyFill="1" applyBorder="1"/>
    <xf numFmtId="9" fontId="2" fillId="0" borderId="0" xfId="4" applyFont="1" applyFill="1"/>
    <xf numFmtId="0" fontId="2" fillId="2" borderId="0" xfId="0" applyFont="1" applyFill="1"/>
    <xf numFmtId="0" fontId="2" fillId="2" borderId="7" xfId="0" applyFont="1" applyFill="1" applyBorder="1"/>
    <xf numFmtId="0" fontId="3" fillId="2" borderId="7" xfId="0" applyFont="1" applyFill="1" applyBorder="1" applyAlignment="1">
      <alignment horizontal="center"/>
    </xf>
    <xf numFmtId="0" fontId="8" fillId="0" borderId="7" xfId="0" applyFont="1" applyBorder="1" applyAlignment="1">
      <alignment horizontal="left" vertical="center"/>
    </xf>
    <xf numFmtId="0" fontId="12" fillId="0" borderId="0" xfId="0" applyFont="1" applyAlignment="1">
      <alignment horizontal="left" vertical="center"/>
    </xf>
    <xf numFmtId="0" fontId="7" fillId="0" borderId="0" xfId="0" applyFont="1" applyAlignment="1">
      <alignment horizontal="left" vertical="top"/>
    </xf>
    <xf numFmtId="0" fontId="7" fillId="0" borderId="0" xfId="0" applyFont="1" applyAlignment="1">
      <alignment horizontal="center" vertical="top"/>
    </xf>
    <xf numFmtId="0" fontId="7" fillId="0" borderId="14" xfId="0" applyFont="1" applyBorder="1" applyAlignment="1">
      <alignment horizontal="center" vertical="center" wrapText="1"/>
    </xf>
    <xf numFmtId="0" fontId="7" fillId="0" borderId="2" xfId="0" applyFont="1" applyBorder="1" applyAlignment="1">
      <alignment horizontal="center" vertical="center" wrapText="1"/>
    </xf>
    <xf numFmtId="0" fontId="8" fillId="0" borderId="14" xfId="0" applyFont="1" applyBorder="1" applyAlignment="1">
      <alignment horizontal="left" vertical="center" wrapText="1"/>
    </xf>
    <xf numFmtId="167" fontId="8" fillId="0" borderId="14" xfId="0" applyNumberFormat="1" applyFont="1" applyBorder="1" applyAlignment="1">
      <alignment horizontal="right" vertical="center"/>
    </xf>
    <xf numFmtId="168" fontId="8" fillId="0" borderId="14" xfId="0" applyNumberFormat="1" applyFont="1" applyBorder="1" applyAlignment="1">
      <alignment horizontal="right" vertical="center"/>
    </xf>
    <xf numFmtId="169" fontId="8" fillId="0" borderId="14" xfId="0" applyNumberFormat="1" applyFont="1" applyBorder="1" applyAlignment="1">
      <alignment horizontal="right" vertical="center"/>
    </xf>
    <xf numFmtId="170" fontId="8" fillId="0" borderId="14" xfId="0" applyNumberFormat="1" applyFont="1" applyBorder="1" applyAlignment="1">
      <alignment horizontal="right" vertical="center"/>
    </xf>
    <xf numFmtId="164" fontId="8" fillId="0" borderId="2" xfId="0" applyNumberFormat="1" applyFont="1" applyBorder="1" applyAlignment="1">
      <alignment horizontal="left" vertical="center" wrapText="1"/>
    </xf>
    <xf numFmtId="167" fontId="8" fillId="0" borderId="2" xfId="0" applyNumberFormat="1" applyFont="1" applyBorder="1" applyAlignment="1">
      <alignment horizontal="right" vertical="center"/>
    </xf>
    <xf numFmtId="168" fontId="8" fillId="0" borderId="2" xfId="0" applyNumberFormat="1" applyFont="1" applyBorder="1" applyAlignment="1">
      <alignment horizontal="right" vertical="center"/>
    </xf>
    <xf numFmtId="169" fontId="8" fillId="0" borderId="2" xfId="0" applyNumberFormat="1" applyFont="1" applyBorder="1" applyAlignment="1">
      <alignment horizontal="right" vertical="center"/>
    </xf>
    <xf numFmtId="170" fontId="8" fillId="0" borderId="2" xfId="0" applyNumberFormat="1" applyFont="1" applyBorder="1" applyAlignment="1">
      <alignment horizontal="right" vertical="center"/>
    </xf>
    <xf numFmtId="164" fontId="7" fillId="0" borderId="7" xfId="0" applyNumberFormat="1" applyFont="1" applyBorder="1" applyAlignment="1">
      <alignment horizontal="left" vertical="center" wrapText="1"/>
    </xf>
    <xf numFmtId="167" fontId="7" fillId="0" borderId="7" xfId="0" applyNumberFormat="1" applyFont="1" applyBorder="1" applyAlignment="1">
      <alignment horizontal="right" vertical="center"/>
    </xf>
    <xf numFmtId="168" fontId="7" fillId="0" borderId="7" xfId="0" applyNumberFormat="1" applyFont="1" applyBorder="1" applyAlignment="1">
      <alignment horizontal="right" vertical="center"/>
    </xf>
    <xf numFmtId="169" fontId="7" fillId="0" borderId="7" xfId="0" applyNumberFormat="1" applyFont="1" applyBorder="1" applyAlignment="1">
      <alignment horizontal="right" vertical="center"/>
    </xf>
    <xf numFmtId="170" fontId="7" fillId="0" borderId="7" xfId="0" applyNumberFormat="1" applyFont="1" applyBorder="1" applyAlignment="1">
      <alignment horizontal="right" vertical="center"/>
    </xf>
    <xf numFmtId="164" fontId="8" fillId="0" borderId="14" xfId="0" applyNumberFormat="1" applyFont="1" applyBorder="1" applyAlignment="1">
      <alignment horizontal="left" vertical="center" wrapText="1"/>
    </xf>
    <xf numFmtId="164" fontId="8" fillId="0" borderId="15" xfId="0" applyNumberFormat="1" applyFont="1" applyBorder="1" applyAlignment="1">
      <alignment horizontal="left" vertical="center" wrapText="1"/>
    </xf>
    <xf numFmtId="167" fontId="8" fillId="0" borderId="15" xfId="0" applyNumberFormat="1" applyFont="1" applyBorder="1" applyAlignment="1">
      <alignment horizontal="right" vertical="center"/>
    </xf>
    <xf numFmtId="168" fontId="8" fillId="0" borderId="15" xfId="0" applyNumberFormat="1" applyFont="1" applyBorder="1" applyAlignment="1">
      <alignment horizontal="right" vertical="center"/>
    </xf>
    <xf numFmtId="169" fontId="8" fillId="0" borderId="15" xfId="0" applyNumberFormat="1" applyFont="1" applyBorder="1" applyAlignment="1">
      <alignment horizontal="right" vertical="center"/>
    </xf>
    <xf numFmtId="170" fontId="8" fillId="0" borderId="15" xfId="0" applyNumberFormat="1" applyFont="1" applyBorder="1" applyAlignment="1">
      <alignment horizontal="right" vertical="center"/>
    </xf>
    <xf numFmtId="0" fontId="7" fillId="0" borderId="12" xfId="0" applyFont="1" applyBorder="1" applyAlignment="1">
      <alignment vertical="top" wrapText="1"/>
    </xf>
    <xf numFmtId="164" fontId="7" fillId="0" borderId="10" xfId="0" applyNumberFormat="1" applyFont="1" applyBorder="1" applyAlignment="1">
      <alignment horizontal="left" vertical="top" wrapText="1"/>
    </xf>
    <xf numFmtId="0" fontId="7" fillId="0" borderId="0" xfId="0" applyFont="1" applyAlignment="1">
      <alignment horizontal="left" vertical="top" wrapText="1"/>
    </xf>
    <xf numFmtId="164" fontId="7" fillId="0" borderId="0" xfId="0" applyNumberFormat="1" applyFont="1" applyAlignment="1">
      <alignment horizontal="left" vertical="top" wrapText="1"/>
    </xf>
    <xf numFmtId="167" fontId="7" fillId="0" borderId="0" xfId="0" applyNumberFormat="1" applyFont="1" applyAlignment="1">
      <alignment horizontal="right" vertical="center"/>
    </xf>
    <xf numFmtId="168" fontId="7" fillId="0" borderId="0" xfId="0" applyNumberFormat="1" applyFont="1" applyAlignment="1">
      <alignment horizontal="right" vertical="center"/>
    </xf>
    <xf numFmtId="169" fontId="7" fillId="0" borderId="0" xfId="0" applyNumberFormat="1" applyFont="1" applyAlignment="1">
      <alignment horizontal="right" vertical="center"/>
    </xf>
    <xf numFmtId="170" fontId="7" fillId="0" borderId="0" xfId="0" applyNumberFormat="1" applyFont="1" applyAlignment="1">
      <alignment horizontal="right" vertical="center"/>
    </xf>
    <xf numFmtId="164" fontId="8" fillId="0" borderId="0" xfId="0" applyNumberFormat="1" applyFont="1" applyAlignment="1">
      <alignment horizontal="left"/>
    </xf>
    <xf numFmtId="164" fontId="8" fillId="0" borderId="0" xfId="0" applyNumberFormat="1" applyFont="1"/>
    <xf numFmtId="0" fontId="3" fillId="3" borderId="5" xfId="0" applyFont="1" applyFill="1" applyBorder="1"/>
    <xf numFmtId="0" fontId="2" fillId="0" borderId="7" xfId="1" applyFont="1" applyFill="1" applyBorder="1"/>
    <xf numFmtId="165" fontId="2" fillId="0" borderId="1" xfId="0" applyNumberFormat="1" applyFont="1" applyBorder="1" applyAlignment="1">
      <alignment horizontal="right" vertical="center"/>
    </xf>
    <xf numFmtId="165" fontId="2" fillId="0" borderId="0" xfId="0" applyNumberFormat="1" applyFont="1" applyAlignment="1">
      <alignment horizontal="right" vertical="center"/>
    </xf>
    <xf numFmtId="165" fontId="3" fillId="0" borderId="5" xfId="3" applyNumberFormat="1" applyFont="1" applyBorder="1" applyAlignment="1">
      <alignment horizontal="right" vertical="center"/>
    </xf>
    <xf numFmtId="165" fontId="3" fillId="0" borderId="0" xfId="0" applyNumberFormat="1" applyFont="1" applyAlignment="1">
      <alignment horizontal="right" vertical="center"/>
    </xf>
    <xf numFmtId="165" fontId="3" fillId="0" borderId="13" xfId="3" applyNumberFormat="1" applyFont="1" applyBorder="1" applyAlignment="1">
      <alignment horizontal="right" vertical="center"/>
    </xf>
    <xf numFmtId="165" fontId="3" fillId="0" borderId="6" xfId="3" applyNumberFormat="1" applyFont="1" applyBorder="1" applyAlignment="1">
      <alignment horizontal="right" vertical="center"/>
    </xf>
    <xf numFmtId="165" fontId="3" fillId="0" borderId="3" xfId="0" applyNumberFormat="1" applyFont="1" applyBorder="1" applyAlignment="1">
      <alignment horizontal="right" vertical="center"/>
    </xf>
    <xf numFmtId="165" fontId="3" fillId="0" borderId="9" xfId="3" applyNumberFormat="1" applyFont="1" applyBorder="1" applyAlignment="1">
      <alignment horizontal="right" vertical="center"/>
    </xf>
    <xf numFmtId="165" fontId="2" fillId="0" borderId="14" xfId="0" applyNumberFormat="1" applyFont="1" applyBorder="1" applyAlignment="1">
      <alignment horizontal="center" vertical="center"/>
    </xf>
    <xf numFmtId="165" fontId="2" fillId="0" borderId="4" xfId="0" applyNumberFormat="1" applyFont="1" applyBorder="1" applyAlignment="1">
      <alignment horizontal="center" vertical="center"/>
    </xf>
    <xf numFmtId="165" fontId="2" fillId="0" borderId="15" xfId="0" applyNumberFormat="1" applyFont="1" applyBorder="1" applyAlignment="1">
      <alignment horizontal="center" vertical="center"/>
    </xf>
    <xf numFmtId="165" fontId="2" fillId="0" borderId="5" xfId="0" applyNumberFormat="1" applyFont="1" applyBorder="1" applyAlignment="1">
      <alignment horizontal="center" vertical="center"/>
    </xf>
    <xf numFmtId="165" fontId="3" fillId="0" borderId="15" xfId="0" applyNumberFormat="1" applyFont="1" applyBorder="1" applyAlignment="1">
      <alignment horizontal="center" vertical="center"/>
    </xf>
    <xf numFmtId="165" fontId="3" fillId="0" borderId="5" xfId="0" applyNumberFormat="1" applyFont="1" applyBorder="1" applyAlignment="1">
      <alignment horizontal="center" vertical="center"/>
    </xf>
    <xf numFmtId="165" fontId="3" fillId="0" borderId="2"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2" fillId="3" borderId="4" xfId="0" applyNumberFormat="1" applyFont="1" applyFill="1" applyBorder="1" applyAlignment="1">
      <alignment vertical="center"/>
    </xf>
    <xf numFmtId="165" fontId="9" fillId="3" borderId="1" xfId="0" applyNumberFormat="1" applyFont="1" applyFill="1" applyBorder="1" applyAlignment="1">
      <alignment vertical="center"/>
    </xf>
    <xf numFmtId="165" fontId="2" fillId="3" borderId="5" xfId="0" applyNumberFormat="1" applyFont="1" applyFill="1" applyBorder="1" applyAlignment="1">
      <alignment vertical="center"/>
    </xf>
    <xf numFmtId="165" fontId="9" fillId="3" borderId="0" xfId="0" applyNumberFormat="1" applyFont="1" applyFill="1" applyAlignment="1">
      <alignment vertical="center"/>
    </xf>
    <xf numFmtId="165" fontId="3" fillId="3" borderId="5" xfId="0" applyNumberFormat="1" applyFont="1" applyFill="1" applyBorder="1" applyAlignment="1">
      <alignment vertical="center"/>
    </xf>
    <xf numFmtId="165" fontId="10" fillId="3" borderId="0" xfId="0" applyNumberFormat="1" applyFont="1" applyFill="1" applyAlignment="1">
      <alignment vertical="center"/>
    </xf>
    <xf numFmtId="165" fontId="3" fillId="3" borderId="6" xfId="0" applyNumberFormat="1" applyFont="1" applyFill="1" applyBorder="1" applyAlignment="1">
      <alignment vertical="center"/>
    </xf>
    <xf numFmtId="165" fontId="10" fillId="3" borderId="3" xfId="0" applyNumberFormat="1" applyFont="1" applyFill="1" applyBorder="1" applyAlignment="1">
      <alignment vertical="center"/>
    </xf>
    <xf numFmtId="2" fontId="2" fillId="2" borderId="15" xfId="0" applyNumberFormat="1" applyFont="1" applyFill="1" applyBorder="1"/>
    <xf numFmtId="0" fontId="3" fillId="0" borderId="0" xfId="0" applyFont="1" applyAlignment="1">
      <alignment vertical="top"/>
    </xf>
    <xf numFmtId="0" fontId="2"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0" fontId="2" fillId="0" borderId="1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 xfId="0" applyFont="1" applyBorder="1"/>
    <xf numFmtId="165" fontId="2" fillId="0" borderId="4" xfId="3" applyNumberFormat="1" applyBorder="1" applyAlignment="1">
      <alignment horizontal="right" vertical="center"/>
    </xf>
    <xf numFmtId="165" fontId="2" fillId="0" borderId="8" xfId="3" applyNumberFormat="1" applyBorder="1" applyAlignment="1">
      <alignment horizontal="right" vertical="center"/>
    </xf>
    <xf numFmtId="165" fontId="2" fillId="0" borderId="5" xfId="3" applyNumberFormat="1" applyBorder="1" applyAlignment="1">
      <alignment horizontal="right" vertical="center"/>
    </xf>
    <xf numFmtId="165" fontId="2" fillId="0" borderId="13" xfId="3" applyNumberFormat="1" applyBorder="1" applyAlignment="1">
      <alignment horizontal="right" vertical="center"/>
    </xf>
    <xf numFmtId="0" fontId="3" fillId="0" borderId="3" xfId="0" applyFont="1" applyBorder="1"/>
    <xf numFmtId="164" fontId="2" fillId="0" borderId="0" xfId="0" applyNumberFormat="1" applyFont="1"/>
    <xf numFmtId="0" fontId="2" fillId="0" borderId="5" xfId="0" applyFont="1" applyBorder="1" applyAlignment="1">
      <alignment vertical="center"/>
    </xf>
    <xf numFmtId="0" fontId="2" fillId="0" borderId="5" xfId="0" applyFont="1" applyBorder="1"/>
    <xf numFmtId="0" fontId="2" fillId="0" borderId="6" xfId="0" applyFont="1" applyBorder="1"/>
    <xf numFmtId="165" fontId="3" fillId="0" borderId="0" xfId="3" applyNumberFormat="1" applyFont="1" applyAlignment="1">
      <alignment horizontal="right" vertical="center"/>
    </xf>
    <xf numFmtId="0" fontId="2" fillId="0" borderId="1" xfId="0" applyFont="1" applyBorder="1" applyAlignment="1">
      <alignment vertical="center"/>
    </xf>
    <xf numFmtId="165" fontId="2" fillId="0" borderId="0" xfId="0" applyNumberFormat="1" applyFont="1" applyAlignment="1">
      <alignment vertical="center"/>
    </xf>
    <xf numFmtId="9" fontId="2" fillId="0" borderId="0" xfId="0" applyNumberFormat="1" applyFont="1" applyAlignment="1">
      <alignment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3" fillId="0" borderId="5" xfId="0" applyFont="1" applyBorder="1" applyAlignment="1">
      <alignment vertical="center"/>
    </xf>
    <xf numFmtId="0" fontId="3" fillId="0" borderId="5" xfId="0" applyFont="1" applyBorder="1"/>
    <xf numFmtId="4" fontId="2" fillId="0" borderId="0" xfId="0" applyNumberFormat="1" applyFont="1"/>
    <xf numFmtId="165" fontId="3" fillId="0" borderId="0" xfId="0" applyNumberFormat="1" applyFont="1" applyAlignment="1">
      <alignment horizontal="center" vertical="center"/>
    </xf>
    <xf numFmtId="165" fontId="2" fillId="0" borderId="1" xfId="3" applyNumberFormat="1" applyBorder="1" applyAlignment="1">
      <alignment horizontal="center" vertical="center"/>
    </xf>
    <xf numFmtId="0" fontId="9" fillId="0" borderId="0" xfId="0" applyFont="1" applyAlignment="1">
      <alignment horizontal="left"/>
    </xf>
    <xf numFmtId="0" fontId="3" fillId="0" borderId="14" xfId="0" applyFont="1" applyBorder="1"/>
    <xf numFmtId="0" fontId="2" fillId="0" borderId="15" xfId="0" applyFont="1" applyBorder="1" applyAlignment="1">
      <alignment horizontal="right"/>
    </xf>
    <xf numFmtId="0" fontId="2" fillId="0" borderId="15" xfId="0" applyFont="1" applyBorder="1"/>
    <xf numFmtId="0" fontId="2" fillId="0" borderId="0" xfId="0" applyFont="1" applyAlignment="1">
      <alignment horizontal="right"/>
    </xf>
    <xf numFmtId="165" fontId="2" fillId="0" borderId="4" xfId="0" applyNumberFormat="1" applyFont="1" applyBorder="1" applyAlignment="1">
      <alignment vertical="center"/>
    </xf>
    <xf numFmtId="165" fontId="2" fillId="0" borderId="14" xfId="0" applyNumberFormat="1" applyFont="1" applyBorder="1" applyAlignment="1">
      <alignment vertical="center"/>
    </xf>
    <xf numFmtId="165" fontId="2" fillId="0" borderId="5" xfId="0" applyNumberFormat="1" applyFont="1" applyBorder="1" applyAlignment="1">
      <alignment vertical="center"/>
    </xf>
    <xf numFmtId="165" fontId="2" fillId="0" borderId="15" xfId="0" applyNumberFormat="1" applyFont="1" applyBorder="1" applyAlignment="1">
      <alignment vertical="center"/>
    </xf>
    <xf numFmtId="165" fontId="3" fillId="0" borderId="5" xfId="0" applyNumberFormat="1" applyFont="1" applyBorder="1" applyAlignment="1">
      <alignment vertical="center"/>
    </xf>
    <xf numFmtId="165" fontId="3" fillId="0" borderId="15" xfId="0" applyNumberFormat="1" applyFont="1" applyBorder="1" applyAlignment="1">
      <alignment vertical="center"/>
    </xf>
    <xf numFmtId="165" fontId="3" fillId="0" borderId="6" xfId="0" applyNumberFormat="1" applyFont="1" applyBorder="1" applyAlignment="1">
      <alignment vertical="center"/>
    </xf>
    <xf numFmtId="165" fontId="3" fillId="0" borderId="2" xfId="0" applyNumberFormat="1" applyFont="1" applyBorder="1" applyAlignment="1">
      <alignment vertical="center"/>
    </xf>
    <xf numFmtId="0" fontId="2" fillId="3" borderId="0" xfId="0" applyFont="1" applyFill="1" applyAlignment="1">
      <alignment horizontal="center" vertical="center"/>
    </xf>
    <xf numFmtId="165" fontId="3" fillId="0" borderId="0" xfId="0" applyNumberFormat="1" applyFont="1" applyAlignment="1">
      <alignment vertical="center"/>
    </xf>
    <xf numFmtId="165" fontId="10" fillId="0" borderId="0" xfId="0" applyNumberFormat="1" applyFont="1" applyAlignment="1">
      <alignment vertical="center"/>
    </xf>
    <xf numFmtId="0" fontId="3" fillId="0" borderId="7" xfId="0" applyFont="1" applyFill="1" applyBorder="1" applyAlignment="1">
      <alignment horizontal="center" wrapText="1"/>
    </xf>
    <xf numFmtId="2" fontId="2" fillId="0" borderId="15" xfId="0" applyNumberFormat="1" applyFont="1" applyFill="1" applyBorder="1"/>
    <xf numFmtId="2" fontId="2" fillId="0" borderId="2" xfId="0" applyNumberFormat="1" applyFont="1" applyFill="1" applyBorder="1"/>
    <xf numFmtId="0" fontId="2" fillId="0" borderId="0" xfId="0" applyFont="1" applyAlignment="1">
      <alignment horizontal="left" vertical="center" wrapText="1"/>
    </xf>
    <xf numFmtId="0" fontId="2" fillId="0" borderId="5" xfId="0" applyFont="1" applyBorder="1" applyAlignment="1">
      <alignment vertical="center"/>
    </xf>
    <xf numFmtId="0" fontId="2" fillId="0" borderId="6" xfId="0" applyFont="1" applyBorder="1" applyAlignment="1">
      <alignment vertical="center"/>
    </xf>
    <xf numFmtId="0" fontId="2" fillId="0" borderId="4" xfId="0" applyFont="1" applyBorder="1" applyAlignment="1">
      <alignment vertical="center"/>
    </xf>
    <xf numFmtId="0" fontId="2" fillId="0" borderId="0" xfId="0" applyFont="1" applyAlignment="1">
      <alignment vertical="center" wrapText="1"/>
    </xf>
    <xf numFmtId="0" fontId="15" fillId="0" borderId="0" xfId="0" applyFont="1" applyAlignment="1">
      <alignment vertical="center" wrapText="1"/>
    </xf>
    <xf numFmtId="0" fontId="2" fillId="0" borderId="4"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9" xfId="0" applyFont="1" applyBorder="1" applyAlignment="1">
      <alignment horizontal="center"/>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2" xfId="0" applyFont="1" applyBorder="1" applyAlignment="1">
      <alignment horizontal="center"/>
    </xf>
    <xf numFmtId="0" fontId="3" fillId="0" borderId="10" xfId="0" applyFont="1" applyBorder="1" applyAlignment="1">
      <alignment horizontal="center"/>
    </xf>
    <xf numFmtId="0" fontId="15" fillId="0" borderId="0" xfId="0" applyFont="1" applyAlignment="1">
      <alignment wrapText="1"/>
    </xf>
    <xf numFmtId="0" fontId="3" fillId="0" borderId="5" xfId="0" applyFont="1" applyBorder="1" applyAlignment="1">
      <alignment vertical="center"/>
    </xf>
    <xf numFmtId="0" fontId="3" fillId="0" borderId="6" xfId="0" applyFont="1" applyBorder="1" applyAlignment="1">
      <alignment vertical="center"/>
    </xf>
    <xf numFmtId="0" fontId="3" fillId="0" borderId="12" xfId="0" applyFont="1" applyBorder="1" applyAlignment="1">
      <alignment horizontal="center" wrapText="1"/>
    </xf>
    <xf numFmtId="0" fontId="3" fillId="0" borderId="11" xfId="0" applyFont="1" applyBorder="1" applyAlignment="1">
      <alignment horizontal="center" wrapText="1"/>
    </xf>
    <xf numFmtId="0" fontId="3" fillId="0" borderId="12" xfId="0" applyFont="1" applyFill="1" applyBorder="1" applyAlignment="1">
      <alignment horizontal="center" wrapText="1"/>
    </xf>
    <xf numFmtId="0" fontId="3" fillId="0" borderId="11" xfId="0" applyFont="1" applyFill="1" applyBorder="1" applyAlignment="1">
      <alignment horizontal="center" wrapText="1"/>
    </xf>
    <xf numFmtId="0" fontId="3" fillId="0" borderId="10" xfId="0" applyFont="1" applyFill="1" applyBorder="1" applyAlignment="1">
      <alignment horizontal="center" wrapText="1"/>
    </xf>
    <xf numFmtId="0" fontId="2" fillId="2" borderId="0" xfId="0" applyFont="1" applyFill="1" applyAlignment="1">
      <alignment horizontal="left" vertical="center" wrapText="1"/>
    </xf>
    <xf numFmtId="0" fontId="2" fillId="0" borderId="0" xfId="0" applyFont="1" applyFill="1" applyAlignment="1">
      <alignment horizontal="left" vertical="center" wrapText="1"/>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2" fillId="3" borderId="0" xfId="0" applyFont="1" applyFill="1" applyAlignment="1">
      <alignment horizontal="left" vertical="center" wrapText="1"/>
    </xf>
    <xf numFmtId="0" fontId="2" fillId="3" borderId="4" xfId="0" applyFont="1" applyFill="1" applyBorder="1"/>
    <xf numFmtId="0" fontId="2" fillId="3" borderId="8" xfId="0" applyFont="1" applyFill="1" applyBorder="1"/>
    <xf numFmtId="0" fontId="2" fillId="3" borderId="5" xfId="0" applyFont="1" applyFill="1" applyBorder="1"/>
    <xf numFmtId="0" fontId="2" fillId="3" borderId="13" xfId="0" applyFont="1" applyFill="1" applyBorder="1"/>
    <xf numFmtId="0" fontId="2" fillId="3" borderId="6" xfId="0" applyFont="1" applyFill="1" applyBorder="1"/>
    <xf numFmtId="0" fontId="2" fillId="3" borderId="9" xfId="0" applyFont="1" applyFill="1" applyBorder="1"/>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2" fillId="3" borderId="4" xfId="0" applyFont="1" applyFill="1" applyBorder="1" applyAlignment="1">
      <alignment horizontal="center" wrapText="1"/>
    </xf>
    <xf numFmtId="0" fontId="2" fillId="3" borderId="1" xfId="0" applyFont="1" applyFill="1" applyBorder="1" applyAlignment="1">
      <alignment horizontal="center" wrapText="1"/>
    </xf>
    <xf numFmtId="0" fontId="15" fillId="0" borderId="8" xfId="0" applyFont="1" applyBorder="1" applyAlignment="1">
      <alignment horizontal="center" wrapText="1"/>
    </xf>
    <xf numFmtId="0" fontId="2" fillId="3"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7" fillId="0" borderId="7" xfId="0" applyFont="1" applyBorder="1" applyAlignment="1">
      <alignment horizontal="left" vertical="top" wrapText="1"/>
    </xf>
    <xf numFmtId="164" fontId="7" fillId="0" borderId="7" xfId="0" applyNumberFormat="1" applyFont="1" applyBorder="1" applyAlignment="1">
      <alignment horizontal="left" vertical="top" wrapText="1"/>
    </xf>
    <xf numFmtId="0" fontId="14" fillId="0" borderId="0" xfId="0" applyFont="1" applyAlignment="1">
      <alignment horizontal="left" wrapText="1"/>
    </xf>
    <xf numFmtId="0" fontId="8" fillId="0" borderId="0" xfId="0" applyFont="1" applyAlignment="1">
      <alignment horizontal="left" vertical="center" wrapText="1"/>
    </xf>
    <xf numFmtId="0" fontId="8" fillId="0" borderId="0" xfId="0" applyFont="1" applyAlignment="1">
      <alignment horizontal="left" wrapText="1"/>
    </xf>
    <xf numFmtId="0" fontId="8" fillId="0" borderId="0" xfId="0" applyFont="1" applyAlignment="1">
      <alignment horizontal="center" vertical="center" wrapText="1"/>
    </xf>
    <xf numFmtId="0" fontId="8" fillId="0" borderId="1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9"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7" xfId="0" applyFont="1" applyBorder="1" applyAlignment="1">
      <alignment horizontal="center" vertical="center" wrapText="1"/>
    </xf>
    <xf numFmtId="0" fontId="2" fillId="0" borderId="0" xfId="0" applyFont="1" applyAlignment="1">
      <alignment horizontal="left" vertical="top" wrapText="1"/>
    </xf>
  </cellXfs>
  <cellStyles count="5">
    <cellStyle name="Lien hypertexte" xfId="1" builtinId="8"/>
    <cellStyle name="Normal" xfId="0" builtinId="0"/>
    <cellStyle name="Normal 4" xfId="3" xr:uid="{1891A139-5DB0-48D7-A58B-CF458500C18B}"/>
    <cellStyle name="Normal 7" xfId="2" xr:uid="{E38F539F-12ED-470A-B905-FCE08618E571}"/>
    <cellStyle name="Pourcentage" xfId="4" builtinId="5"/>
  </cellStyles>
  <dxfs count="0"/>
  <tableStyles count="0" defaultTableStyle="TableStyleMedium2" defaultPivotStyle="PivotStyleLight16"/>
  <colors>
    <mruColors>
      <color rgb="FFFF9575"/>
      <color rgb="FFCE614A"/>
      <color rgb="FF37635F"/>
      <color rgb="FF34BA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fr-FR" sz="1600">
                <a:solidFill>
                  <a:sysClr val="windowText" lastClr="000000"/>
                </a:solidFill>
              </a:rPr>
              <a:t>Entrants</a:t>
            </a:r>
            <a:r>
              <a:rPr lang="fr-FR" sz="1600" baseline="30000">
                <a:solidFill>
                  <a:sysClr val="windowText" lastClr="000000"/>
                </a:solidFill>
              </a:rPr>
              <a:t>1</a:t>
            </a: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fr-FR"/>
        </a:p>
      </c:txPr>
    </c:title>
    <c:autoTitleDeleted val="0"/>
    <c:plotArea>
      <c:layout/>
      <c:lineChart>
        <c:grouping val="standard"/>
        <c:varyColors val="0"/>
        <c:ser>
          <c:idx val="0"/>
          <c:order val="0"/>
          <c:tx>
            <c:strRef>
              <c:f>'Fig. 3'!$C$6</c:f>
              <c:strCache>
                <c:ptCount val="1"/>
                <c:pt idx="0">
                  <c:v>Fonctionnaires</c:v>
                </c:pt>
              </c:strCache>
            </c:strRef>
          </c:tx>
          <c:spPr>
            <a:ln w="19050" cap="rnd">
              <a:solidFill>
                <a:srgbClr val="37635F"/>
              </a:solidFill>
              <a:round/>
            </a:ln>
            <a:effectLst/>
          </c:spPr>
          <c:marker>
            <c:symbol val="none"/>
          </c:marker>
          <c:cat>
            <c:numRef>
              <c:f>'Fig. 3'!$B$7:$B$62</c:f>
              <c:numCache>
                <c:formatCode>General</c:formatCode>
                <c:ptCount val="5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cat>
          <c:val>
            <c:numRef>
              <c:f>'Fig. 3'!$C$7:$C$62</c:f>
              <c:numCache>
                <c:formatCode>0.00</c:formatCode>
                <c:ptCount val="56"/>
                <c:pt idx="0">
                  <c:v>0</c:v>
                </c:pt>
                <c:pt idx="1">
                  <c:v>0</c:v>
                </c:pt>
                <c:pt idx="2">
                  <c:v>0.02</c:v>
                </c:pt>
                <c:pt idx="3">
                  <c:v>7.0000000000000007E-2</c:v>
                </c:pt>
                <c:pt idx="4">
                  <c:v>0.53</c:v>
                </c:pt>
                <c:pt idx="5">
                  <c:v>1.69</c:v>
                </c:pt>
                <c:pt idx="6">
                  <c:v>2.64</c:v>
                </c:pt>
                <c:pt idx="7">
                  <c:v>2.83</c:v>
                </c:pt>
                <c:pt idx="8">
                  <c:v>5.35</c:v>
                </c:pt>
                <c:pt idx="9">
                  <c:v>5.18</c:v>
                </c:pt>
                <c:pt idx="10">
                  <c:v>4.07</c:v>
                </c:pt>
                <c:pt idx="11">
                  <c:v>3.19</c:v>
                </c:pt>
                <c:pt idx="12">
                  <c:v>2.4900000000000002</c:v>
                </c:pt>
                <c:pt idx="13">
                  <c:v>2.4</c:v>
                </c:pt>
                <c:pt idx="14">
                  <c:v>2.29</c:v>
                </c:pt>
                <c:pt idx="15">
                  <c:v>2.39</c:v>
                </c:pt>
                <c:pt idx="16">
                  <c:v>2.52</c:v>
                </c:pt>
                <c:pt idx="17">
                  <c:v>2.44</c:v>
                </c:pt>
                <c:pt idx="18">
                  <c:v>2.5499999999999998</c:v>
                </c:pt>
                <c:pt idx="19">
                  <c:v>2.63</c:v>
                </c:pt>
                <c:pt idx="20">
                  <c:v>2.76</c:v>
                </c:pt>
                <c:pt idx="21">
                  <c:v>2.8</c:v>
                </c:pt>
                <c:pt idx="22">
                  <c:v>2.65</c:v>
                </c:pt>
                <c:pt idx="23">
                  <c:v>2.77</c:v>
                </c:pt>
                <c:pt idx="24">
                  <c:v>2.58</c:v>
                </c:pt>
                <c:pt idx="25">
                  <c:v>2.59</c:v>
                </c:pt>
                <c:pt idx="26">
                  <c:v>2.44</c:v>
                </c:pt>
                <c:pt idx="27">
                  <c:v>2.52</c:v>
                </c:pt>
                <c:pt idx="28">
                  <c:v>2.4500000000000002</c:v>
                </c:pt>
                <c:pt idx="29">
                  <c:v>2.38</c:v>
                </c:pt>
                <c:pt idx="30">
                  <c:v>2.25</c:v>
                </c:pt>
                <c:pt idx="31">
                  <c:v>2.21</c:v>
                </c:pt>
                <c:pt idx="32">
                  <c:v>2.09</c:v>
                </c:pt>
                <c:pt idx="33">
                  <c:v>1.9</c:v>
                </c:pt>
                <c:pt idx="34">
                  <c:v>1.85</c:v>
                </c:pt>
                <c:pt idx="35">
                  <c:v>1.9</c:v>
                </c:pt>
                <c:pt idx="36">
                  <c:v>1.94</c:v>
                </c:pt>
                <c:pt idx="37">
                  <c:v>1.87</c:v>
                </c:pt>
                <c:pt idx="38">
                  <c:v>1.74</c:v>
                </c:pt>
                <c:pt idx="39">
                  <c:v>1.51</c:v>
                </c:pt>
                <c:pt idx="40">
                  <c:v>1.5</c:v>
                </c:pt>
                <c:pt idx="41">
                  <c:v>1.39</c:v>
                </c:pt>
                <c:pt idx="42">
                  <c:v>1.28</c:v>
                </c:pt>
                <c:pt idx="43">
                  <c:v>1.1100000000000001</c:v>
                </c:pt>
                <c:pt idx="44">
                  <c:v>1.01</c:v>
                </c:pt>
                <c:pt idx="45">
                  <c:v>0.99</c:v>
                </c:pt>
                <c:pt idx="46">
                  <c:v>0.73</c:v>
                </c:pt>
                <c:pt idx="47">
                  <c:v>0.59</c:v>
                </c:pt>
                <c:pt idx="48">
                  <c:v>0.33</c:v>
                </c:pt>
                <c:pt idx="49">
                  <c:v>0.22</c:v>
                </c:pt>
                <c:pt idx="50">
                  <c:v>0.17</c:v>
                </c:pt>
                <c:pt idx="51">
                  <c:v>0.11</c:v>
                </c:pt>
                <c:pt idx="52">
                  <c:v>0.04</c:v>
                </c:pt>
                <c:pt idx="53">
                  <c:v>0.03</c:v>
                </c:pt>
                <c:pt idx="54">
                  <c:v>0.01</c:v>
                </c:pt>
                <c:pt idx="55">
                  <c:v>0.02</c:v>
                </c:pt>
              </c:numCache>
            </c:numRef>
          </c:val>
          <c:smooth val="0"/>
          <c:extLst>
            <c:ext xmlns:c16="http://schemas.microsoft.com/office/drawing/2014/chart" uri="{C3380CC4-5D6E-409C-BE32-E72D297353CC}">
              <c16:uniqueId val="{00000000-D15D-466C-A1CC-B925C59BC161}"/>
            </c:ext>
          </c:extLst>
        </c:ser>
        <c:ser>
          <c:idx val="1"/>
          <c:order val="1"/>
          <c:tx>
            <c:strRef>
              <c:f>'Fig. 3'!$D$6</c:f>
              <c:strCache>
                <c:ptCount val="1"/>
                <c:pt idx="0">
                  <c:v>Contractuels</c:v>
                </c:pt>
              </c:strCache>
            </c:strRef>
          </c:tx>
          <c:spPr>
            <a:ln w="19050" cap="rnd">
              <a:solidFill>
                <a:srgbClr val="CE614A"/>
              </a:solidFill>
              <a:round/>
            </a:ln>
            <a:effectLst/>
          </c:spPr>
          <c:marker>
            <c:symbol val="none"/>
          </c:marker>
          <c:cat>
            <c:numRef>
              <c:f>'Fig. 3'!$B$7:$B$62</c:f>
              <c:numCache>
                <c:formatCode>General</c:formatCode>
                <c:ptCount val="5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cat>
          <c:val>
            <c:numRef>
              <c:f>'Fig. 3'!$D$7:$D$62</c:f>
              <c:numCache>
                <c:formatCode>0.00</c:formatCode>
                <c:ptCount val="56"/>
                <c:pt idx="0">
                  <c:v>0.01</c:v>
                </c:pt>
                <c:pt idx="1">
                  <c:v>0.14000000000000001</c:v>
                </c:pt>
                <c:pt idx="2">
                  <c:v>0.49</c:v>
                </c:pt>
                <c:pt idx="3">
                  <c:v>1.71</c:v>
                </c:pt>
                <c:pt idx="4">
                  <c:v>3.01</c:v>
                </c:pt>
                <c:pt idx="5">
                  <c:v>3.49</c:v>
                </c:pt>
                <c:pt idx="6">
                  <c:v>4.4400000000000004</c:v>
                </c:pt>
                <c:pt idx="7">
                  <c:v>4.8</c:v>
                </c:pt>
                <c:pt idx="8">
                  <c:v>5.18</c:v>
                </c:pt>
                <c:pt idx="9">
                  <c:v>5.14</c:v>
                </c:pt>
                <c:pt idx="10">
                  <c:v>4.3</c:v>
                </c:pt>
                <c:pt idx="11">
                  <c:v>3.67</c:v>
                </c:pt>
                <c:pt idx="12">
                  <c:v>3.23</c:v>
                </c:pt>
                <c:pt idx="13">
                  <c:v>2.99</c:v>
                </c:pt>
                <c:pt idx="14">
                  <c:v>2.77</c:v>
                </c:pt>
                <c:pt idx="15">
                  <c:v>2.57</c:v>
                </c:pt>
                <c:pt idx="16">
                  <c:v>2.5099999999999998</c:v>
                </c:pt>
                <c:pt idx="17">
                  <c:v>2.4500000000000002</c:v>
                </c:pt>
                <c:pt idx="18">
                  <c:v>2.4300000000000002</c:v>
                </c:pt>
                <c:pt idx="19">
                  <c:v>2.3199999999999998</c:v>
                </c:pt>
                <c:pt idx="20">
                  <c:v>2.27</c:v>
                </c:pt>
                <c:pt idx="21">
                  <c:v>2.2200000000000002</c:v>
                </c:pt>
                <c:pt idx="22">
                  <c:v>2.14</c:v>
                </c:pt>
                <c:pt idx="23">
                  <c:v>2.12</c:v>
                </c:pt>
                <c:pt idx="24">
                  <c:v>2.0099999999999998</c:v>
                </c:pt>
                <c:pt idx="25">
                  <c:v>1.99</c:v>
                </c:pt>
                <c:pt idx="26">
                  <c:v>1.89</c:v>
                </c:pt>
                <c:pt idx="27">
                  <c:v>1.91</c:v>
                </c:pt>
                <c:pt idx="28">
                  <c:v>1.83</c:v>
                </c:pt>
                <c:pt idx="29">
                  <c:v>1.83</c:v>
                </c:pt>
                <c:pt idx="30">
                  <c:v>1.64</c:v>
                </c:pt>
                <c:pt idx="31">
                  <c:v>1.52</c:v>
                </c:pt>
                <c:pt idx="32">
                  <c:v>1.49</c:v>
                </c:pt>
                <c:pt idx="33">
                  <c:v>1.39</c:v>
                </c:pt>
                <c:pt idx="34">
                  <c:v>1.38</c:v>
                </c:pt>
                <c:pt idx="35">
                  <c:v>1.38</c:v>
                </c:pt>
                <c:pt idx="36">
                  <c:v>1.38</c:v>
                </c:pt>
                <c:pt idx="37">
                  <c:v>1.4</c:v>
                </c:pt>
                <c:pt idx="38">
                  <c:v>1.29</c:v>
                </c:pt>
                <c:pt idx="39">
                  <c:v>1.1499999999999999</c:v>
                </c:pt>
                <c:pt idx="40">
                  <c:v>1.1000000000000001</c:v>
                </c:pt>
                <c:pt idx="41">
                  <c:v>1.01</c:v>
                </c:pt>
                <c:pt idx="42">
                  <c:v>0.93</c:v>
                </c:pt>
                <c:pt idx="43">
                  <c:v>0.91</c:v>
                </c:pt>
                <c:pt idx="44">
                  <c:v>0.82</c:v>
                </c:pt>
                <c:pt idx="45">
                  <c:v>0.68</c:v>
                </c:pt>
                <c:pt idx="46">
                  <c:v>0.57999999999999996</c:v>
                </c:pt>
                <c:pt idx="47">
                  <c:v>0.42</c:v>
                </c:pt>
                <c:pt idx="48">
                  <c:v>0.36</c:v>
                </c:pt>
                <c:pt idx="49">
                  <c:v>0.32</c:v>
                </c:pt>
                <c:pt idx="50">
                  <c:v>0.28000000000000003</c:v>
                </c:pt>
                <c:pt idx="51">
                  <c:v>0.22</c:v>
                </c:pt>
                <c:pt idx="52">
                  <c:v>0.16</c:v>
                </c:pt>
                <c:pt idx="53">
                  <c:v>0.14000000000000001</c:v>
                </c:pt>
                <c:pt idx="54">
                  <c:v>0.11</c:v>
                </c:pt>
                <c:pt idx="55">
                  <c:v>0.08</c:v>
                </c:pt>
              </c:numCache>
            </c:numRef>
          </c:val>
          <c:smooth val="0"/>
          <c:extLst>
            <c:ext xmlns:c16="http://schemas.microsoft.com/office/drawing/2014/chart" uri="{C3380CC4-5D6E-409C-BE32-E72D297353CC}">
              <c16:uniqueId val="{00000001-D15D-466C-A1CC-B925C59BC161}"/>
            </c:ext>
          </c:extLst>
        </c:ser>
        <c:ser>
          <c:idx val="2"/>
          <c:order val="2"/>
          <c:tx>
            <c:strRef>
              <c:f>'Fig. 3'!$E$6</c:f>
              <c:strCache>
                <c:ptCount val="1"/>
                <c:pt idx="0">
                  <c:v>Autres catégories et statuts</c:v>
                </c:pt>
              </c:strCache>
            </c:strRef>
          </c:tx>
          <c:spPr>
            <a:ln w="19050" cap="rnd">
              <a:solidFill>
                <a:srgbClr val="34BAB5"/>
              </a:solidFill>
              <a:round/>
            </a:ln>
            <a:effectLst/>
          </c:spPr>
          <c:marker>
            <c:symbol val="none"/>
          </c:marker>
          <c:cat>
            <c:numRef>
              <c:f>'Fig. 3'!$B$7:$B$62</c:f>
              <c:numCache>
                <c:formatCode>General</c:formatCode>
                <c:ptCount val="5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cat>
          <c:val>
            <c:numRef>
              <c:f>'Fig. 3'!$E$7:$E$62</c:f>
              <c:numCache>
                <c:formatCode>0.00</c:formatCode>
                <c:ptCount val="56"/>
                <c:pt idx="0">
                  <c:v>0.93</c:v>
                </c:pt>
                <c:pt idx="1">
                  <c:v>1.28</c:v>
                </c:pt>
                <c:pt idx="2">
                  <c:v>1.52</c:v>
                </c:pt>
                <c:pt idx="3">
                  <c:v>3.74</c:v>
                </c:pt>
                <c:pt idx="4">
                  <c:v>3.87</c:v>
                </c:pt>
                <c:pt idx="5">
                  <c:v>5.41</c:v>
                </c:pt>
                <c:pt idx="6">
                  <c:v>5.0599999999999996</c:v>
                </c:pt>
                <c:pt idx="7">
                  <c:v>5.41</c:v>
                </c:pt>
                <c:pt idx="8">
                  <c:v>5.8</c:v>
                </c:pt>
                <c:pt idx="9">
                  <c:v>9.74</c:v>
                </c:pt>
                <c:pt idx="10">
                  <c:v>9.1300000000000008</c:v>
                </c:pt>
                <c:pt idx="11">
                  <c:v>3.7</c:v>
                </c:pt>
                <c:pt idx="12">
                  <c:v>2.77</c:v>
                </c:pt>
                <c:pt idx="13">
                  <c:v>2.85</c:v>
                </c:pt>
                <c:pt idx="14">
                  <c:v>3</c:v>
                </c:pt>
                <c:pt idx="15">
                  <c:v>2.65</c:v>
                </c:pt>
                <c:pt idx="16">
                  <c:v>2.38</c:v>
                </c:pt>
                <c:pt idx="17">
                  <c:v>2.34</c:v>
                </c:pt>
                <c:pt idx="18">
                  <c:v>2.06</c:v>
                </c:pt>
                <c:pt idx="19">
                  <c:v>1.95</c:v>
                </c:pt>
                <c:pt idx="20">
                  <c:v>1.64</c:v>
                </c:pt>
                <c:pt idx="21">
                  <c:v>1.53</c:v>
                </c:pt>
                <c:pt idx="22">
                  <c:v>1.24</c:v>
                </c:pt>
                <c:pt idx="23">
                  <c:v>1.23</c:v>
                </c:pt>
                <c:pt idx="24">
                  <c:v>1.22</c:v>
                </c:pt>
                <c:pt idx="25">
                  <c:v>1.06</c:v>
                </c:pt>
                <c:pt idx="26">
                  <c:v>0.96</c:v>
                </c:pt>
                <c:pt idx="27">
                  <c:v>1</c:v>
                </c:pt>
                <c:pt idx="28">
                  <c:v>0.92</c:v>
                </c:pt>
                <c:pt idx="29">
                  <c:v>0.94</c:v>
                </c:pt>
                <c:pt idx="30">
                  <c:v>0.85</c:v>
                </c:pt>
                <c:pt idx="31">
                  <c:v>0.83</c:v>
                </c:pt>
                <c:pt idx="32">
                  <c:v>0.87</c:v>
                </c:pt>
                <c:pt idx="33">
                  <c:v>0.75</c:v>
                </c:pt>
                <c:pt idx="34">
                  <c:v>0.69</c:v>
                </c:pt>
                <c:pt idx="35">
                  <c:v>0.7</c:v>
                </c:pt>
                <c:pt idx="36">
                  <c:v>0.85</c:v>
                </c:pt>
                <c:pt idx="37">
                  <c:v>0.72</c:v>
                </c:pt>
                <c:pt idx="38">
                  <c:v>0.69</c:v>
                </c:pt>
                <c:pt idx="39">
                  <c:v>0.6</c:v>
                </c:pt>
                <c:pt idx="40">
                  <c:v>0.55000000000000004</c:v>
                </c:pt>
                <c:pt idx="41">
                  <c:v>0.52</c:v>
                </c:pt>
                <c:pt idx="42">
                  <c:v>0.45</c:v>
                </c:pt>
                <c:pt idx="43">
                  <c:v>0.48</c:v>
                </c:pt>
                <c:pt idx="44">
                  <c:v>0.44</c:v>
                </c:pt>
                <c:pt idx="45">
                  <c:v>0.48</c:v>
                </c:pt>
                <c:pt idx="46">
                  <c:v>0.41</c:v>
                </c:pt>
                <c:pt idx="47">
                  <c:v>0.33</c:v>
                </c:pt>
                <c:pt idx="48">
                  <c:v>0.36</c:v>
                </c:pt>
                <c:pt idx="49">
                  <c:v>0.24</c:v>
                </c:pt>
                <c:pt idx="50">
                  <c:v>0.19</c:v>
                </c:pt>
                <c:pt idx="51">
                  <c:v>0.18</c:v>
                </c:pt>
                <c:pt idx="52">
                  <c:v>0.16</c:v>
                </c:pt>
                <c:pt idx="53">
                  <c:v>0.13</c:v>
                </c:pt>
                <c:pt idx="54">
                  <c:v>0.12</c:v>
                </c:pt>
                <c:pt idx="55">
                  <c:v>0.1</c:v>
                </c:pt>
              </c:numCache>
            </c:numRef>
          </c:val>
          <c:smooth val="0"/>
          <c:extLst>
            <c:ext xmlns:c16="http://schemas.microsoft.com/office/drawing/2014/chart" uri="{C3380CC4-5D6E-409C-BE32-E72D297353CC}">
              <c16:uniqueId val="{00000002-D15D-466C-A1CC-B925C59BC161}"/>
            </c:ext>
          </c:extLst>
        </c:ser>
        <c:dLbls>
          <c:showLegendKey val="0"/>
          <c:showVal val="0"/>
          <c:showCatName val="0"/>
          <c:showSerName val="0"/>
          <c:showPercent val="0"/>
          <c:showBubbleSize val="0"/>
        </c:dLbls>
        <c:smooth val="0"/>
        <c:axId val="1235271712"/>
        <c:axId val="1235267136"/>
      </c:lineChart>
      <c:catAx>
        <c:axId val="123527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1235267136"/>
        <c:crosses val="autoZero"/>
        <c:auto val="1"/>
        <c:lblAlgn val="ctr"/>
        <c:lblOffset val="100"/>
        <c:noMultiLvlLbl val="0"/>
      </c:catAx>
      <c:valAx>
        <c:axId val="1235267136"/>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123527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fr-FR" sz="1600">
                <a:solidFill>
                  <a:sysClr val="windowText" lastClr="000000"/>
                </a:solidFill>
              </a:rPr>
              <a:t>Sortants</a:t>
            </a:r>
            <a:r>
              <a:rPr lang="fr-FR" sz="1600" baseline="30000">
                <a:solidFill>
                  <a:sysClr val="windowText" lastClr="000000"/>
                </a:solidFill>
              </a:rPr>
              <a:t>2</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fr-FR"/>
        </a:p>
      </c:txPr>
    </c:title>
    <c:autoTitleDeleted val="0"/>
    <c:plotArea>
      <c:layout/>
      <c:lineChart>
        <c:grouping val="standard"/>
        <c:varyColors val="0"/>
        <c:ser>
          <c:idx val="0"/>
          <c:order val="0"/>
          <c:tx>
            <c:strRef>
              <c:f>'Fig. 3'!$H$6</c:f>
              <c:strCache>
                <c:ptCount val="1"/>
                <c:pt idx="0">
                  <c:v>Fonctionnaires</c:v>
                </c:pt>
              </c:strCache>
            </c:strRef>
          </c:tx>
          <c:spPr>
            <a:ln w="19050" cap="rnd">
              <a:solidFill>
                <a:srgbClr val="37635F"/>
              </a:solidFill>
              <a:round/>
            </a:ln>
            <a:effectLst/>
          </c:spPr>
          <c:marker>
            <c:symbol val="none"/>
          </c:marker>
          <c:cat>
            <c:numRef>
              <c:f>'Fig. 3'!$B$7:$B$62</c:f>
              <c:numCache>
                <c:formatCode>General</c:formatCode>
                <c:ptCount val="5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cat>
          <c:val>
            <c:numRef>
              <c:f>'Fig. 3'!$H$7:$H$62</c:f>
              <c:numCache>
                <c:formatCode>0.00</c:formatCode>
                <c:ptCount val="56"/>
                <c:pt idx="0">
                  <c:v>0</c:v>
                </c:pt>
                <c:pt idx="1">
                  <c:v>0</c:v>
                </c:pt>
                <c:pt idx="2">
                  <c:v>0</c:v>
                </c:pt>
                <c:pt idx="3">
                  <c:v>0</c:v>
                </c:pt>
                <c:pt idx="4">
                  <c:v>0</c:v>
                </c:pt>
                <c:pt idx="5">
                  <c:v>0.02</c:v>
                </c:pt>
                <c:pt idx="6">
                  <c:v>0.05</c:v>
                </c:pt>
                <c:pt idx="7">
                  <c:v>0.14000000000000001</c:v>
                </c:pt>
                <c:pt idx="8">
                  <c:v>0.32</c:v>
                </c:pt>
                <c:pt idx="9">
                  <c:v>0.55000000000000004</c:v>
                </c:pt>
                <c:pt idx="10">
                  <c:v>0.71</c:v>
                </c:pt>
                <c:pt idx="11">
                  <c:v>0.87</c:v>
                </c:pt>
                <c:pt idx="12">
                  <c:v>1.02</c:v>
                </c:pt>
                <c:pt idx="13">
                  <c:v>1.06</c:v>
                </c:pt>
                <c:pt idx="14">
                  <c:v>1.1499999999999999</c:v>
                </c:pt>
                <c:pt idx="15">
                  <c:v>1.18</c:v>
                </c:pt>
                <c:pt idx="16">
                  <c:v>1.21</c:v>
                </c:pt>
                <c:pt idx="17">
                  <c:v>1.27</c:v>
                </c:pt>
                <c:pt idx="18">
                  <c:v>1.32</c:v>
                </c:pt>
                <c:pt idx="19">
                  <c:v>1.3</c:v>
                </c:pt>
                <c:pt idx="20">
                  <c:v>1.33</c:v>
                </c:pt>
                <c:pt idx="21">
                  <c:v>1.32</c:v>
                </c:pt>
                <c:pt idx="22">
                  <c:v>1.34</c:v>
                </c:pt>
                <c:pt idx="23">
                  <c:v>1.34</c:v>
                </c:pt>
                <c:pt idx="24">
                  <c:v>1.22</c:v>
                </c:pt>
                <c:pt idx="25">
                  <c:v>1.24</c:v>
                </c:pt>
                <c:pt idx="26">
                  <c:v>1.1599999999999999</c:v>
                </c:pt>
                <c:pt idx="27">
                  <c:v>1.26</c:v>
                </c:pt>
                <c:pt idx="28">
                  <c:v>1.21</c:v>
                </c:pt>
                <c:pt idx="29">
                  <c:v>1.19</c:v>
                </c:pt>
                <c:pt idx="30">
                  <c:v>1.1200000000000001</c:v>
                </c:pt>
                <c:pt idx="31">
                  <c:v>1.1200000000000001</c:v>
                </c:pt>
                <c:pt idx="32">
                  <c:v>1.1200000000000001</c:v>
                </c:pt>
                <c:pt idx="33">
                  <c:v>1.06</c:v>
                </c:pt>
                <c:pt idx="34">
                  <c:v>1.1000000000000001</c:v>
                </c:pt>
                <c:pt idx="35">
                  <c:v>1.19</c:v>
                </c:pt>
                <c:pt idx="36">
                  <c:v>1.27</c:v>
                </c:pt>
                <c:pt idx="37">
                  <c:v>1.31</c:v>
                </c:pt>
                <c:pt idx="38">
                  <c:v>1.32</c:v>
                </c:pt>
                <c:pt idx="39">
                  <c:v>1.33</c:v>
                </c:pt>
                <c:pt idx="40">
                  <c:v>1.4</c:v>
                </c:pt>
                <c:pt idx="41">
                  <c:v>1.43</c:v>
                </c:pt>
                <c:pt idx="42">
                  <c:v>2.1</c:v>
                </c:pt>
                <c:pt idx="43">
                  <c:v>2.71</c:v>
                </c:pt>
                <c:pt idx="44">
                  <c:v>2.4900000000000002</c:v>
                </c:pt>
                <c:pt idx="45">
                  <c:v>4.3499999999999996</c:v>
                </c:pt>
                <c:pt idx="46">
                  <c:v>6.43</c:v>
                </c:pt>
                <c:pt idx="47">
                  <c:v>10.47</c:v>
                </c:pt>
                <c:pt idx="48">
                  <c:v>12.76</c:v>
                </c:pt>
                <c:pt idx="49">
                  <c:v>6.35</c:v>
                </c:pt>
                <c:pt idx="50">
                  <c:v>4.51</c:v>
                </c:pt>
                <c:pt idx="51">
                  <c:v>2.8</c:v>
                </c:pt>
                <c:pt idx="52">
                  <c:v>4.1399999999999997</c:v>
                </c:pt>
                <c:pt idx="53">
                  <c:v>0.88</c:v>
                </c:pt>
                <c:pt idx="54">
                  <c:v>0.27</c:v>
                </c:pt>
                <c:pt idx="55">
                  <c:v>0.14000000000000001</c:v>
                </c:pt>
              </c:numCache>
            </c:numRef>
          </c:val>
          <c:smooth val="0"/>
          <c:extLst>
            <c:ext xmlns:c16="http://schemas.microsoft.com/office/drawing/2014/chart" uri="{C3380CC4-5D6E-409C-BE32-E72D297353CC}">
              <c16:uniqueId val="{00000000-F026-4325-A766-CA3BB2620FD3}"/>
            </c:ext>
          </c:extLst>
        </c:ser>
        <c:ser>
          <c:idx val="1"/>
          <c:order val="1"/>
          <c:tx>
            <c:strRef>
              <c:f>'Fig. 3'!$I$6</c:f>
              <c:strCache>
                <c:ptCount val="1"/>
                <c:pt idx="0">
                  <c:v>Contractuels</c:v>
                </c:pt>
              </c:strCache>
            </c:strRef>
          </c:tx>
          <c:spPr>
            <a:ln w="19050" cap="rnd">
              <a:solidFill>
                <a:srgbClr val="CE614A"/>
              </a:solidFill>
              <a:round/>
            </a:ln>
            <a:effectLst/>
          </c:spPr>
          <c:marker>
            <c:symbol val="none"/>
          </c:marker>
          <c:cat>
            <c:numRef>
              <c:f>'Fig. 3'!$B$7:$B$62</c:f>
              <c:numCache>
                <c:formatCode>General</c:formatCode>
                <c:ptCount val="5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cat>
          <c:val>
            <c:numRef>
              <c:f>'Fig. 3'!$I$7:$I$62</c:f>
              <c:numCache>
                <c:formatCode>0.00</c:formatCode>
                <c:ptCount val="56"/>
                <c:pt idx="0">
                  <c:v>0</c:v>
                </c:pt>
                <c:pt idx="1">
                  <c:v>0.01</c:v>
                </c:pt>
                <c:pt idx="2">
                  <c:v>0.15</c:v>
                </c:pt>
                <c:pt idx="3">
                  <c:v>0.56999999999999995</c:v>
                </c:pt>
                <c:pt idx="4">
                  <c:v>1.58</c:v>
                </c:pt>
                <c:pt idx="5">
                  <c:v>2.97</c:v>
                </c:pt>
                <c:pt idx="6">
                  <c:v>3.83</c:v>
                </c:pt>
                <c:pt idx="7">
                  <c:v>4.24</c:v>
                </c:pt>
                <c:pt idx="8">
                  <c:v>4.57</c:v>
                </c:pt>
                <c:pt idx="9">
                  <c:v>4.5999999999999996</c:v>
                </c:pt>
                <c:pt idx="10">
                  <c:v>4.29</c:v>
                </c:pt>
                <c:pt idx="11">
                  <c:v>4.21</c:v>
                </c:pt>
                <c:pt idx="12">
                  <c:v>4.17</c:v>
                </c:pt>
                <c:pt idx="13">
                  <c:v>3.73</c:v>
                </c:pt>
                <c:pt idx="14">
                  <c:v>3.31</c:v>
                </c:pt>
                <c:pt idx="15">
                  <c:v>2.91</c:v>
                </c:pt>
                <c:pt idx="16">
                  <c:v>2.68</c:v>
                </c:pt>
                <c:pt idx="17">
                  <c:v>2.4900000000000002</c:v>
                </c:pt>
                <c:pt idx="18">
                  <c:v>2.34</c:v>
                </c:pt>
                <c:pt idx="19">
                  <c:v>2.2200000000000002</c:v>
                </c:pt>
                <c:pt idx="20">
                  <c:v>2.11</c:v>
                </c:pt>
                <c:pt idx="21">
                  <c:v>1.99</c:v>
                </c:pt>
                <c:pt idx="22">
                  <c:v>1.9</c:v>
                </c:pt>
                <c:pt idx="23">
                  <c:v>1.84</c:v>
                </c:pt>
                <c:pt idx="24">
                  <c:v>1.77</c:v>
                </c:pt>
                <c:pt idx="25">
                  <c:v>1.68</c:v>
                </c:pt>
                <c:pt idx="26">
                  <c:v>1.59</c:v>
                </c:pt>
                <c:pt idx="27">
                  <c:v>1.6</c:v>
                </c:pt>
                <c:pt idx="28">
                  <c:v>1.52</c:v>
                </c:pt>
                <c:pt idx="29">
                  <c:v>1.46</c:v>
                </c:pt>
                <c:pt idx="30">
                  <c:v>1.38</c:v>
                </c:pt>
                <c:pt idx="31">
                  <c:v>1.32</c:v>
                </c:pt>
                <c:pt idx="32">
                  <c:v>1.27</c:v>
                </c:pt>
                <c:pt idx="33">
                  <c:v>1.24</c:v>
                </c:pt>
                <c:pt idx="34">
                  <c:v>1.24</c:v>
                </c:pt>
                <c:pt idx="35">
                  <c:v>1.24</c:v>
                </c:pt>
                <c:pt idx="36">
                  <c:v>1.3</c:v>
                </c:pt>
                <c:pt idx="37">
                  <c:v>1.23</c:v>
                </c:pt>
                <c:pt idx="38">
                  <c:v>1.2</c:v>
                </c:pt>
                <c:pt idx="39">
                  <c:v>1.1299999999999999</c:v>
                </c:pt>
                <c:pt idx="40">
                  <c:v>1.08</c:v>
                </c:pt>
                <c:pt idx="41">
                  <c:v>1.03</c:v>
                </c:pt>
                <c:pt idx="42">
                  <c:v>0.99</c:v>
                </c:pt>
                <c:pt idx="43">
                  <c:v>0.97</c:v>
                </c:pt>
                <c:pt idx="44">
                  <c:v>0.94</c:v>
                </c:pt>
                <c:pt idx="45">
                  <c:v>1.1100000000000001</c:v>
                </c:pt>
                <c:pt idx="46">
                  <c:v>1.22</c:v>
                </c:pt>
                <c:pt idx="47">
                  <c:v>1.58</c:v>
                </c:pt>
                <c:pt idx="48">
                  <c:v>1.55</c:v>
                </c:pt>
                <c:pt idx="49">
                  <c:v>1.0900000000000001</c:v>
                </c:pt>
                <c:pt idx="50">
                  <c:v>0.94</c:v>
                </c:pt>
                <c:pt idx="51">
                  <c:v>0.7</c:v>
                </c:pt>
                <c:pt idx="52">
                  <c:v>0.91</c:v>
                </c:pt>
                <c:pt idx="53">
                  <c:v>0.48</c:v>
                </c:pt>
                <c:pt idx="54">
                  <c:v>0.27</c:v>
                </c:pt>
                <c:pt idx="55">
                  <c:v>0.25</c:v>
                </c:pt>
              </c:numCache>
            </c:numRef>
          </c:val>
          <c:smooth val="0"/>
          <c:extLst>
            <c:ext xmlns:c16="http://schemas.microsoft.com/office/drawing/2014/chart" uri="{C3380CC4-5D6E-409C-BE32-E72D297353CC}">
              <c16:uniqueId val="{00000001-F026-4325-A766-CA3BB2620FD3}"/>
            </c:ext>
          </c:extLst>
        </c:ser>
        <c:ser>
          <c:idx val="2"/>
          <c:order val="2"/>
          <c:tx>
            <c:strRef>
              <c:f>'Fig. 3'!$J$6</c:f>
              <c:strCache>
                <c:ptCount val="1"/>
                <c:pt idx="0">
                  <c:v>Autres catégories et statuts</c:v>
                </c:pt>
              </c:strCache>
            </c:strRef>
          </c:tx>
          <c:spPr>
            <a:ln w="19050" cap="rnd">
              <a:solidFill>
                <a:srgbClr val="34BAB5"/>
              </a:solidFill>
              <a:round/>
            </a:ln>
            <a:effectLst/>
          </c:spPr>
          <c:marker>
            <c:symbol val="none"/>
          </c:marker>
          <c:cat>
            <c:numRef>
              <c:f>'Fig. 3'!$B$7:$B$62</c:f>
              <c:numCache>
                <c:formatCode>General</c:formatCode>
                <c:ptCount val="5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cat>
          <c:val>
            <c:numRef>
              <c:f>'Fig. 3'!$J$7:$J$62</c:f>
              <c:numCache>
                <c:formatCode>0.00</c:formatCode>
                <c:ptCount val="56"/>
                <c:pt idx="0">
                  <c:v>0</c:v>
                </c:pt>
                <c:pt idx="1">
                  <c:v>0.18</c:v>
                </c:pt>
                <c:pt idx="2">
                  <c:v>1.02</c:v>
                </c:pt>
                <c:pt idx="3">
                  <c:v>1.56</c:v>
                </c:pt>
                <c:pt idx="4">
                  <c:v>2.2799999999999998</c:v>
                </c:pt>
                <c:pt idx="5">
                  <c:v>3.23</c:v>
                </c:pt>
                <c:pt idx="6">
                  <c:v>4.88</c:v>
                </c:pt>
                <c:pt idx="7">
                  <c:v>3.53</c:v>
                </c:pt>
                <c:pt idx="8">
                  <c:v>4.82</c:v>
                </c:pt>
                <c:pt idx="9">
                  <c:v>3.96</c:v>
                </c:pt>
                <c:pt idx="10">
                  <c:v>2.83</c:v>
                </c:pt>
                <c:pt idx="11">
                  <c:v>2.4</c:v>
                </c:pt>
                <c:pt idx="12">
                  <c:v>3.61</c:v>
                </c:pt>
                <c:pt idx="13">
                  <c:v>5.24</c:v>
                </c:pt>
                <c:pt idx="14">
                  <c:v>4.1900000000000004</c:v>
                </c:pt>
                <c:pt idx="15">
                  <c:v>3.64</c:v>
                </c:pt>
                <c:pt idx="16">
                  <c:v>3.16</c:v>
                </c:pt>
                <c:pt idx="17">
                  <c:v>2.85</c:v>
                </c:pt>
                <c:pt idx="18">
                  <c:v>2.33</c:v>
                </c:pt>
                <c:pt idx="19">
                  <c:v>1.94</c:v>
                </c:pt>
                <c:pt idx="20">
                  <c:v>1.74</c:v>
                </c:pt>
                <c:pt idx="21">
                  <c:v>1.66</c:v>
                </c:pt>
                <c:pt idx="22">
                  <c:v>1.38</c:v>
                </c:pt>
                <c:pt idx="23">
                  <c:v>1.25</c:v>
                </c:pt>
                <c:pt idx="24">
                  <c:v>1.1399999999999999</c:v>
                </c:pt>
                <c:pt idx="25">
                  <c:v>0.99</c:v>
                </c:pt>
                <c:pt idx="26">
                  <c:v>0.89</c:v>
                </c:pt>
                <c:pt idx="27">
                  <c:v>0.84</c:v>
                </c:pt>
                <c:pt idx="28">
                  <c:v>0.85</c:v>
                </c:pt>
                <c:pt idx="29">
                  <c:v>0.89</c:v>
                </c:pt>
                <c:pt idx="30">
                  <c:v>0.79</c:v>
                </c:pt>
                <c:pt idx="31">
                  <c:v>0.81</c:v>
                </c:pt>
                <c:pt idx="32">
                  <c:v>0.72</c:v>
                </c:pt>
                <c:pt idx="33">
                  <c:v>0.7</c:v>
                </c:pt>
                <c:pt idx="34">
                  <c:v>0.74</c:v>
                </c:pt>
                <c:pt idx="35">
                  <c:v>0.82</c:v>
                </c:pt>
                <c:pt idx="36">
                  <c:v>0.71</c:v>
                </c:pt>
                <c:pt idx="37">
                  <c:v>0.75</c:v>
                </c:pt>
                <c:pt idx="38">
                  <c:v>0.81</c:v>
                </c:pt>
                <c:pt idx="39">
                  <c:v>0.82</c:v>
                </c:pt>
                <c:pt idx="40">
                  <c:v>0.75</c:v>
                </c:pt>
                <c:pt idx="41">
                  <c:v>0.76</c:v>
                </c:pt>
                <c:pt idx="42">
                  <c:v>0.79</c:v>
                </c:pt>
                <c:pt idx="43">
                  <c:v>0.82</c:v>
                </c:pt>
                <c:pt idx="44">
                  <c:v>0.99</c:v>
                </c:pt>
                <c:pt idx="45">
                  <c:v>1.68</c:v>
                </c:pt>
                <c:pt idx="46">
                  <c:v>1.68</c:v>
                </c:pt>
                <c:pt idx="47">
                  <c:v>2.82</c:v>
                </c:pt>
                <c:pt idx="48">
                  <c:v>3.36</c:v>
                </c:pt>
                <c:pt idx="49">
                  <c:v>2.21</c:v>
                </c:pt>
                <c:pt idx="50">
                  <c:v>1.9</c:v>
                </c:pt>
                <c:pt idx="51">
                  <c:v>1.33</c:v>
                </c:pt>
                <c:pt idx="52">
                  <c:v>1.87</c:v>
                </c:pt>
                <c:pt idx="53">
                  <c:v>0.95</c:v>
                </c:pt>
                <c:pt idx="54">
                  <c:v>0.57999999999999996</c:v>
                </c:pt>
                <c:pt idx="55">
                  <c:v>0.56000000000000005</c:v>
                </c:pt>
              </c:numCache>
            </c:numRef>
          </c:val>
          <c:smooth val="0"/>
          <c:extLst>
            <c:ext xmlns:c16="http://schemas.microsoft.com/office/drawing/2014/chart" uri="{C3380CC4-5D6E-409C-BE32-E72D297353CC}">
              <c16:uniqueId val="{00000002-F026-4325-A766-CA3BB2620FD3}"/>
            </c:ext>
          </c:extLst>
        </c:ser>
        <c:dLbls>
          <c:showLegendKey val="0"/>
          <c:showVal val="0"/>
          <c:showCatName val="0"/>
          <c:showSerName val="0"/>
          <c:showPercent val="0"/>
          <c:showBubbleSize val="0"/>
        </c:dLbls>
        <c:smooth val="0"/>
        <c:axId val="1302264560"/>
        <c:axId val="1302265392"/>
      </c:lineChart>
      <c:catAx>
        <c:axId val="130226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1302265392"/>
        <c:crosses val="autoZero"/>
        <c:auto val="1"/>
        <c:lblAlgn val="ctr"/>
        <c:lblOffset val="100"/>
        <c:noMultiLvlLbl val="0"/>
      </c:catAx>
      <c:valAx>
        <c:axId val="130226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crossAx val="130226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0.125"/>
          <c:w val="0.87129396325459318"/>
          <c:h val="0.79074876057159504"/>
        </c:manualLayout>
      </c:layout>
      <c:barChart>
        <c:barDir val="col"/>
        <c:grouping val="clustered"/>
        <c:varyColors val="0"/>
        <c:ser>
          <c:idx val="0"/>
          <c:order val="0"/>
          <c:tx>
            <c:strRef>
              <c:f>'Fig. 5'!$B$6</c:f>
              <c:strCache>
                <c:ptCount val="1"/>
                <c:pt idx="0">
                  <c:v>Contractuels</c:v>
                </c:pt>
              </c:strCache>
            </c:strRef>
          </c:tx>
          <c:spPr>
            <a:solidFill>
              <a:srgbClr val="CE614A"/>
            </a:solidFill>
            <a:ln>
              <a:solidFill>
                <a:srgbClr val="CE614A"/>
              </a:solidFill>
            </a:ln>
            <a:effectLst/>
          </c:spPr>
          <c:invertIfNegative val="0"/>
          <c:cat>
            <c:numRef>
              <c:f>'Fig. 5'!$C$5:$K$5</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'Fig. 5'!$C$6:$K$6</c:f>
              <c:numCache>
                <c:formatCode>0.0</c:formatCode>
                <c:ptCount val="9"/>
                <c:pt idx="0">
                  <c:v>217.6</c:v>
                </c:pt>
                <c:pt idx="1">
                  <c:v>225.2</c:v>
                </c:pt>
                <c:pt idx="2">
                  <c:v>233.3</c:v>
                </c:pt>
                <c:pt idx="3">
                  <c:v>248.8</c:v>
                </c:pt>
                <c:pt idx="4">
                  <c:v>225.6</c:v>
                </c:pt>
                <c:pt idx="5">
                  <c:v>279.39699999999999</c:v>
                </c:pt>
                <c:pt idx="6">
                  <c:v>269.745</c:v>
                </c:pt>
                <c:pt idx="7">
                  <c:v>309.14299999999997</c:v>
                </c:pt>
                <c:pt idx="8">
                  <c:v>307.13400000000001</c:v>
                </c:pt>
              </c:numCache>
            </c:numRef>
          </c:val>
          <c:extLst>
            <c:ext xmlns:c16="http://schemas.microsoft.com/office/drawing/2014/chart" uri="{C3380CC4-5D6E-409C-BE32-E72D297353CC}">
              <c16:uniqueId val="{00000000-7EC2-42C9-AF6E-F3632DDB2B12}"/>
            </c:ext>
          </c:extLst>
        </c:ser>
        <c:dLbls>
          <c:showLegendKey val="0"/>
          <c:showVal val="0"/>
          <c:showCatName val="0"/>
          <c:showSerName val="0"/>
          <c:showPercent val="0"/>
          <c:showBubbleSize val="0"/>
        </c:dLbls>
        <c:gapWidth val="219"/>
        <c:overlap val="-27"/>
        <c:axId val="2002760767"/>
        <c:axId val="2002761183"/>
      </c:barChart>
      <c:catAx>
        <c:axId val="200276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02761183"/>
        <c:crosses val="autoZero"/>
        <c:auto val="1"/>
        <c:lblAlgn val="ctr"/>
        <c:lblOffset val="100"/>
        <c:noMultiLvlLbl val="0"/>
      </c:catAx>
      <c:valAx>
        <c:axId val="200276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20027607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82260</xdr:colOff>
      <xdr:row>5</xdr:row>
      <xdr:rowOff>4329</xdr:rowOff>
    </xdr:from>
    <xdr:to>
      <xdr:col>21</xdr:col>
      <xdr:colOff>228599</xdr:colOff>
      <xdr:row>28</xdr:row>
      <xdr:rowOff>133350</xdr:rowOff>
    </xdr:to>
    <xdr:graphicFrame macro="">
      <xdr:nvGraphicFramePr>
        <xdr:cNvPr id="2" name="Graphique 1">
          <a:extLst>
            <a:ext uri="{FF2B5EF4-FFF2-40B4-BE49-F238E27FC236}">
              <a16:creationId xmlns:a16="http://schemas.microsoft.com/office/drawing/2014/main" id="{B60726C0-3EA4-4226-825B-76F823D31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43889</xdr:colOff>
      <xdr:row>31</xdr:row>
      <xdr:rowOff>28200</xdr:rowOff>
    </xdr:from>
    <xdr:to>
      <xdr:col>21</xdr:col>
      <xdr:colOff>619125</xdr:colOff>
      <xdr:row>55</xdr:row>
      <xdr:rowOff>38100</xdr:rowOff>
    </xdr:to>
    <xdr:graphicFrame macro="">
      <xdr:nvGraphicFramePr>
        <xdr:cNvPr id="3" name="Graphique 2">
          <a:extLst>
            <a:ext uri="{FF2B5EF4-FFF2-40B4-BE49-F238E27FC236}">
              <a16:creationId xmlns:a16="http://schemas.microsoft.com/office/drawing/2014/main" id="{1089429D-CA23-453A-9CC3-7470B3F89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0.00762</cdr:x>
      <cdr:y>0.01125</cdr:y>
    </cdr:from>
    <cdr:to>
      <cdr:x>0.09767</cdr:x>
      <cdr:y>0.06351</cdr:y>
    </cdr:to>
    <cdr:sp macro="" textlink="">
      <cdr:nvSpPr>
        <cdr:cNvPr id="2" name="ZoneTexte 1">
          <a:extLst xmlns:a="http://schemas.openxmlformats.org/drawingml/2006/main">
            <a:ext uri="{FF2B5EF4-FFF2-40B4-BE49-F238E27FC236}">
              <a16:creationId xmlns:a16="http://schemas.microsoft.com/office/drawing/2014/main" id="{677FAC32-9EF2-4318-B79B-6B6BA5EF0C8F}"/>
            </a:ext>
          </a:extLst>
        </cdr:cNvPr>
        <cdr:cNvSpPr txBox="1"/>
      </cdr:nvSpPr>
      <cdr:spPr>
        <a:xfrm xmlns:a="http://schemas.openxmlformats.org/drawingml/2006/main">
          <a:off x="50800" y="50800"/>
          <a:ext cx="600030" cy="23592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fr-FR" sz="1100"/>
            <a:t>en %</a:t>
          </a:r>
        </a:p>
      </cdr:txBody>
    </cdr:sp>
  </cdr:relSizeAnchor>
</c:userShapes>
</file>

<file path=xl/drawings/drawing3.xml><?xml version="1.0" encoding="utf-8"?>
<c:userShapes xmlns:c="http://schemas.openxmlformats.org/drawingml/2006/chart">
  <cdr:relSizeAnchor xmlns:cdr="http://schemas.openxmlformats.org/drawingml/2006/chartDrawing">
    <cdr:from>
      <cdr:x>0.00763</cdr:x>
      <cdr:y>0.01134</cdr:y>
    </cdr:from>
    <cdr:to>
      <cdr:x>0.09769</cdr:x>
      <cdr:y>0.06398</cdr:y>
    </cdr:to>
    <cdr:sp macro="" textlink="">
      <cdr:nvSpPr>
        <cdr:cNvPr id="2" name="ZoneTexte 1">
          <a:extLst xmlns:a="http://schemas.openxmlformats.org/drawingml/2006/main">
            <a:ext uri="{FF2B5EF4-FFF2-40B4-BE49-F238E27FC236}">
              <a16:creationId xmlns:a16="http://schemas.microsoft.com/office/drawing/2014/main" id="{677FAC32-9EF2-4318-B79B-6B6BA5EF0C8F}"/>
            </a:ext>
          </a:extLst>
        </cdr:cNvPr>
        <cdr:cNvSpPr txBox="1"/>
      </cdr:nvSpPr>
      <cdr:spPr>
        <a:xfrm xmlns:a="http://schemas.openxmlformats.org/drawingml/2006/main">
          <a:off x="50800" y="50800"/>
          <a:ext cx="600030" cy="23592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fr-FR" sz="1100"/>
            <a:t>en %</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28575</xdr:colOff>
      <xdr:row>11</xdr:row>
      <xdr:rowOff>128587</xdr:rowOff>
    </xdr:from>
    <xdr:to>
      <xdr:col>7</xdr:col>
      <xdr:colOff>28575</xdr:colOff>
      <xdr:row>26</xdr:row>
      <xdr:rowOff>14287</xdr:rowOff>
    </xdr:to>
    <xdr:graphicFrame macro="">
      <xdr:nvGraphicFramePr>
        <xdr:cNvPr id="3" name="Graphique 2">
          <a:extLst>
            <a:ext uri="{FF2B5EF4-FFF2-40B4-BE49-F238E27FC236}">
              <a16:creationId xmlns:a16="http://schemas.microsoft.com/office/drawing/2014/main" id="{1E26B975-28DE-4474-9462-EDC8A6660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0.11201</cdr:x>
      <cdr:y>0.07778</cdr:y>
    </cdr:to>
    <cdr:pic>
      <cdr:nvPicPr>
        <cdr:cNvPr id="4" name="chart">
          <a:extLst xmlns:a="http://schemas.openxmlformats.org/drawingml/2006/main">
            <a:ext uri="{FF2B5EF4-FFF2-40B4-BE49-F238E27FC236}">
              <a16:creationId xmlns:a16="http://schemas.microsoft.com/office/drawing/2014/main" id="{A3D7160C-86B8-4524-B8C2-F397AD8294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512108" cy="213378"/>
        </a:xfrm>
        <a:prstGeom xmlns:a="http://schemas.openxmlformats.org/drawingml/2006/main" prst="rect">
          <a:avLst/>
        </a:prstGeom>
      </cdr:spPr>
    </cdr:pic>
  </cdr:relSizeAnchor>
</c:userShap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04D8-9ABC-479D-834E-1F9046B42350}">
  <dimension ref="B2:D11"/>
  <sheetViews>
    <sheetView showGridLines="0" tabSelected="1" zoomScaleNormal="100" workbookViewId="0"/>
  </sheetViews>
  <sheetFormatPr baseColWidth="10" defaultColWidth="11.42578125" defaultRowHeight="12.75" x14ac:dyDescent="0.2"/>
  <cols>
    <col min="1" max="1" width="4.140625" style="5" customWidth="1"/>
    <col min="2" max="2" width="115.85546875" style="5" customWidth="1"/>
    <col min="3" max="3" width="15.140625" style="5" bestFit="1" customWidth="1"/>
    <col min="4" max="4" width="16.85546875" style="5" customWidth="1"/>
    <col min="5" max="16384" width="11.42578125" style="5"/>
  </cols>
  <sheetData>
    <row r="2" spans="2:4" x14ac:dyDescent="0.2">
      <c r="B2" s="21" t="s">
        <v>27</v>
      </c>
      <c r="C2" s="22"/>
      <c r="D2" s="22"/>
    </row>
    <row r="3" spans="2:4" ht="76.5" x14ac:dyDescent="0.2">
      <c r="B3" s="15"/>
      <c r="C3" s="16" t="s">
        <v>87</v>
      </c>
      <c r="D3" s="16" t="s">
        <v>88</v>
      </c>
    </row>
    <row r="4" spans="2:4" x14ac:dyDescent="0.2">
      <c r="B4" s="125" t="s">
        <v>89</v>
      </c>
      <c r="C4" s="17" t="s">
        <v>18</v>
      </c>
      <c r="D4" s="78" t="s">
        <v>19</v>
      </c>
    </row>
    <row r="5" spans="2:4" x14ac:dyDescent="0.2">
      <c r="B5" s="125" t="s">
        <v>90</v>
      </c>
      <c r="C5" s="18" t="s">
        <v>20</v>
      </c>
      <c r="D5" s="78"/>
    </row>
    <row r="6" spans="2:4" x14ac:dyDescent="0.2">
      <c r="B6" s="125" t="s">
        <v>120</v>
      </c>
      <c r="C6" s="17" t="s">
        <v>22</v>
      </c>
      <c r="D6" s="78"/>
    </row>
    <row r="7" spans="2:4" x14ac:dyDescent="0.2">
      <c r="B7" s="125" t="s">
        <v>60</v>
      </c>
      <c r="C7" s="17" t="s">
        <v>21</v>
      </c>
      <c r="D7" s="19" t="s">
        <v>19</v>
      </c>
    </row>
    <row r="8" spans="2:4" x14ac:dyDescent="0.2">
      <c r="B8" s="125" t="s">
        <v>121</v>
      </c>
      <c r="C8" s="17" t="s">
        <v>23</v>
      </c>
      <c r="D8" s="19" t="s">
        <v>19</v>
      </c>
    </row>
    <row r="9" spans="2:4" x14ac:dyDescent="0.2">
      <c r="B9" s="125" t="s">
        <v>122</v>
      </c>
      <c r="C9" s="17" t="s">
        <v>24</v>
      </c>
      <c r="D9" s="20"/>
    </row>
    <row r="10" spans="2:4" x14ac:dyDescent="0.2">
      <c r="B10" s="125" t="s">
        <v>123</v>
      </c>
      <c r="C10" s="17" t="s">
        <v>25</v>
      </c>
      <c r="D10" s="20"/>
    </row>
    <row r="11" spans="2:4" x14ac:dyDescent="0.2">
      <c r="B11" s="125" t="s">
        <v>92</v>
      </c>
      <c r="C11" s="17" t="s">
        <v>26</v>
      </c>
      <c r="D11" s="78" t="s">
        <v>19</v>
      </c>
    </row>
  </sheetData>
  <hyperlinks>
    <hyperlink ref="B6" location="'Encadré 1'!A1" display="Entrées et sorties par versant et statut de la fonction publique" xr:uid="{BB67E19D-01B6-41B9-A493-AF9B17700A41}"/>
    <hyperlink ref="B7" location="'Fig. 3'!A1" display="Profil par âge, de 15 à 70 ans, des entrants et des sortants de la fonction publique civile en 2024" xr:uid="{EA536EE9-489B-4D86-9C3B-A914E59B21D0}"/>
    <hyperlink ref="B4" location="'Fig. 1'!A1" display="Nombre d'entrants et de sortants de la fonction publique et taux d'entrée et de sortie, par versant, sexe et statut en 2021" xr:uid="{5EECCA7A-EBFD-4CAE-B9DD-64A6262B67B5}"/>
    <hyperlink ref="B8" location="'Fig. 4'!A1" display="Postes occupés moins de un an au cours de lʼannée 2024, par versant et par statut" xr:uid="{F1BD5352-A8D7-45B4-ABAC-90211583DBBE}"/>
    <hyperlink ref="B10" location="'Encadré 2'!A1" display="Entrées en contrat d'apprentissage par versant et catégorie d'employeur" xr:uid="{4FC0748A-9B88-48ED-BBC5-2B5E526F08F4}"/>
    <hyperlink ref="B5" location="'Fig. 2'!A1" display="Nombre dʼentrants et de sortants dans la fonction publique civile et taux dʼentrée et de sortie, par versant et statut en 2024" xr:uid="{FB11E9C4-1AB9-4F7D-980A-BEF2FF390732}"/>
    <hyperlink ref="B11" location="'Encadré 3'!A1" display="Les ruptures conventionnelles entre 2020 et 2022" xr:uid="{A5B5FA94-946C-4D2B-9195-5D80A4D5EC63}"/>
    <hyperlink ref="B9" location="'Fig. 5'!A1" display="Postes de contractuels de la fonction publique civile de moins de un an depuis 2016" xr:uid="{7083457D-D2B1-4C61-A65D-837ECEF98D2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30C2-CC58-493D-B5EB-FF5FB6B43611}">
  <dimension ref="B2:P40"/>
  <sheetViews>
    <sheetView showGridLines="0" zoomScale="90" zoomScaleNormal="90" workbookViewId="0"/>
  </sheetViews>
  <sheetFormatPr baseColWidth="10" defaultColWidth="11.42578125" defaultRowHeight="12.75" x14ac:dyDescent="0.2"/>
  <cols>
    <col min="1" max="1" width="3.7109375" style="5" customWidth="1"/>
    <col min="2" max="2" width="30.5703125" style="5" customWidth="1"/>
    <col min="3" max="6" width="11.42578125" style="5"/>
    <col min="7" max="7" width="14" style="5" customWidth="1"/>
    <col min="8" max="9" width="11.42578125" style="5"/>
    <col min="10" max="10" width="14.7109375" style="5" customWidth="1"/>
    <col min="11" max="11" width="15.7109375" style="5" customWidth="1"/>
    <col min="12" max="12" width="11.42578125" style="5"/>
    <col min="13" max="13" width="14.140625" style="5" customWidth="1"/>
    <col min="14" max="14" width="6.42578125" style="5" customWidth="1"/>
    <col min="15" max="16384" width="11.42578125" style="5"/>
  </cols>
  <sheetData>
    <row r="2" spans="2:16" x14ac:dyDescent="0.2">
      <c r="B2" s="151" t="s">
        <v>62</v>
      </c>
      <c r="C2" s="151"/>
      <c r="D2" s="151"/>
      <c r="E2" s="151"/>
      <c r="F2" s="151"/>
      <c r="G2" s="151"/>
      <c r="H2" s="151"/>
      <c r="I2" s="151"/>
      <c r="J2" s="151"/>
      <c r="K2" s="151"/>
    </row>
    <row r="3" spans="2:16" x14ac:dyDescent="0.2">
      <c r="B3" s="151"/>
      <c r="C3" s="151"/>
      <c r="D3" s="151"/>
      <c r="E3" s="151"/>
      <c r="F3" s="151"/>
      <c r="G3" s="151"/>
      <c r="H3" s="151"/>
      <c r="I3" s="151"/>
      <c r="J3" s="151"/>
      <c r="K3" s="151"/>
    </row>
    <row r="4" spans="2:16" ht="14.25" x14ac:dyDescent="0.2">
      <c r="B4" s="205"/>
      <c r="C4" s="206"/>
      <c r="D4" s="209" t="s">
        <v>4</v>
      </c>
      <c r="E4" s="210"/>
      <c r="F4" s="210"/>
      <c r="G4" s="211"/>
      <c r="H4" s="212" t="s">
        <v>5</v>
      </c>
      <c r="I4" s="212"/>
      <c r="J4" s="212"/>
      <c r="K4" s="213"/>
      <c r="L4" s="214" t="s">
        <v>93</v>
      </c>
      <c r="M4" s="215"/>
    </row>
    <row r="5" spans="2:16" ht="51" x14ac:dyDescent="0.2">
      <c r="B5" s="207"/>
      <c r="C5" s="208"/>
      <c r="D5" s="152" t="s">
        <v>94</v>
      </c>
      <c r="E5" s="153" t="s">
        <v>53</v>
      </c>
      <c r="F5" s="153" t="s">
        <v>95</v>
      </c>
      <c r="G5" s="154" t="s">
        <v>63</v>
      </c>
      <c r="H5" s="155" t="s">
        <v>96</v>
      </c>
      <c r="I5" s="155" t="s">
        <v>54</v>
      </c>
      <c r="J5" s="155" t="s">
        <v>97</v>
      </c>
      <c r="K5" s="156" t="s">
        <v>44</v>
      </c>
      <c r="L5" s="155" t="s">
        <v>6</v>
      </c>
      <c r="M5" s="157" t="s">
        <v>45</v>
      </c>
    </row>
    <row r="6" spans="2:16" x14ac:dyDescent="0.2">
      <c r="B6" s="202" t="s">
        <v>7</v>
      </c>
      <c r="C6" s="158" t="s">
        <v>8</v>
      </c>
      <c r="D6" s="159">
        <v>342.80599999999998</v>
      </c>
      <c r="E6" s="126">
        <v>-4.4264712852295789</v>
      </c>
      <c r="F6" s="126">
        <v>9.3955747288678637</v>
      </c>
      <c r="G6" s="160">
        <v>-0.56133537362765829</v>
      </c>
      <c r="H6" s="159">
        <v>318.84500000000003</v>
      </c>
      <c r="I6" s="126">
        <v>3.7029207051323905</v>
      </c>
      <c r="J6" s="126">
        <v>8.7388552838219695</v>
      </c>
      <c r="K6" s="160">
        <v>0.20387709942718857</v>
      </c>
      <c r="L6" s="159">
        <v>9.0672150063449166</v>
      </c>
      <c r="M6" s="160">
        <v>-0.17872913710023397</v>
      </c>
      <c r="O6" s="73"/>
    </row>
    <row r="7" spans="2:16" x14ac:dyDescent="0.2">
      <c r="B7" s="200"/>
      <c r="C7" s="5" t="s">
        <v>9</v>
      </c>
      <c r="D7" s="161">
        <v>174.328</v>
      </c>
      <c r="E7" s="127">
        <v>-0.42041767582140821</v>
      </c>
      <c r="F7" s="127">
        <v>9.32594367884961</v>
      </c>
      <c r="G7" s="162">
        <v>-0.10736993259468974</v>
      </c>
      <c r="H7" s="161">
        <v>162.75299999999999</v>
      </c>
      <c r="I7" s="127">
        <v>1.2995985435533526</v>
      </c>
      <c r="J7" s="127">
        <v>8.7067213044594709</v>
      </c>
      <c r="K7" s="162">
        <v>4.9296983167266717E-2</v>
      </c>
      <c r="L7" s="161">
        <v>9.0163324916545413</v>
      </c>
      <c r="M7" s="162">
        <v>-2.9036474713709737E-2</v>
      </c>
      <c r="O7" s="73"/>
    </row>
    <row r="8" spans="2:16" x14ac:dyDescent="0.2">
      <c r="B8" s="201"/>
      <c r="C8" s="163" t="s">
        <v>10</v>
      </c>
      <c r="D8" s="128">
        <v>517.13400000000001</v>
      </c>
      <c r="E8" s="129">
        <v>-3.1125233490773616</v>
      </c>
      <c r="F8" s="129">
        <v>9.3719859293531744</v>
      </c>
      <c r="G8" s="130">
        <v>-0.40689828590000943</v>
      </c>
      <c r="H8" s="128">
        <v>481.59800000000001</v>
      </c>
      <c r="I8" s="129">
        <v>2.878077436582112</v>
      </c>
      <c r="J8" s="129">
        <v>8.7279693069970836</v>
      </c>
      <c r="K8" s="130">
        <v>0.15135871571432702</v>
      </c>
      <c r="L8" s="128">
        <v>9.049977618175129</v>
      </c>
      <c r="M8" s="130">
        <v>-0.1277697850928412</v>
      </c>
      <c r="N8" s="73"/>
      <c r="O8" s="73"/>
      <c r="P8" s="164"/>
    </row>
    <row r="9" spans="2:16" x14ac:dyDescent="0.2">
      <c r="B9" s="200" t="s">
        <v>98</v>
      </c>
      <c r="C9" s="5" t="s">
        <v>8</v>
      </c>
      <c r="D9" s="159">
        <v>116.258</v>
      </c>
      <c r="E9" s="126">
        <v>-8.0869970827041513</v>
      </c>
      <c r="F9" s="126">
        <v>8.0867029667984571</v>
      </c>
      <c r="G9" s="160">
        <v>-0.7940399187496503</v>
      </c>
      <c r="H9" s="159">
        <v>104.81399999999999</v>
      </c>
      <c r="I9" s="126">
        <v>-3.6972380969881855</v>
      </c>
      <c r="J9" s="126">
        <v>7.2906783598721239</v>
      </c>
      <c r="K9" s="160">
        <v>-0.35091559189592214</v>
      </c>
      <c r="L9" s="159">
        <v>7.6886906633352901</v>
      </c>
      <c r="M9" s="160">
        <v>-0.57247775532278666</v>
      </c>
      <c r="O9" s="73"/>
      <c r="P9" s="73"/>
    </row>
    <row r="10" spans="2:16" x14ac:dyDescent="0.2">
      <c r="B10" s="200"/>
      <c r="C10" s="5" t="s">
        <v>9</v>
      </c>
      <c r="D10" s="161">
        <v>69.415000000000006</v>
      </c>
      <c r="E10" s="127">
        <v>-3.0421968628217799</v>
      </c>
      <c r="F10" s="127">
        <v>8.4467434740495211</v>
      </c>
      <c r="G10" s="162">
        <v>-0.26372026357928569</v>
      </c>
      <c r="H10" s="161">
        <v>65.168999999999997</v>
      </c>
      <c r="I10" s="127">
        <v>-4.0545912283026437</v>
      </c>
      <c r="J10" s="127">
        <v>7.9300702364090352</v>
      </c>
      <c r="K10" s="162">
        <v>-0.33387775363135219</v>
      </c>
      <c r="L10" s="161">
        <v>8.1884068552292781</v>
      </c>
      <c r="M10" s="162">
        <v>-0.29879900860531805</v>
      </c>
      <c r="O10" s="73"/>
    </row>
    <row r="11" spans="2:16" x14ac:dyDescent="0.2">
      <c r="B11" s="165"/>
      <c r="C11" s="2" t="s">
        <v>10</v>
      </c>
      <c r="D11" s="128">
        <v>185.673</v>
      </c>
      <c r="E11" s="129">
        <v>-6.2636308562197014</v>
      </c>
      <c r="F11" s="129">
        <v>8.2176557022979146</v>
      </c>
      <c r="G11" s="130">
        <v>-0.60077949291035537</v>
      </c>
      <c r="H11" s="128">
        <v>169.983</v>
      </c>
      <c r="I11" s="129">
        <v>-3.8345562652394993</v>
      </c>
      <c r="J11" s="129">
        <v>7.5232358460503486</v>
      </c>
      <c r="K11" s="130">
        <v>-0.34608676875280686</v>
      </c>
      <c r="L11" s="128">
        <v>7.8704457741741312</v>
      </c>
      <c r="M11" s="130">
        <v>-0.47343313083158201</v>
      </c>
      <c r="O11" s="73"/>
    </row>
    <row r="12" spans="2:16" x14ac:dyDescent="0.2">
      <c r="B12" s="166"/>
      <c r="D12" s="161"/>
      <c r="E12" s="127"/>
      <c r="F12" s="127"/>
      <c r="G12" s="162"/>
      <c r="H12" s="161"/>
      <c r="I12" s="127"/>
      <c r="J12" s="127"/>
      <c r="K12" s="162"/>
      <c r="L12" s="161"/>
      <c r="M12" s="162"/>
      <c r="O12" s="73"/>
    </row>
    <row r="13" spans="2:16" x14ac:dyDescent="0.2">
      <c r="B13" s="200" t="s">
        <v>99</v>
      </c>
      <c r="C13" s="5" t="s">
        <v>8</v>
      </c>
      <c r="D13" s="161">
        <v>136.477</v>
      </c>
      <c r="E13" s="127">
        <v>-1.0950227556019332</v>
      </c>
      <c r="F13" s="127">
        <v>11.017662715516371</v>
      </c>
      <c r="G13" s="162">
        <v>-0.28777407483679518</v>
      </c>
      <c r="H13" s="161">
        <v>130.11799999999999</v>
      </c>
      <c r="I13" s="127">
        <v>4.9778939555297397</v>
      </c>
      <c r="J13" s="127">
        <v>10.504306492797754</v>
      </c>
      <c r="K13" s="162">
        <v>0.34917503723137067</v>
      </c>
      <c r="L13" s="161">
        <v>10.760984604157063</v>
      </c>
      <c r="M13" s="162">
        <v>3.0700481197287743E-2</v>
      </c>
      <c r="O13" s="73"/>
    </row>
    <row r="14" spans="2:16" x14ac:dyDescent="0.2">
      <c r="B14" s="200"/>
      <c r="C14" s="5" t="s">
        <v>9</v>
      </c>
      <c r="D14" s="161">
        <v>77.808999999999997</v>
      </c>
      <c r="E14" s="127">
        <v>3.4034127152881046</v>
      </c>
      <c r="F14" s="127">
        <v>10.051673578007724</v>
      </c>
      <c r="G14" s="162">
        <v>0.20118892782703846</v>
      </c>
      <c r="H14" s="161">
        <v>71.412000000000006</v>
      </c>
      <c r="I14" s="127">
        <v>3.7573010199634052</v>
      </c>
      <c r="J14" s="127">
        <v>9.2252838817191805</v>
      </c>
      <c r="K14" s="162">
        <v>0.21548353442309498</v>
      </c>
      <c r="L14" s="161">
        <v>9.6384787298634524</v>
      </c>
      <c r="M14" s="162">
        <v>0.20833623112506672</v>
      </c>
      <c r="O14" s="73"/>
    </row>
    <row r="15" spans="2:16" x14ac:dyDescent="0.2">
      <c r="B15" s="165"/>
      <c r="C15" s="2" t="s">
        <v>10</v>
      </c>
      <c r="D15" s="128">
        <v>214.286</v>
      </c>
      <c r="E15" s="129">
        <v>0.49241216304939661</v>
      </c>
      <c r="F15" s="129">
        <v>10.646159257671275</v>
      </c>
      <c r="G15" s="130">
        <v>-9.9202044495021013E-2</v>
      </c>
      <c r="H15" s="128">
        <v>201.53</v>
      </c>
      <c r="I15" s="129">
        <v>4.5421063006422031</v>
      </c>
      <c r="J15" s="129">
        <v>10.01241553437225</v>
      </c>
      <c r="K15" s="130">
        <v>0.29817272516646121</v>
      </c>
      <c r="L15" s="128">
        <v>10.329287396021762</v>
      </c>
      <c r="M15" s="130">
        <v>9.948534033571832E-2</v>
      </c>
      <c r="O15" s="73"/>
    </row>
    <row r="16" spans="2:16" x14ac:dyDescent="0.2">
      <c r="B16" s="166"/>
      <c r="D16" s="161"/>
      <c r="E16" s="127"/>
      <c r="F16" s="127"/>
      <c r="G16" s="162"/>
      <c r="H16" s="161"/>
      <c r="I16" s="127"/>
      <c r="J16" s="127"/>
      <c r="K16" s="162"/>
      <c r="L16" s="161"/>
      <c r="M16" s="162"/>
      <c r="O16" s="73"/>
    </row>
    <row r="17" spans="2:15" x14ac:dyDescent="0.2">
      <c r="B17" s="200" t="s">
        <v>100</v>
      </c>
      <c r="C17" s="5" t="s">
        <v>8</v>
      </c>
      <c r="D17" s="161">
        <v>90.070999999999998</v>
      </c>
      <c r="E17" s="127">
        <v>-4.3913468070652186</v>
      </c>
      <c r="F17" s="127">
        <v>9.2643239545994547</v>
      </c>
      <c r="G17" s="162">
        <v>-0.57439532420637995</v>
      </c>
      <c r="H17" s="161">
        <v>83.912999999999997</v>
      </c>
      <c r="I17" s="127">
        <v>12.372445563382154</v>
      </c>
      <c r="J17" s="127">
        <v>8.6309379933863735</v>
      </c>
      <c r="K17" s="162">
        <v>0.83227414928027876</v>
      </c>
      <c r="L17" s="161">
        <v>8.947630973992915</v>
      </c>
      <c r="M17" s="162">
        <v>0.12893941253695118</v>
      </c>
      <c r="O17" s="73"/>
    </row>
    <row r="18" spans="2:15" x14ac:dyDescent="0.2">
      <c r="B18" s="200"/>
      <c r="C18" s="5" t="s">
        <v>9</v>
      </c>
      <c r="D18" s="161">
        <v>27.103999999999999</v>
      </c>
      <c r="E18" s="127">
        <v>-3.9648513623640289</v>
      </c>
      <c r="F18" s="127">
        <v>9.9138971594109595</v>
      </c>
      <c r="G18" s="162">
        <v>-0.53964655598063693</v>
      </c>
      <c r="H18" s="161">
        <v>26.172000000000001</v>
      </c>
      <c r="I18" s="127">
        <v>9.4330155544405425</v>
      </c>
      <c r="J18" s="127">
        <v>9.5729972128137408</v>
      </c>
      <c r="K18" s="162">
        <v>0.71472730893019154</v>
      </c>
      <c r="L18" s="161">
        <v>9.7434471861123502</v>
      </c>
      <c r="M18" s="162">
        <v>8.7540376474777304E-2</v>
      </c>
      <c r="O18" s="73"/>
    </row>
    <row r="19" spans="2:15" x14ac:dyDescent="0.2">
      <c r="B19" s="201"/>
      <c r="C19" s="163" t="s">
        <v>10</v>
      </c>
      <c r="D19" s="128">
        <v>117.175</v>
      </c>
      <c r="E19" s="129">
        <v>-4.2930303599578545</v>
      </c>
      <c r="F19" s="129">
        <v>9.4068940270337311</v>
      </c>
      <c r="G19" s="130">
        <v>-0.56705318960355378</v>
      </c>
      <c r="H19" s="128">
        <v>110.08499999999999</v>
      </c>
      <c r="I19" s="129">
        <v>11.659397504817923</v>
      </c>
      <c r="J19" s="129">
        <v>8.8377036822360431</v>
      </c>
      <c r="K19" s="130">
        <v>0.80598413336141306</v>
      </c>
      <c r="L19" s="128">
        <v>9.122298854634888</v>
      </c>
      <c r="M19" s="130">
        <v>0.11946547187893053</v>
      </c>
      <c r="O19" s="73"/>
    </row>
    <row r="20" spans="2:15" x14ac:dyDescent="0.2">
      <c r="B20" s="202" t="s">
        <v>1</v>
      </c>
      <c r="C20" s="5" t="s">
        <v>8</v>
      </c>
      <c r="D20" s="159">
        <v>44.889000000000003</v>
      </c>
      <c r="E20" s="126">
        <v>-3.6116896781258614</v>
      </c>
      <c r="F20" s="126">
        <v>1.8396527982689093</v>
      </c>
      <c r="G20" s="160">
        <v>-7.0052124415741268E-2</v>
      </c>
      <c r="H20" s="159">
        <v>114.515</v>
      </c>
      <c r="I20" s="126">
        <v>-1.4924731182795694</v>
      </c>
      <c r="J20" s="126">
        <v>4.6930838333169405</v>
      </c>
      <c r="K20" s="160">
        <v>-7.3899853142242122E-2</v>
      </c>
      <c r="L20" s="159">
        <v>3.2663683157929251</v>
      </c>
      <c r="M20" s="160">
        <v>-7.1975988778991251E-2</v>
      </c>
      <c r="O20" s="73"/>
    </row>
    <row r="21" spans="2:15" x14ac:dyDescent="0.2">
      <c r="B21" s="200"/>
      <c r="C21" s="5" t="s">
        <v>9</v>
      </c>
      <c r="D21" s="161">
        <v>26.704000000000001</v>
      </c>
      <c r="E21" s="127">
        <v>2.1888871881218397</v>
      </c>
      <c r="F21" s="127">
        <v>2.0407391259990577</v>
      </c>
      <c r="G21" s="162">
        <v>5.4925247795439391E-2</v>
      </c>
      <c r="H21" s="161">
        <v>60.14</v>
      </c>
      <c r="I21" s="127">
        <v>-4.2524398592603196</v>
      </c>
      <c r="J21" s="127">
        <v>4.5959425942773864</v>
      </c>
      <c r="K21" s="162">
        <v>-0.1771691271311342</v>
      </c>
      <c r="L21" s="161">
        <v>3.318340860138222</v>
      </c>
      <c r="M21" s="162">
        <v>-6.1121939667847514E-2</v>
      </c>
      <c r="O21" s="73"/>
    </row>
    <row r="22" spans="2:15" x14ac:dyDescent="0.2">
      <c r="B22" s="166"/>
      <c r="C22" s="2" t="s">
        <v>10</v>
      </c>
      <c r="D22" s="128">
        <v>71.593000000000004</v>
      </c>
      <c r="E22" s="129">
        <v>-1.5267595560018148</v>
      </c>
      <c r="F22" s="129">
        <v>1.9098466891397925</v>
      </c>
      <c r="G22" s="130">
        <v>-2.6533462797186935E-2</v>
      </c>
      <c r="H22" s="128">
        <v>174.655</v>
      </c>
      <c r="I22" s="129">
        <v>-2.4606139807104874</v>
      </c>
      <c r="J22" s="129">
        <v>4.6591744093935228</v>
      </c>
      <c r="K22" s="130">
        <v>-0.1099570760470705</v>
      </c>
      <c r="L22" s="128">
        <v>3.2845105492666575</v>
      </c>
      <c r="M22" s="130">
        <v>-6.8245269422128718E-2</v>
      </c>
      <c r="O22" s="73"/>
    </row>
    <row r="23" spans="2:15" x14ac:dyDescent="0.2">
      <c r="B23" s="166"/>
      <c r="D23" s="161"/>
      <c r="E23" s="127"/>
      <c r="F23" s="127"/>
      <c r="G23" s="162"/>
      <c r="H23" s="161"/>
      <c r="I23" s="127"/>
      <c r="J23" s="127"/>
      <c r="K23" s="162"/>
      <c r="L23" s="161"/>
      <c r="M23" s="162"/>
      <c r="O23" s="73"/>
    </row>
    <row r="24" spans="2:15" x14ac:dyDescent="0.2">
      <c r="B24" s="200" t="s">
        <v>2</v>
      </c>
      <c r="C24" s="5" t="s">
        <v>8</v>
      </c>
      <c r="D24" s="161">
        <v>265.90100000000001</v>
      </c>
      <c r="E24" s="127">
        <v>-4.944035519838696</v>
      </c>
      <c r="F24" s="127">
        <v>27.5515670348139</v>
      </c>
      <c r="G24" s="162">
        <v>-2.7675833426702567</v>
      </c>
      <c r="H24" s="161">
        <v>176.745</v>
      </c>
      <c r="I24" s="127">
        <v>7.4072048421206116</v>
      </c>
      <c r="J24" s="127">
        <v>18.313589326735073</v>
      </c>
      <c r="K24" s="162">
        <v>0.47788963840134357</v>
      </c>
      <c r="L24" s="161">
        <v>22.932578180774485</v>
      </c>
      <c r="M24" s="162">
        <v>-1.1448468521344566</v>
      </c>
      <c r="O24" s="73"/>
    </row>
    <row r="25" spans="2:15" x14ac:dyDescent="0.2">
      <c r="B25" s="200"/>
      <c r="C25" s="5" t="s">
        <v>9</v>
      </c>
      <c r="D25" s="161">
        <v>127.402</v>
      </c>
      <c r="E25" s="127">
        <v>-0.53945180454824881</v>
      </c>
      <c r="F25" s="127">
        <v>30.042327418499088</v>
      </c>
      <c r="G25" s="162">
        <v>-1.6481331326382751</v>
      </c>
      <c r="H25" s="161">
        <v>84.433999999999997</v>
      </c>
      <c r="I25" s="127">
        <v>5.998292658431243</v>
      </c>
      <c r="J25" s="127">
        <v>19.910157401403055</v>
      </c>
      <c r="K25" s="162">
        <v>0.20310607415333592</v>
      </c>
      <c r="L25" s="161">
        <v>24.97624240995107</v>
      </c>
      <c r="M25" s="162">
        <v>-0.72251352924246959</v>
      </c>
      <c r="O25" s="73"/>
    </row>
    <row r="26" spans="2:15" x14ac:dyDescent="0.2">
      <c r="B26" s="166"/>
      <c r="C26" s="2" t="s">
        <v>10</v>
      </c>
      <c r="D26" s="128">
        <v>393.303</v>
      </c>
      <c r="E26" s="129">
        <v>-3.5606045745223329</v>
      </c>
      <c r="F26" s="129">
        <v>28.311922590193628</v>
      </c>
      <c r="G26" s="130">
        <v>-2.4249810788742607</v>
      </c>
      <c r="H26" s="128">
        <v>261.17899999999997</v>
      </c>
      <c r="I26" s="129">
        <v>6.9476520400307873</v>
      </c>
      <c r="J26" s="129">
        <v>18.800974389171149</v>
      </c>
      <c r="K26" s="130">
        <v>0.39518973983611971</v>
      </c>
      <c r="L26" s="128">
        <v>23.556448489682388</v>
      </c>
      <c r="M26" s="130">
        <v>-1.0148956695190705</v>
      </c>
      <c r="O26" s="73"/>
    </row>
    <row r="27" spans="2:15" x14ac:dyDescent="0.2">
      <c r="B27" s="166"/>
      <c r="D27" s="161"/>
      <c r="E27" s="127"/>
      <c r="F27" s="127"/>
      <c r="G27" s="162"/>
      <c r="H27" s="161"/>
      <c r="I27" s="127"/>
      <c r="J27" s="127"/>
      <c r="K27" s="162"/>
      <c r="L27" s="161"/>
      <c r="M27" s="162"/>
      <c r="O27" s="73"/>
    </row>
    <row r="28" spans="2:15" x14ac:dyDescent="0.2">
      <c r="B28" s="200" t="s">
        <v>3</v>
      </c>
      <c r="C28" s="5" t="s">
        <v>8</v>
      </c>
      <c r="D28" s="161">
        <v>32.015999999999998</v>
      </c>
      <c r="E28" s="127">
        <v>-1.1272042246996758</v>
      </c>
      <c r="F28" s="127">
        <v>13.153278254117589</v>
      </c>
      <c r="G28" s="162">
        <v>-0.27825126695822711</v>
      </c>
      <c r="H28" s="161">
        <v>27.585000000000001</v>
      </c>
      <c r="I28" s="127">
        <v>3.4929091318376266</v>
      </c>
      <c r="J28" s="127">
        <v>11.332870459764921</v>
      </c>
      <c r="K28" s="162">
        <v>0.27688121129344623</v>
      </c>
      <c r="L28" s="161">
        <v>12.243074356941255</v>
      </c>
      <c r="M28" s="162">
        <v>-6.8502783239132725E-4</v>
      </c>
      <c r="O28" s="73"/>
    </row>
    <row r="29" spans="2:15" x14ac:dyDescent="0.2">
      <c r="B29" s="200"/>
      <c r="C29" s="5" t="s">
        <v>9</v>
      </c>
      <c r="D29" s="161">
        <v>20.222000000000001</v>
      </c>
      <c r="E29" s="127">
        <v>-2.96079466385142</v>
      </c>
      <c r="F29" s="127">
        <v>14.797361325045093</v>
      </c>
      <c r="G29" s="162">
        <v>-0.56253371554928222</v>
      </c>
      <c r="H29" s="161">
        <v>18.178999999999998</v>
      </c>
      <c r="I29" s="127">
        <v>-0.10440707770085671</v>
      </c>
      <c r="J29" s="127">
        <v>13.302404882207238</v>
      </c>
      <c r="K29" s="162">
        <v>-0.11087646280626728</v>
      </c>
      <c r="L29" s="161">
        <v>14.049883103626165</v>
      </c>
      <c r="M29" s="162">
        <v>-0.33670508917777653</v>
      </c>
      <c r="O29" s="73"/>
    </row>
    <row r="30" spans="2:15" x14ac:dyDescent="0.2">
      <c r="B30" s="167"/>
      <c r="C30" s="163" t="s">
        <v>10</v>
      </c>
      <c r="D30" s="131">
        <v>52.238</v>
      </c>
      <c r="E30" s="132">
        <v>-1.8451709883502432</v>
      </c>
      <c r="F30" s="132">
        <v>13.744436828818101</v>
      </c>
      <c r="G30" s="133">
        <v>-0.38151024267558142</v>
      </c>
      <c r="H30" s="131">
        <v>45.763999999999996</v>
      </c>
      <c r="I30" s="132">
        <v>2.0333541425131525</v>
      </c>
      <c r="J30" s="132">
        <v>12.041050710862439</v>
      </c>
      <c r="K30" s="133">
        <v>0.1361845317824848</v>
      </c>
      <c r="L30" s="131">
        <v>12.892743769840276</v>
      </c>
      <c r="M30" s="133">
        <v>-0.1226628554465492</v>
      </c>
      <c r="O30" s="73"/>
    </row>
    <row r="31" spans="2:15" x14ac:dyDescent="0.2">
      <c r="C31" s="2"/>
      <c r="D31" s="168"/>
      <c r="E31" s="129"/>
      <c r="F31" s="129"/>
      <c r="G31" s="168"/>
      <c r="H31" s="168"/>
      <c r="I31" s="129"/>
      <c r="J31" s="129"/>
      <c r="K31" s="168"/>
      <c r="L31" s="168"/>
      <c r="M31" s="168"/>
    </row>
    <row r="32" spans="2:15" x14ac:dyDescent="0.2">
      <c r="B32" s="70" t="s">
        <v>47</v>
      </c>
      <c r="C32" s="72"/>
      <c r="D32" s="72"/>
      <c r="E32" s="72"/>
      <c r="F32" s="72"/>
      <c r="G32" s="169"/>
      <c r="H32" s="72"/>
      <c r="I32" s="72"/>
      <c r="J32" s="72"/>
      <c r="K32" s="72"/>
    </row>
    <row r="33" spans="2:13" x14ac:dyDescent="0.2">
      <c r="B33" s="69" t="s">
        <v>48</v>
      </c>
      <c r="C33" s="70"/>
      <c r="D33" s="70"/>
      <c r="E33" s="70"/>
      <c r="F33" s="71"/>
      <c r="G33" s="72"/>
      <c r="H33" s="72"/>
      <c r="I33" s="170"/>
      <c r="J33" s="72"/>
      <c r="K33" s="72"/>
      <c r="L33" s="73"/>
    </row>
    <row r="34" spans="2:13" x14ac:dyDescent="0.2">
      <c r="B34" s="72" t="s">
        <v>64</v>
      </c>
      <c r="C34" s="72"/>
      <c r="D34" s="72"/>
      <c r="E34" s="72"/>
      <c r="F34" s="170"/>
      <c r="G34" s="72"/>
      <c r="H34" s="72"/>
      <c r="I34" s="170"/>
      <c r="J34" s="72"/>
      <c r="K34" s="72"/>
      <c r="M34" s="73"/>
    </row>
    <row r="35" spans="2:13" x14ac:dyDescent="0.2">
      <c r="B35" s="72" t="s">
        <v>101</v>
      </c>
      <c r="C35" s="72"/>
      <c r="D35" s="171"/>
      <c r="E35" s="72"/>
      <c r="F35" s="72"/>
      <c r="G35" s="72"/>
      <c r="H35" s="72"/>
      <c r="I35" s="72"/>
      <c r="J35" s="72"/>
      <c r="K35" s="72"/>
      <c r="M35" s="73"/>
    </row>
    <row r="36" spans="2:13" x14ac:dyDescent="0.2">
      <c r="B36" s="72" t="s">
        <v>102</v>
      </c>
      <c r="C36" s="72"/>
      <c r="D36" s="72"/>
      <c r="E36" s="72"/>
      <c r="F36" s="72"/>
      <c r="G36" s="72"/>
      <c r="H36" s="72"/>
      <c r="I36" s="72"/>
      <c r="J36" s="72"/>
      <c r="K36" s="72"/>
    </row>
    <row r="37" spans="2:13" x14ac:dyDescent="0.2">
      <c r="B37" s="72" t="s">
        <v>103</v>
      </c>
      <c r="C37" s="72"/>
      <c r="D37" s="72"/>
      <c r="E37" s="72"/>
      <c r="F37" s="72"/>
      <c r="G37" s="72"/>
      <c r="H37" s="72"/>
      <c r="I37" s="72"/>
      <c r="J37" s="72"/>
      <c r="K37" s="72"/>
    </row>
    <row r="38" spans="2:13" x14ac:dyDescent="0.2">
      <c r="B38" s="72" t="s">
        <v>104</v>
      </c>
      <c r="C38" s="72"/>
      <c r="D38" s="72"/>
      <c r="E38" s="72"/>
      <c r="F38" s="72"/>
      <c r="G38" s="72"/>
      <c r="H38" s="72"/>
      <c r="I38" s="72"/>
      <c r="J38" s="72"/>
      <c r="K38" s="72"/>
    </row>
    <row r="39" spans="2:13" ht="35.25" customHeight="1" x14ac:dyDescent="0.2">
      <c r="B39" s="203" t="s">
        <v>131</v>
      </c>
      <c r="C39" s="204"/>
      <c r="D39" s="204"/>
      <c r="E39" s="204"/>
      <c r="F39" s="204"/>
      <c r="G39" s="204"/>
      <c r="H39" s="204"/>
      <c r="I39" s="204"/>
      <c r="J39" s="204"/>
      <c r="K39" s="204"/>
    </row>
    <row r="40" spans="2:13" ht="45.75" customHeight="1" x14ac:dyDescent="0.2">
      <c r="B40" s="199" t="s">
        <v>130</v>
      </c>
      <c r="C40" s="199"/>
      <c r="D40" s="199"/>
      <c r="E40" s="199"/>
      <c r="F40" s="199"/>
      <c r="G40" s="199"/>
      <c r="H40" s="199"/>
      <c r="I40" s="199"/>
      <c r="J40" s="199"/>
      <c r="K40" s="199"/>
    </row>
  </sheetData>
  <mergeCells count="13">
    <mergeCell ref="B9:B10"/>
    <mergeCell ref="B4:C5"/>
    <mergeCell ref="D4:G4"/>
    <mergeCell ref="H4:K4"/>
    <mergeCell ref="L4:M4"/>
    <mergeCell ref="B6:B8"/>
    <mergeCell ref="B40:K40"/>
    <mergeCell ref="B13:B14"/>
    <mergeCell ref="B17:B19"/>
    <mergeCell ref="B20:B21"/>
    <mergeCell ref="B24:B25"/>
    <mergeCell ref="B28:B29"/>
    <mergeCell ref="B39:K3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1CCF-55BA-467A-847A-CB7BCE5332B9}">
  <dimension ref="B2:N26"/>
  <sheetViews>
    <sheetView showGridLines="0" zoomScale="90" zoomScaleNormal="90" workbookViewId="0"/>
  </sheetViews>
  <sheetFormatPr baseColWidth="10" defaultColWidth="11.42578125" defaultRowHeight="12.75" x14ac:dyDescent="0.2"/>
  <cols>
    <col min="1" max="1" width="3.7109375" style="5" customWidth="1"/>
    <col min="2" max="2" width="26.42578125" style="5" customWidth="1"/>
    <col min="3" max="3" width="24.28515625" style="5" bestFit="1" customWidth="1"/>
    <col min="4" max="5" width="11.42578125" style="5"/>
    <col min="6" max="6" width="12.140625" style="5" customWidth="1"/>
    <col min="7" max="7" width="13.85546875" style="5" customWidth="1"/>
    <col min="8" max="9" width="11.42578125" style="5"/>
    <col min="10" max="10" width="13" style="5" customWidth="1"/>
    <col min="11" max="11" width="13.28515625" style="5" customWidth="1"/>
    <col min="12" max="16384" width="11.42578125" style="5"/>
  </cols>
  <sheetData>
    <row r="2" spans="2:14" x14ac:dyDescent="0.2">
      <c r="B2" s="151" t="s">
        <v>125</v>
      </c>
      <c r="C2" s="151"/>
      <c r="D2" s="151"/>
      <c r="E2" s="151"/>
      <c r="F2" s="151"/>
      <c r="G2" s="151"/>
      <c r="H2" s="151"/>
      <c r="I2" s="151"/>
      <c r="J2" s="151"/>
      <c r="K2" s="151"/>
    </row>
    <row r="3" spans="2:14" x14ac:dyDescent="0.2">
      <c r="B3" s="151"/>
      <c r="C3" s="151"/>
      <c r="D3" s="151"/>
      <c r="E3" s="151"/>
      <c r="F3" s="151"/>
      <c r="G3" s="151"/>
      <c r="H3" s="151"/>
      <c r="I3" s="151"/>
      <c r="J3" s="151"/>
      <c r="K3" s="151"/>
    </row>
    <row r="4" spans="2:14" x14ac:dyDescent="0.2">
      <c r="B4" s="205"/>
      <c r="C4" s="206"/>
      <c r="D4" s="209" t="s">
        <v>68</v>
      </c>
      <c r="E4" s="210"/>
      <c r="F4" s="210"/>
      <c r="G4" s="211"/>
      <c r="H4" s="212" t="s">
        <v>69</v>
      </c>
      <c r="I4" s="212"/>
      <c r="J4" s="212"/>
      <c r="K4" s="213"/>
    </row>
    <row r="5" spans="2:14" ht="51" x14ac:dyDescent="0.2">
      <c r="B5" s="207"/>
      <c r="C5" s="208"/>
      <c r="D5" s="172" t="s">
        <v>65</v>
      </c>
      <c r="E5" s="173" t="s">
        <v>54</v>
      </c>
      <c r="F5" s="172" t="s">
        <v>66</v>
      </c>
      <c r="G5" s="172" t="s">
        <v>67</v>
      </c>
      <c r="H5" s="172" t="s">
        <v>46</v>
      </c>
      <c r="I5" s="172" t="s">
        <v>54</v>
      </c>
      <c r="J5" s="174" t="s">
        <v>11</v>
      </c>
      <c r="K5" s="156" t="s">
        <v>12</v>
      </c>
    </row>
    <row r="6" spans="2:14" x14ac:dyDescent="0.2">
      <c r="B6" s="217" t="s">
        <v>30</v>
      </c>
      <c r="C6" s="158" t="s">
        <v>1</v>
      </c>
      <c r="D6" s="134">
        <v>33.796999999999997</v>
      </c>
      <c r="E6" s="135">
        <v>0.67020135827473581</v>
      </c>
      <c r="F6" s="135">
        <v>2.2491912508010961</v>
      </c>
      <c r="G6" s="134">
        <v>2.4672712428780663E-2</v>
      </c>
      <c r="H6" s="135">
        <v>55.628999999999998</v>
      </c>
      <c r="I6" s="135">
        <v>-10.293169064052123</v>
      </c>
      <c r="J6" s="135">
        <v>3.702111432695629</v>
      </c>
      <c r="K6" s="134">
        <v>-0.40687354292524613</v>
      </c>
      <c r="M6" s="73"/>
    </row>
    <row r="7" spans="2:14" x14ac:dyDescent="0.2">
      <c r="B7" s="217"/>
      <c r="C7" s="5" t="s">
        <v>2</v>
      </c>
      <c r="D7" s="136">
        <v>135.607</v>
      </c>
      <c r="E7" s="137">
        <v>-8.2192337107701512</v>
      </c>
      <c r="F7" s="137">
        <v>23.073480819032259</v>
      </c>
      <c r="G7" s="136">
        <v>-2.9651265522669554</v>
      </c>
      <c r="H7" s="137">
        <v>98.793999999999997</v>
      </c>
      <c r="I7" s="137">
        <v>-0.12939487677159794</v>
      </c>
      <c r="J7" s="137">
        <v>16.809762505147027</v>
      </c>
      <c r="K7" s="136">
        <v>-0.62356192841796343</v>
      </c>
      <c r="M7" s="73"/>
    </row>
    <row r="8" spans="2:14" x14ac:dyDescent="0.2">
      <c r="B8" s="217"/>
      <c r="C8" s="5" t="s">
        <v>3</v>
      </c>
      <c r="D8" s="136">
        <v>16.268999999999998</v>
      </c>
      <c r="E8" s="137">
        <v>-2.912215790415964</v>
      </c>
      <c r="F8" s="137">
        <v>9.6213326394351029</v>
      </c>
      <c r="G8" s="136">
        <v>-0.25941090759675234</v>
      </c>
      <c r="H8" s="137">
        <v>15.56</v>
      </c>
      <c r="I8" s="137">
        <v>-1.6869905857079641</v>
      </c>
      <c r="J8" s="137">
        <v>9.2020367490079433</v>
      </c>
      <c r="K8" s="136">
        <v>-0.13033349142132167</v>
      </c>
      <c r="M8" s="73"/>
    </row>
    <row r="9" spans="2:14" x14ac:dyDescent="0.2">
      <c r="B9" s="175"/>
      <c r="C9" s="2" t="s">
        <v>10</v>
      </c>
      <c r="D9" s="138">
        <v>185.673</v>
      </c>
      <c r="E9" s="139">
        <v>-6.2636308562197138</v>
      </c>
      <c r="F9" s="139">
        <v>8.2176557022979146</v>
      </c>
      <c r="G9" s="138">
        <v>-0.60077949291035715</v>
      </c>
      <c r="H9" s="139">
        <v>169.983</v>
      </c>
      <c r="I9" s="139">
        <v>-3.8345562652394993</v>
      </c>
      <c r="J9" s="139">
        <v>7.5232358460503486</v>
      </c>
      <c r="K9" s="138">
        <v>-0.34608676875280686</v>
      </c>
      <c r="M9" s="73"/>
    </row>
    <row r="10" spans="2:14" x14ac:dyDescent="0.2">
      <c r="B10" s="176"/>
      <c r="D10" s="136"/>
      <c r="E10" s="137"/>
      <c r="F10" s="137"/>
      <c r="G10" s="136"/>
      <c r="H10" s="137"/>
      <c r="I10" s="137"/>
      <c r="J10" s="137"/>
      <c r="K10" s="136"/>
      <c r="M10" s="73"/>
    </row>
    <row r="11" spans="2:14" x14ac:dyDescent="0.2">
      <c r="B11" s="217" t="s">
        <v>32</v>
      </c>
      <c r="C11" s="5" t="s">
        <v>1</v>
      </c>
      <c r="D11" s="136">
        <v>25.327999999999999</v>
      </c>
      <c r="E11" s="137">
        <v>3.5232567644894885</v>
      </c>
      <c r="F11" s="137">
        <v>1.7847390995833399</v>
      </c>
      <c r="G11" s="136">
        <v>6.9887649133442142E-2</v>
      </c>
      <c r="H11" s="137">
        <v>73.742999999999995</v>
      </c>
      <c r="I11" s="137">
        <v>-5.1256320197614844</v>
      </c>
      <c r="J11" s="137">
        <v>5.1963050939898237</v>
      </c>
      <c r="K11" s="136">
        <v>-0.25167408892194043</v>
      </c>
      <c r="M11" s="73"/>
      <c r="N11" s="177"/>
    </row>
    <row r="12" spans="2:14" x14ac:dyDescent="0.2">
      <c r="B12" s="217"/>
      <c r="C12" s="5" t="s">
        <v>2</v>
      </c>
      <c r="D12" s="136">
        <v>174.77099999999999</v>
      </c>
      <c r="E12" s="137">
        <v>8.7619833006901682E-2</v>
      </c>
      <c r="F12" s="137">
        <v>32.870011199851049</v>
      </c>
      <c r="G12" s="136">
        <v>-2.3952029294191917</v>
      </c>
      <c r="H12" s="137">
        <v>115.577</v>
      </c>
      <c r="I12" s="137">
        <v>11.678310191224355</v>
      </c>
      <c r="J12" s="137">
        <v>21.737114764149567</v>
      </c>
      <c r="K12" s="136">
        <v>0.83645002481967978</v>
      </c>
      <c r="M12" s="73"/>
      <c r="N12" s="73"/>
    </row>
    <row r="13" spans="2:14" x14ac:dyDescent="0.2">
      <c r="B13" s="217"/>
      <c r="C13" s="5" t="s">
        <v>3</v>
      </c>
      <c r="D13" s="136">
        <v>14.186999999999999</v>
      </c>
      <c r="E13" s="137">
        <v>0.24731486715658663</v>
      </c>
      <c r="F13" s="137">
        <v>22.899063022056509</v>
      </c>
      <c r="G13" s="136">
        <v>0.28408651274013863</v>
      </c>
      <c r="H13" s="137">
        <v>12.21</v>
      </c>
      <c r="I13" s="137">
        <v>5.6593977154724966</v>
      </c>
      <c r="J13" s="137">
        <v>19.708011524586592</v>
      </c>
      <c r="K13" s="136">
        <v>1.2414577836552745</v>
      </c>
      <c r="M13" s="73"/>
      <c r="N13" s="73"/>
    </row>
    <row r="14" spans="2:14" x14ac:dyDescent="0.2">
      <c r="B14" s="175"/>
      <c r="C14" s="2" t="s">
        <v>10</v>
      </c>
      <c r="D14" s="138">
        <v>214.286</v>
      </c>
      <c r="E14" s="139">
        <v>0.49241216304939661</v>
      </c>
      <c r="F14" s="139">
        <v>10.646159257671275</v>
      </c>
      <c r="G14" s="138">
        <v>-9.9202044495021013E-2</v>
      </c>
      <c r="H14" s="139">
        <v>201.53</v>
      </c>
      <c r="I14" s="139">
        <v>4.5421063006422031</v>
      </c>
      <c r="J14" s="139">
        <v>10.01241553437225</v>
      </c>
      <c r="K14" s="138">
        <v>0.29817272516646121</v>
      </c>
      <c r="M14" s="73"/>
      <c r="N14" s="73"/>
    </row>
    <row r="15" spans="2:14" x14ac:dyDescent="0.2">
      <c r="B15" s="176"/>
      <c r="D15" s="136"/>
      <c r="E15" s="137"/>
      <c r="F15" s="137"/>
      <c r="G15" s="136"/>
      <c r="H15" s="137"/>
      <c r="I15" s="137"/>
      <c r="J15" s="137"/>
      <c r="K15" s="136"/>
      <c r="M15" s="73"/>
    </row>
    <row r="16" spans="2:14" x14ac:dyDescent="0.2">
      <c r="B16" s="217" t="s">
        <v>40</v>
      </c>
      <c r="C16" s="5" t="s">
        <v>1</v>
      </c>
      <c r="D16" s="136">
        <v>12.468</v>
      </c>
      <c r="E16" s="137">
        <v>-14.981247869076025</v>
      </c>
      <c r="F16" s="137">
        <v>1.5078850122784748</v>
      </c>
      <c r="G16" s="136">
        <v>-0.28339129499289739</v>
      </c>
      <c r="H16" s="137">
        <v>45.283000000000001</v>
      </c>
      <c r="I16" s="137">
        <v>15.159452723666137</v>
      </c>
      <c r="J16" s="137">
        <v>5.4765445148384808</v>
      </c>
      <c r="K16" s="136">
        <v>0.67350551350708532</v>
      </c>
      <c r="M16" s="73"/>
      <c r="N16" s="73"/>
    </row>
    <row r="17" spans="2:14" x14ac:dyDescent="0.2">
      <c r="B17" s="217"/>
      <c r="C17" s="5" t="s">
        <v>2</v>
      </c>
      <c r="D17" s="136">
        <v>82.924999999999997</v>
      </c>
      <c r="E17" s="137">
        <v>-2.9606225498800551</v>
      </c>
      <c r="F17" s="137">
        <v>30.740686508017419</v>
      </c>
      <c r="G17" s="136">
        <v>-1.599843701833656</v>
      </c>
      <c r="H17" s="137">
        <v>46.808</v>
      </c>
      <c r="I17" s="137">
        <v>11.983540276083161</v>
      </c>
      <c r="J17" s="137">
        <v>17.351945180190285</v>
      </c>
      <c r="K17" s="136">
        <v>1.5330718288174534</v>
      </c>
      <c r="M17" s="73"/>
      <c r="N17" s="73"/>
    </row>
    <row r="18" spans="2:14" x14ac:dyDescent="0.2">
      <c r="B18" s="217"/>
      <c r="C18" s="5" t="s">
        <v>3</v>
      </c>
      <c r="D18" s="136">
        <v>21.782</v>
      </c>
      <c r="E18" s="137">
        <v>-2.3710277441620722</v>
      </c>
      <c r="F18" s="137">
        <v>14.616928042732805</v>
      </c>
      <c r="G18" s="136">
        <v>-0.81434672677675124</v>
      </c>
      <c r="H18" s="137">
        <v>17.994</v>
      </c>
      <c r="I18" s="137">
        <v>3.0053237162974327</v>
      </c>
      <c r="J18" s="137">
        <v>12.074970305799932</v>
      </c>
      <c r="K18" s="136">
        <v>-7.3630252279208719E-3</v>
      </c>
      <c r="M18" s="73"/>
      <c r="N18" s="73"/>
    </row>
    <row r="19" spans="2:14" x14ac:dyDescent="0.2">
      <c r="B19" s="218"/>
      <c r="C19" s="163" t="s">
        <v>10</v>
      </c>
      <c r="D19" s="140">
        <v>117.175</v>
      </c>
      <c r="E19" s="140">
        <v>-4.2930303599578652</v>
      </c>
      <c r="F19" s="141">
        <v>9.4068940270337311</v>
      </c>
      <c r="G19" s="140">
        <v>-0.56705318960355378</v>
      </c>
      <c r="H19" s="141">
        <v>110.08499999999999</v>
      </c>
      <c r="I19" s="140">
        <v>11.659397504817923</v>
      </c>
      <c r="J19" s="141">
        <v>8.8377036822360431</v>
      </c>
      <c r="K19" s="140">
        <v>0.80598413336141306</v>
      </c>
      <c r="M19" s="73"/>
      <c r="N19" s="73"/>
    </row>
    <row r="20" spans="2:14" x14ac:dyDescent="0.2">
      <c r="B20" s="72"/>
      <c r="C20" s="2"/>
      <c r="D20" s="178"/>
      <c r="E20" s="178"/>
      <c r="F20" s="178"/>
      <c r="G20" s="178"/>
      <c r="H20" s="178"/>
      <c r="I20" s="178"/>
      <c r="J20" s="178"/>
      <c r="K20" s="178"/>
    </row>
    <row r="21" spans="2:14" x14ac:dyDescent="0.2">
      <c r="B21" s="70" t="s">
        <v>47</v>
      </c>
      <c r="E21" s="158"/>
      <c r="G21" s="179"/>
    </row>
    <row r="22" spans="2:14" x14ac:dyDescent="0.2">
      <c r="B22" s="69" t="s">
        <v>48</v>
      </c>
      <c r="C22" s="180"/>
      <c r="D22" s="180"/>
      <c r="E22" s="180"/>
      <c r="F22" s="180"/>
      <c r="I22" s="2"/>
    </row>
    <row r="23" spans="2:14" x14ac:dyDescent="0.2">
      <c r="B23" s="72" t="s">
        <v>70</v>
      </c>
    </row>
    <row r="24" spans="2:14" x14ac:dyDescent="0.2">
      <c r="B24" s="72" t="s">
        <v>71</v>
      </c>
      <c r="D24" s="73"/>
      <c r="E24" s="73"/>
      <c r="F24" s="73"/>
      <c r="G24" s="73"/>
      <c r="H24" s="73"/>
      <c r="I24" s="73"/>
    </row>
    <row r="25" spans="2:14" ht="29.25" customHeight="1" x14ac:dyDescent="0.25">
      <c r="B25" s="203" t="s">
        <v>133</v>
      </c>
      <c r="C25" s="216"/>
      <c r="D25" s="216"/>
      <c r="E25" s="216"/>
      <c r="F25" s="216"/>
      <c r="G25" s="216"/>
      <c r="H25" s="216"/>
      <c r="I25" s="216"/>
      <c r="J25" s="216"/>
      <c r="K25" s="216"/>
    </row>
    <row r="26" spans="2:14" ht="29.25" customHeight="1" x14ac:dyDescent="0.2">
      <c r="B26" s="199" t="s">
        <v>132</v>
      </c>
      <c r="C26" s="199"/>
      <c r="D26" s="199"/>
      <c r="E26" s="199"/>
      <c r="F26" s="199"/>
      <c r="G26" s="199"/>
      <c r="H26" s="199"/>
      <c r="I26" s="199"/>
      <c r="J26" s="199"/>
      <c r="K26" s="199"/>
    </row>
  </sheetData>
  <mergeCells count="8">
    <mergeCell ref="B25:K25"/>
    <mergeCell ref="B26:K26"/>
    <mergeCell ref="B4:C5"/>
    <mergeCell ref="D4:G4"/>
    <mergeCell ref="H4:K4"/>
    <mergeCell ref="B6:B8"/>
    <mergeCell ref="B11:B13"/>
    <mergeCell ref="B16:B1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7F601-4D92-4751-9575-F4C3F7942EAA}">
  <dimension ref="B2:V68"/>
  <sheetViews>
    <sheetView showGridLines="0" zoomScale="90" zoomScaleNormal="90" workbookViewId="0"/>
  </sheetViews>
  <sheetFormatPr baseColWidth="10" defaultColWidth="11.42578125" defaultRowHeight="12.75" x14ac:dyDescent="0.2"/>
  <cols>
    <col min="1" max="1" width="3.7109375" style="5" customWidth="1"/>
    <col min="2" max="2" width="11.42578125" style="5"/>
    <col min="3" max="3" width="15" style="5" customWidth="1"/>
    <col min="4" max="4" width="14.140625" style="5" customWidth="1"/>
    <col min="5" max="7" width="11.42578125" style="5"/>
    <col min="8" max="8" width="15.28515625" style="5" customWidth="1"/>
    <col min="9" max="9" width="16.28515625" style="5" customWidth="1"/>
    <col min="10" max="16384" width="11.42578125" style="5"/>
  </cols>
  <sheetData>
    <row r="2" spans="2:22" x14ac:dyDescent="0.2">
      <c r="B2" s="2" t="s">
        <v>127</v>
      </c>
    </row>
    <row r="3" spans="2:22" x14ac:dyDescent="0.2">
      <c r="B3" s="2"/>
    </row>
    <row r="4" spans="2:22" x14ac:dyDescent="0.2">
      <c r="B4" s="5" t="s">
        <v>16</v>
      </c>
    </row>
    <row r="5" spans="2:22" ht="18" customHeight="1" x14ac:dyDescent="0.2">
      <c r="B5" s="181"/>
      <c r="C5" s="219" t="s">
        <v>79</v>
      </c>
      <c r="D5" s="220"/>
      <c r="E5" s="220"/>
      <c r="F5" s="220"/>
      <c r="G5" s="220"/>
      <c r="H5" s="221" t="s">
        <v>80</v>
      </c>
      <c r="I5" s="222"/>
      <c r="J5" s="222"/>
      <c r="K5" s="222"/>
      <c r="L5" s="223"/>
    </row>
    <row r="6" spans="2:22" ht="38.25" x14ac:dyDescent="0.2">
      <c r="B6" s="4" t="s">
        <v>17</v>
      </c>
      <c r="C6" s="3" t="s">
        <v>1</v>
      </c>
      <c r="D6" s="3" t="s">
        <v>2</v>
      </c>
      <c r="E6" s="3" t="s">
        <v>3</v>
      </c>
      <c r="F6" s="3" t="s">
        <v>8</v>
      </c>
      <c r="G6" s="3" t="s">
        <v>9</v>
      </c>
      <c r="H6" s="196" t="s">
        <v>1</v>
      </c>
      <c r="I6" s="196" t="s">
        <v>2</v>
      </c>
      <c r="J6" s="196" t="s">
        <v>3</v>
      </c>
      <c r="K6" s="196" t="s">
        <v>8</v>
      </c>
      <c r="L6" s="196" t="s">
        <v>9</v>
      </c>
      <c r="V6" s="37"/>
    </row>
    <row r="7" spans="2:22" x14ac:dyDescent="0.2">
      <c r="B7" s="182">
        <v>15</v>
      </c>
      <c r="C7" s="150">
        <v>0</v>
      </c>
      <c r="D7" s="150">
        <v>0.01</v>
      </c>
      <c r="E7" s="150">
        <v>0.93</v>
      </c>
      <c r="F7" s="150">
        <v>0.04</v>
      </c>
      <c r="G7" s="150">
        <v>0.22</v>
      </c>
      <c r="H7" s="197">
        <v>0</v>
      </c>
      <c r="I7" s="197">
        <v>0</v>
      </c>
      <c r="J7" s="197">
        <v>0</v>
      </c>
      <c r="K7" s="197">
        <v>0</v>
      </c>
      <c r="L7" s="197">
        <v>0</v>
      </c>
    </row>
    <row r="8" spans="2:22" x14ac:dyDescent="0.2">
      <c r="B8" s="182">
        <v>16</v>
      </c>
      <c r="C8" s="150">
        <v>0</v>
      </c>
      <c r="D8" s="150">
        <v>0.14000000000000001</v>
      </c>
      <c r="E8" s="150">
        <v>1.28</v>
      </c>
      <c r="F8" s="150">
        <v>0.15</v>
      </c>
      <c r="G8" s="150">
        <v>0.39</v>
      </c>
      <c r="H8" s="197">
        <v>0</v>
      </c>
      <c r="I8" s="197">
        <v>0.01</v>
      </c>
      <c r="J8" s="197">
        <v>0.18</v>
      </c>
      <c r="K8" s="197">
        <v>0.01</v>
      </c>
      <c r="L8" s="197">
        <v>0.05</v>
      </c>
    </row>
    <row r="9" spans="2:22" x14ac:dyDescent="0.2">
      <c r="B9" s="182">
        <v>17</v>
      </c>
      <c r="C9" s="150">
        <v>0.02</v>
      </c>
      <c r="D9" s="150">
        <v>0.49</v>
      </c>
      <c r="E9" s="150">
        <v>1.52</v>
      </c>
      <c r="F9" s="150">
        <v>0.47</v>
      </c>
      <c r="G9" s="150">
        <v>0.65</v>
      </c>
      <c r="H9" s="197">
        <v>0</v>
      </c>
      <c r="I9" s="197">
        <v>0.15</v>
      </c>
      <c r="J9" s="197">
        <v>1.02</v>
      </c>
      <c r="K9" s="197">
        <v>0.11</v>
      </c>
      <c r="L9" s="197">
        <v>0.31</v>
      </c>
    </row>
    <row r="10" spans="2:22" x14ac:dyDescent="0.2">
      <c r="B10" s="182">
        <v>18</v>
      </c>
      <c r="C10" s="150">
        <v>7.0000000000000007E-2</v>
      </c>
      <c r="D10" s="150">
        <v>1.71</v>
      </c>
      <c r="E10" s="150">
        <v>3.74</v>
      </c>
      <c r="F10" s="150">
        <v>1.55</v>
      </c>
      <c r="G10" s="150">
        <v>1.96</v>
      </c>
      <c r="H10" s="197">
        <v>0</v>
      </c>
      <c r="I10" s="197">
        <v>0.56999999999999995</v>
      </c>
      <c r="J10" s="197">
        <v>1.56</v>
      </c>
      <c r="K10" s="197">
        <v>0.39</v>
      </c>
      <c r="L10" s="197">
        <v>0.57999999999999996</v>
      </c>
    </row>
    <row r="11" spans="2:22" x14ac:dyDescent="0.2">
      <c r="B11" s="183">
        <v>19</v>
      </c>
      <c r="C11" s="150">
        <v>0.53</v>
      </c>
      <c r="D11" s="150">
        <v>3.01</v>
      </c>
      <c r="E11" s="150">
        <v>3.87</v>
      </c>
      <c r="F11" s="150">
        <v>2.58</v>
      </c>
      <c r="G11" s="150">
        <v>3.09</v>
      </c>
      <c r="H11" s="197">
        <v>0</v>
      </c>
      <c r="I11" s="197">
        <v>1.58</v>
      </c>
      <c r="J11" s="197">
        <v>2.2799999999999998</v>
      </c>
      <c r="K11" s="197">
        <v>0.99</v>
      </c>
      <c r="L11" s="197">
        <v>1.25</v>
      </c>
    </row>
    <row r="12" spans="2:22" x14ac:dyDescent="0.2">
      <c r="B12" s="183">
        <v>20</v>
      </c>
      <c r="C12" s="150">
        <v>1.69</v>
      </c>
      <c r="D12" s="150">
        <v>3.49</v>
      </c>
      <c r="E12" s="150">
        <v>5.41</v>
      </c>
      <c r="F12" s="150">
        <v>3.18</v>
      </c>
      <c r="G12" s="150">
        <v>3.92</v>
      </c>
      <c r="H12" s="197">
        <v>0.02</v>
      </c>
      <c r="I12" s="197">
        <v>2.97</v>
      </c>
      <c r="J12" s="197">
        <v>3.23</v>
      </c>
      <c r="K12" s="197">
        <v>1.8</v>
      </c>
      <c r="L12" s="197">
        <v>2.15</v>
      </c>
    </row>
    <row r="13" spans="2:22" x14ac:dyDescent="0.2">
      <c r="B13" s="183">
        <v>21</v>
      </c>
      <c r="C13" s="150">
        <v>2.64</v>
      </c>
      <c r="D13" s="150">
        <v>4.4400000000000004</v>
      </c>
      <c r="E13" s="150">
        <v>5.0599999999999996</v>
      </c>
      <c r="F13" s="150">
        <v>4.3099999999999996</v>
      </c>
      <c r="G13" s="150">
        <v>4.1399999999999997</v>
      </c>
      <c r="H13" s="197">
        <v>0.05</v>
      </c>
      <c r="I13" s="197">
        <v>3.83</v>
      </c>
      <c r="J13" s="197">
        <v>4.88</v>
      </c>
      <c r="K13" s="197">
        <v>2.4700000000000002</v>
      </c>
      <c r="L13" s="197">
        <v>2.71</v>
      </c>
    </row>
    <row r="14" spans="2:22" x14ac:dyDescent="0.2">
      <c r="B14" s="183">
        <v>22</v>
      </c>
      <c r="C14" s="150">
        <v>2.83</v>
      </c>
      <c r="D14" s="150">
        <v>4.8</v>
      </c>
      <c r="E14" s="150">
        <v>5.41</v>
      </c>
      <c r="F14" s="150">
        <v>4.72</v>
      </c>
      <c r="G14" s="150">
        <v>4.32</v>
      </c>
      <c r="H14" s="197">
        <v>0.14000000000000001</v>
      </c>
      <c r="I14" s="197">
        <v>4.24</v>
      </c>
      <c r="J14" s="197">
        <v>3.53</v>
      </c>
      <c r="K14" s="197">
        <v>2.63</v>
      </c>
      <c r="L14" s="197">
        <v>2.78</v>
      </c>
    </row>
    <row r="15" spans="2:22" x14ac:dyDescent="0.2">
      <c r="B15" s="183">
        <v>23</v>
      </c>
      <c r="C15" s="150">
        <v>5.35</v>
      </c>
      <c r="D15" s="150">
        <v>5.18</v>
      </c>
      <c r="E15" s="150">
        <v>5.8</v>
      </c>
      <c r="F15" s="150">
        <v>5.4</v>
      </c>
      <c r="G15" s="150">
        <v>5</v>
      </c>
      <c r="H15" s="197">
        <v>0.32</v>
      </c>
      <c r="I15" s="197">
        <v>4.57</v>
      </c>
      <c r="J15" s="197">
        <v>4.82</v>
      </c>
      <c r="K15" s="197">
        <v>3.04</v>
      </c>
      <c r="L15" s="197">
        <v>3.06</v>
      </c>
    </row>
    <row r="16" spans="2:22" x14ac:dyDescent="0.2">
      <c r="B16" s="183">
        <v>24</v>
      </c>
      <c r="C16" s="150">
        <v>5.18</v>
      </c>
      <c r="D16" s="150">
        <v>5.14</v>
      </c>
      <c r="E16" s="150">
        <v>9.74</v>
      </c>
      <c r="F16" s="150">
        <v>5.55</v>
      </c>
      <c r="G16" s="150">
        <v>5.74</v>
      </c>
      <c r="H16" s="197">
        <v>0.55000000000000004</v>
      </c>
      <c r="I16" s="197">
        <v>4.5999999999999996</v>
      </c>
      <c r="J16" s="197">
        <v>3.96</v>
      </c>
      <c r="K16" s="197">
        <v>3.11</v>
      </c>
      <c r="L16" s="197">
        <v>2.97</v>
      </c>
    </row>
    <row r="17" spans="2:22" x14ac:dyDescent="0.2">
      <c r="B17" s="183">
        <v>25</v>
      </c>
      <c r="C17" s="150">
        <v>4.07</v>
      </c>
      <c r="D17" s="150">
        <v>4.3</v>
      </c>
      <c r="E17" s="150">
        <v>9.1300000000000008</v>
      </c>
      <c r="F17" s="150">
        <v>4.6399999999999997</v>
      </c>
      <c r="G17" s="150">
        <v>4.97</v>
      </c>
      <c r="H17" s="197">
        <v>0.71</v>
      </c>
      <c r="I17" s="197">
        <v>4.29</v>
      </c>
      <c r="J17" s="197">
        <v>2.83</v>
      </c>
      <c r="K17" s="197">
        <v>2.88</v>
      </c>
      <c r="L17" s="197">
        <v>2.79</v>
      </c>
    </row>
    <row r="18" spans="2:22" x14ac:dyDescent="0.2">
      <c r="B18" s="183">
        <v>26</v>
      </c>
      <c r="C18" s="150">
        <v>3.19</v>
      </c>
      <c r="D18" s="150">
        <v>3.67</v>
      </c>
      <c r="E18" s="150">
        <v>3.7</v>
      </c>
      <c r="F18" s="150">
        <v>3.47</v>
      </c>
      <c r="G18" s="150">
        <v>3.87</v>
      </c>
      <c r="H18" s="197">
        <v>0.87</v>
      </c>
      <c r="I18" s="197">
        <v>4.21</v>
      </c>
      <c r="J18" s="197">
        <v>2.4</v>
      </c>
      <c r="K18" s="197">
        <v>2.82</v>
      </c>
      <c r="L18" s="197">
        <v>2.82</v>
      </c>
    </row>
    <row r="19" spans="2:22" x14ac:dyDescent="0.2">
      <c r="B19" s="183">
        <v>27</v>
      </c>
      <c r="C19" s="150">
        <v>2.4900000000000002</v>
      </c>
      <c r="D19" s="150">
        <v>3.23</v>
      </c>
      <c r="E19" s="150">
        <v>2.77</v>
      </c>
      <c r="F19" s="150">
        <v>2.96</v>
      </c>
      <c r="G19" s="150">
        <v>3.3</v>
      </c>
      <c r="H19" s="197">
        <v>1.02</v>
      </c>
      <c r="I19" s="197">
        <v>4.17</v>
      </c>
      <c r="J19" s="197">
        <v>3.61</v>
      </c>
      <c r="K19" s="197">
        <v>2.92</v>
      </c>
      <c r="L19" s="197">
        <v>3.07</v>
      </c>
    </row>
    <row r="20" spans="2:22" x14ac:dyDescent="0.2">
      <c r="B20" s="183">
        <v>28</v>
      </c>
      <c r="C20" s="150">
        <v>2.4</v>
      </c>
      <c r="D20" s="150">
        <v>2.99</v>
      </c>
      <c r="E20" s="150">
        <v>2.85</v>
      </c>
      <c r="F20" s="150">
        <v>2.76</v>
      </c>
      <c r="G20" s="150">
        <v>3.15</v>
      </c>
      <c r="H20" s="197">
        <v>1.06</v>
      </c>
      <c r="I20" s="197">
        <v>3.73</v>
      </c>
      <c r="J20" s="197">
        <v>5.24</v>
      </c>
      <c r="K20" s="197">
        <v>2.86</v>
      </c>
      <c r="L20" s="197">
        <v>2.96</v>
      </c>
    </row>
    <row r="21" spans="2:22" x14ac:dyDescent="0.2">
      <c r="B21" s="183">
        <v>29</v>
      </c>
      <c r="C21" s="150">
        <v>2.29</v>
      </c>
      <c r="D21" s="150">
        <v>2.77</v>
      </c>
      <c r="E21" s="150">
        <v>3</v>
      </c>
      <c r="F21" s="150">
        <v>2.63</v>
      </c>
      <c r="G21" s="150">
        <v>2.91</v>
      </c>
      <c r="H21" s="197">
        <v>1.1499999999999999</v>
      </c>
      <c r="I21" s="197">
        <v>3.31</v>
      </c>
      <c r="J21" s="197">
        <v>4.1900000000000004</v>
      </c>
      <c r="K21" s="197">
        <v>2.57</v>
      </c>
      <c r="L21" s="197">
        <v>2.67</v>
      </c>
    </row>
    <row r="22" spans="2:22" x14ac:dyDescent="0.2">
      <c r="B22" s="183">
        <v>30</v>
      </c>
      <c r="C22" s="150">
        <v>2.39</v>
      </c>
      <c r="D22" s="150">
        <v>2.57</v>
      </c>
      <c r="E22" s="150">
        <v>2.65</v>
      </c>
      <c r="F22" s="150">
        <v>2.4900000000000002</v>
      </c>
      <c r="G22" s="150">
        <v>2.69</v>
      </c>
      <c r="H22" s="197">
        <v>1.18</v>
      </c>
      <c r="I22" s="197">
        <v>2.91</v>
      </c>
      <c r="J22" s="197">
        <v>3.64</v>
      </c>
      <c r="K22" s="197">
        <v>2.33</v>
      </c>
      <c r="L22" s="197">
        <v>2.38</v>
      </c>
    </row>
    <row r="23" spans="2:22" x14ac:dyDescent="0.2">
      <c r="B23" s="183">
        <v>31</v>
      </c>
      <c r="C23" s="150">
        <v>2.52</v>
      </c>
      <c r="D23" s="150">
        <v>2.5099999999999998</v>
      </c>
      <c r="E23" s="150">
        <v>2.38</v>
      </c>
      <c r="F23" s="150">
        <v>2.46</v>
      </c>
      <c r="G23" s="150">
        <v>2.56</v>
      </c>
      <c r="H23" s="197">
        <v>1.21</v>
      </c>
      <c r="I23" s="197">
        <v>2.68</v>
      </c>
      <c r="J23" s="197">
        <v>3.16</v>
      </c>
      <c r="K23" s="197">
        <v>2.19</v>
      </c>
      <c r="L23" s="197">
        <v>2.2000000000000002</v>
      </c>
    </row>
    <row r="24" spans="2:22" x14ac:dyDescent="0.2">
      <c r="B24" s="183">
        <v>32</v>
      </c>
      <c r="C24" s="150">
        <v>2.44</v>
      </c>
      <c r="D24" s="150">
        <v>2.4500000000000002</v>
      </c>
      <c r="E24" s="150">
        <v>2.34</v>
      </c>
      <c r="F24" s="150">
        <v>2.41</v>
      </c>
      <c r="G24" s="150">
        <v>2.48</v>
      </c>
      <c r="H24" s="197">
        <v>1.27</v>
      </c>
      <c r="I24" s="197">
        <v>2.4900000000000002</v>
      </c>
      <c r="J24" s="197">
        <v>2.85</v>
      </c>
      <c r="K24" s="197">
        <v>2.0699999999999998</v>
      </c>
      <c r="L24" s="197">
        <v>2.11</v>
      </c>
    </row>
    <row r="25" spans="2:22" x14ac:dyDescent="0.2">
      <c r="B25" s="183">
        <v>33</v>
      </c>
      <c r="C25" s="150">
        <v>2.5499999999999998</v>
      </c>
      <c r="D25" s="150">
        <v>2.4300000000000002</v>
      </c>
      <c r="E25" s="150">
        <v>2.06</v>
      </c>
      <c r="F25" s="150">
        <v>2.4500000000000002</v>
      </c>
      <c r="G25" s="150">
        <v>2.34</v>
      </c>
      <c r="H25" s="197">
        <v>1.32</v>
      </c>
      <c r="I25" s="197">
        <v>2.34</v>
      </c>
      <c r="J25" s="197">
        <v>2.33</v>
      </c>
      <c r="K25" s="197">
        <v>2</v>
      </c>
      <c r="L25" s="197">
        <v>1.9</v>
      </c>
    </row>
    <row r="26" spans="2:22" x14ac:dyDescent="0.2">
      <c r="B26" s="183">
        <v>34</v>
      </c>
      <c r="C26" s="150">
        <v>2.63</v>
      </c>
      <c r="D26" s="150">
        <v>2.3199999999999998</v>
      </c>
      <c r="E26" s="150">
        <v>1.95</v>
      </c>
      <c r="F26" s="150">
        <v>2.39</v>
      </c>
      <c r="G26" s="150">
        <v>2.2000000000000002</v>
      </c>
      <c r="H26" s="197">
        <v>1.3</v>
      </c>
      <c r="I26" s="197">
        <v>2.2200000000000002</v>
      </c>
      <c r="J26" s="197">
        <v>1.94</v>
      </c>
      <c r="K26" s="197">
        <v>1.92</v>
      </c>
      <c r="L26" s="197">
        <v>1.74</v>
      </c>
    </row>
    <row r="27" spans="2:22" x14ac:dyDescent="0.2">
      <c r="B27" s="183">
        <v>35</v>
      </c>
      <c r="C27" s="150">
        <v>2.76</v>
      </c>
      <c r="D27" s="150">
        <v>2.27</v>
      </c>
      <c r="E27" s="150">
        <v>1.64</v>
      </c>
      <c r="F27" s="150">
        <v>2.39</v>
      </c>
      <c r="G27" s="150">
        <v>2.04</v>
      </c>
      <c r="H27" s="197">
        <v>1.33</v>
      </c>
      <c r="I27" s="197">
        <v>2.11</v>
      </c>
      <c r="J27" s="197">
        <v>1.74</v>
      </c>
      <c r="K27" s="197">
        <v>1.87</v>
      </c>
      <c r="L27" s="197">
        <v>1.63</v>
      </c>
    </row>
    <row r="28" spans="2:22" x14ac:dyDescent="0.2">
      <c r="B28" s="183">
        <v>36</v>
      </c>
      <c r="C28" s="150">
        <v>2.8</v>
      </c>
      <c r="D28" s="150">
        <v>2.2200000000000002</v>
      </c>
      <c r="E28" s="150">
        <v>1.53</v>
      </c>
      <c r="F28" s="150">
        <v>2.35</v>
      </c>
      <c r="G28" s="150">
        <v>2</v>
      </c>
      <c r="H28" s="197">
        <v>1.32</v>
      </c>
      <c r="I28" s="197">
        <v>1.99</v>
      </c>
      <c r="J28" s="197">
        <v>1.66</v>
      </c>
      <c r="K28" s="197">
        <v>1.82</v>
      </c>
      <c r="L28" s="197">
        <v>1.51</v>
      </c>
    </row>
    <row r="29" spans="2:22" x14ac:dyDescent="0.2">
      <c r="B29" s="183">
        <v>37</v>
      </c>
      <c r="C29" s="150">
        <v>2.65</v>
      </c>
      <c r="D29" s="150">
        <v>2.14</v>
      </c>
      <c r="E29" s="150">
        <v>1.24</v>
      </c>
      <c r="F29" s="150">
        <v>2.27</v>
      </c>
      <c r="G29" s="150">
        <v>1.83</v>
      </c>
      <c r="H29" s="197">
        <v>1.34</v>
      </c>
      <c r="I29" s="197">
        <v>1.9</v>
      </c>
      <c r="J29" s="197">
        <v>1.38</v>
      </c>
      <c r="K29" s="197">
        <v>1.77</v>
      </c>
      <c r="L29" s="197">
        <v>1.39</v>
      </c>
    </row>
    <row r="30" spans="2:22" x14ac:dyDescent="0.2">
      <c r="B30" s="183">
        <v>38</v>
      </c>
      <c r="C30" s="150">
        <v>2.77</v>
      </c>
      <c r="D30" s="150">
        <v>2.12</v>
      </c>
      <c r="E30" s="150">
        <v>1.23</v>
      </c>
      <c r="F30" s="150">
        <v>2.2599999999999998</v>
      </c>
      <c r="G30" s="150">
        <v>1.85</v>
      </c>
      <c r="H30" s="197">
        <v>1.34</v>
      </c>
      <c r="I30" s="197">
        <v>1.84</v>
      </c>
      <c r="J30" s="197">
        <v>1.25</v>
      </c>
      <c r="K30" s="197">
        <v>1.73</v>
      </c>
      <c r="L30" s="197">
        <v>1.36</v>
      </c>
    </row>
    <row r="31" spans="2:22" x14ac:dyDescent="0.2">
      <c r="B31" s="183">
        <v>39</v>
      </c>
      <c r="C31" s="150">
        <v>2.58</v>
      </c>
      <c r="D31" s="150">
        <v>2.0099999999999998</v>
      </c>
      <c r="E31" s="150">
        <v>1.22</v>
      </c>
      <c r="F31" s="150">
        <v>2.16</v>
      </c>
      <c r="G31" s="150">
        <v>1.71</v>
      </c>
      <c r="H31" s="197">
        <v>1.22</v>
      </c>
      <c r="I31" s="197">
        <v>1.77</v>
      </c>
      <c r="J31" s="197">
        <v>1.1399999999999999</v>
      </c>
      <c r="K31" s="197">
        <v>1.62</v>
      </c>
      <c r="L31" s="197">
        <v>1.29</v>
      </c>
      <c r="V31" s="37"/>
    </row>
    <row r="32" spans="2:22" x14ac:dyDescent="0.2">
      <c r="B32" s="183">
        <v>40</v>
      </c>
      <c r="C32" s="150">
        <v>2.59</v>
      </c>
      <c r="D32" s="150">
        <v>1.99</v>
      </c>
      <c r="E32" s="150">
        <v>1.06</v>
      </c>
      <c r="F32" s="150">
        <v>2.11</v>
      </c>
      <c r="G32" s="150">
        <v>1.72</v>
      </c>
      <c r="H32" s="197">
        <v>1.24</v>
      </c>
      <c r="I32" s="197">
        <v>1.68</v>
      </c>
      <c r="J32" s="197">
        <v>0.99</v>
      </c>
      <c r="K32" s="197">
        <v>1.59</v>
      </c>
      <c r="L32" s="197">
        <v>1.2</v>
      </c>
    </row>
    <row r="33" spans="2:12" x14ac:dyDescent="0.2">
      <c r="B33" s="183">
        <v>41</v>
      </c>
      <c r="C33" s="150">
        <v>2.44</v>
      </c>
      <c r="D33" s="150">
        <v>1.89</v>
      </c>
      <c r="E33" s="150">
        <v>0.96</v>
      </c>
      <c r="F33" s="150">
        <v>1.99</v>
      </c>
      <c r="G33" s="150">
        <v>1.64</v>
      </c>
      <c r="H33" s="197">
        <v>1.1599999999999999</v>
      </c>
      <c r="I33" s="197">
        <v>1.59</v>
      </c>
      <c r="J33" s="197">
        <v>0.89</v>
      </c>
      <c r="K33" s="197">
        <v>1.47</v>
      </c>
      <c r="L33" s="197">
        <v>1.18</v>
      </c>
    </row>
    <row r="34" spans="2:12" x14ac:dyDescent="0.2">
      <c r="B34" s="183">
        <v>42</v>
      </c>
      <c r="C34" s="150">
        <v>2.52</v>
      </c>
      <c r="D34" s="150">
        <v>1.91</v>
      </c>
      <c r="E34" s="150">
        <v>1</v>
      </c>
      <c r="F34" s="150">
        <v>2.0299999999999998</v>
      </c>
      <c r="G34" s="150">
        <v>1.65</v>
      </c>
      <c r="H34" s="197">
        <v>1.26</v>
      </c>
      <c r="I34" s="197">
        <v>1.6</v>
      </c>
      <c r="J34" s="197">
        <v>0.84</v>
      </c>
      <c r="K34" s="197">
        <v>1.53</v>
      </c>
      <c r="L34" s="197">
        <v>1.17</v>
      </c>
    </row>
    <row r="35" spans="2:12" x14ac:dyDescent="0.2">
      <c r="B35" s="183">
        <v>43</v>
      </c>
      <c r="C35" s="150">
        <v>2.4500000000000002</v>
      </c>
      <c r="D35" s="150">
        <v>1.83</v>
      </c>
      <c r="E35" s="150">
        <v>0.92</v>
      </c>
      <c r="F35" s="150">
        <v>1.94</v>
      </c>
      <c r="G35" s="150">
        <v>1.61</v>
      </c>
      <c r="H35" s="197">
        <v>1.21</v>
      </c>
      <c r="I35" s="197">
        <v>1.52</v>
      </c>
      <c r="J35" s="197">
        <v>0.85</v>
      </c>
      <c r="K35" s="197">
        <v>1.44</v>
      </c>
      <c r="L35" s="197">
        <v>1.1599999999999999</v>
      </c>
    </row>
    <row r="36" spans="2:12" x14ac:dyDescent="0.2">
      <c r="B36" s="183">
        <v>44</v>
      </c>
      <c r="C36" s="150">
        <v>2.38</v>
      </c>
      <c r="D36" s="150">
        <v>1.83</v>
      </c>
      <c r="E36" s="150">
        <v>0.94</v>
      </c>
      <c r="F36" s="150">
        <v>1.89</v>
      </c>
      <c r="G36" s="150">
        <v>1.66</v>
      </c>
      <c r="H36" s="197">
        <v>1.19</v>
      </c>
      <c r="I36" s="197">
        <v>1.46</v>
      </c>
      <c r="J36" s="197">
        <v>0.89</v>
      </c>
      <c r="K36" s="197">
        <v>1.41</v>
      </c>
      <c r="L36" s="197">
        <v>1.1000000000000001</v>
      </c>
    </row>
    <row r="37" spans="2:12" x14ac:dyDescent="0.2">
      <c r="B37" s="183">
        <v>45</v>
      </c>
      <c r="C37" s="150">
        <v>2.25</v>
      </c>
      <c r="D37" s="150">
        <v>1.64</v>
      </c>
      <c r="E37" s="150">
        <v>0.85</v>
      </c>
      <c r="F37" s="150">
        <v>1.72</v>
      </c>
      <c r="G37" s="150">
        <v>1.51</v>
      </c>
      <c r="H37" s="197">
        <v>1.1200000000000001</v>
      </c>
      <c r="I37" s="197">
        <v>1.38</v>
      </c>
      <c r="J37" s="197">
        <v>0.79</v>
      </c>
      <c r="K37" s="197">
        <v>1.3</v>
      </c>
      <c r="L37" s="197">
        <v>1.08</v>
      </c>
    </row>
    <row r="38" spans="2:12" x14ac:dyDescent="0.2">
      <c r="B38" s="183">
        <v>46</v>
      </c>
      <c r="C38" s="150">
        <v>2.21</v>
      </c>
      <c r="D38" s="150">
        <v>1.52</v>
      </c>
      <c r="E38" s="150">
        <v>0.83</v>
      </c>
      <c r="F38" s="150">
        <v>1.61</v>
      </c>
      <c r="G38" s="150">
        <v>1.41</v>
      </c>
      <c r="H38" s="197">
        <v>1.1200000000000001</v>
      </c>
      <c r="I38" s="197">
        <v>1.32</v>
      </c>
      <c r="J38" s="197">
        <v>0.81</v>
      </c>
      <c r="K38" s="197">
        <v>1.26</v>
      </c>
      <c r="L38" s="197">
        <v>1.07</v>
      </c>
    </row>
    <row r="39" spans="2:12" x14ac:dyDescent="0.2">
      <c r="B39" s="183">
        <v>47</v>
      </c>
      <c r="C39" s="150">
        <v>2.09</v>
      </c>
      <c r="D39" s="150">
        <v>1.49</v>
      </c>
      <c r="E39" s="150">
        <v>0.87</v>
      </c>
      <c r="F39" s="150">
        <v>1.56</v>
      </c>
      <c r="G39" s="150">
        <v>1.42</v>
      </c>
      <c r="H39" s="197">
        <v>1.1200000000000001</v>
      </c>
      <c r="I39" s="197">
        <v>1.27</v>
      </c>
      <c r="J39" s="197">
        <v>0.72</v>
      </c>
      <c r="K39" s="197">
        <v>1.22</v>
      </c>
      <c r="L39" s="197">
        <v>1.05</v>
      </c>
    </row>
    <row r="40" spans="2:12" x14ac:dyDescent="0.2">
      <c r="B40" s="183">
        <v>48</v>
      </c>
      <c r="C40" s="150">
        <v>1.9</v>
      </c>
      <c r="D40" s="150">
        <v>1.39</v>
      </c>
      <c r="E40" s="150">
        <v>0.75</v>
      </c>
      <c r="F40" s="150">
        <v>1.42</v>
      </c>
      <c r="G40" s="150">
        <v>1.35</v>
      </c>
      <c r="H40" s="197">
        <v>1.06</v>
      </c>
      <c r="I40" s="197">
        <v>1.24</v>
      </c>
      <c r="J40" s="197">
        <v>0.7</v>
      </c>
      <c r="K40" s="197">
        <v>1.17</v>
      </c>
      <c r="L40" s="197">
        <v>1.03</v>
      </c>
    </row>
    <row r="41" spans="2:12" x14ac:dyDescent="0.2">
      <c r="B41" s="183">
        <v>49</v>
      </c>
      <c r="C41" s="150">
        <v>1.85</v>
      </c>
      <c r="D41" s="150">
        <v>1.38</v>
      </c>
      <c r="E41" s="150">
        <v>0.69</v>
      </c>
      <c r="F41" s="150">
        <v>1.4</v>
      </c>
      <c r="G41" s="150">
        <v>1.34</v>
      </c>
      <c r="H41" s="197">
        <v>1.1000000000000001</v>
      </c>
      <c r="I41" s="197">
        <v>1.24</v>
      </c>
      <c r="J41" s="197">
        <v>0.74</v>
      </c>
      <c r="K41" s="197">
        <v>1.2</v>
      </c>
      <c r="L41" s="197">
        <v>1.02</v>
      </c>
    </row>
    <row r="42" spans="2:12" x14ac:dyDescent="0.2">
      <c r="B42" s="183">
        <v>50</v>
      </c>
      <c r="C42" s="150">
        <v>1.9</v>
      </c>
      <c r="D42" s="150">
        <v>1.38</v>
      </c>
      <c r="E42" s="150">
        <v>0.7</v>
      </c>
      <c r="F42" s="150">
        <v>1.39</v>
      </c>
      <c r="G42" s="150">
        <v>1.36</v>
      </c>
      <c r="H42" s="197">
        <v>1.19</v>
      </c>
      <c r="I42" s="197">
        <v>1.24</v>
      </c>
      <c r="J42" s="197">
        <v>0.82</v>
      </c>
      <c r="K42" s="197">
        <v>1.23</v>
      </c>
      <c r="L42" s="197">
        <v>1.0900000000000001</v>
      </c>
    </row>
    <row r="43" spans="2:12" x14ac:dyDescent="0.2">
      <c r="B43" s="183">
        <v>51</v>
      </c>
      <c r="C43" s="150">
        <v>1.94</v>
      </c>
      <c r="D43" s="150">
        <v>1.38</v>
      </c>
      <c r="E43" s="150">
        <v>0.85</v>
      </c>
      <c r="F43" s="150">
        <v>1.42</v>
      </c>
      <c r="G43" s="150">
        <v>1.38</v>
      </c>
      <c r="H43" s="197">
        <v>1.27</v>
      </c>
      <c r="I43" s="197">
        <v>1.3</v>
      </c>
      <c r="J43" s="197">
        <v>0.71</v>
      </c>
      <c r="K43" s="197">
        <v>1.28</v>
      </c>
      <c r="L43" s="197">
        <v>1.1399999999999999</v>
      </c>
    </row>
    <row r="44" spans="2:12" x14ac:dyDescent="0.2">
      <c r="B44" s="183">
        <v>52</v>
      </c>
      <c r="C44" s="150">
        <v>1.87</v>
      </c>
      <c r="D44" s="150">
        <v>1.4</v>
      </c>
      <c r="E44" s="150">
        <v>0.72</v>
      </c>
      <c r="F44" s="150">
        <v>1.41</v>
      </c>
      <c r="G44" s="150">
        <v>1.37</v>
      </c>
      <c r="H44" s="197">
        <v>1.31</v>
      </c>
      <c r="I44" s="197">
        <v>1.23</v>
      </c>
      <c r="J44" s="197">
        <v>0.75</v>
      </c>
      <c r="K44" s="197">
        <v>1.25</v>
      </c>
      <c r="L44" s="197">
        <v>1.1499999999999999</v>
      </c>
    </row>
    <row r="45" spans="2:12" x14ac:dyDescent="0.2">
      <c r="B45" s="183">
        <v>53</v>
      </c>
      <c r="C45" s="150">
        <v>1.74</v>
      </c>
      <c r="D45" s="150">
        <v>1.29</v>
      </c>
      <c r="E45" s="150">
        <v>0.69</v>
      </c>
      <c r="F45" s="150">
        <v>1.29</v>
      </c>
      <c r="G45" s="150">
        <v>1.3</v>
      </c>
      <c r="H45" s="197">
        <v>1.32</v>
      </c>
      <c r="I45" s="197">
        <v>1.2</v>
      </c>
      <c r="J45" s="197">
        <v>0.81</v>
      </c>
      <c r="K45" s="197">
        <v>1.23</v>
      </c>
      <c r="L45" s="197">
        <v>1.17</v>
      </c>
    </row>
    <row r="46" spans="2:12" x14ac:dyDescent="0.2">
      <c r="B46" s="183">
        <v>54</v>
      </c>
      <c r="C46" s="150">
        <v>1.51</v>
      </c>
      <c r="D46" s="150">
        <v>1.1499999999999999</v>
      </c>
      <c r="E46" s="150">
        <v>0.6</v>
      </c>
      <c r="F46" s="150">
        <v>1.1399999999999999</v>
      </c>
      <c r="G46" s="150">
        <v>1.1599999999999999</v>
      </c>
      <c r="H46" s="197">
        <v>1.33</v>
      </c>
      <c r="I46" s="197">
        <v>1.1299999999999999</v>
      </c>
      <c r="J46" s="197">
        <v>0.82</v>
      </c>
      <c r="K46" s="197">
        <v>1.2</v>
      </c>
      <c r="L46" s="197">
        <v>1.1299999999999999</v>
      </c>
    </row>
    <row r="47" spans="2:12" x14ac:dyDescent="0.2">
      <c r="B47" s="183">
        <v>55</v>
      </c>
      <c r="C47" s="150">
        <v>1.5</v>
      </c>
      <c r="D47" s="150">
        <v>1.1000000000000001</v>
      </c>
      <c r="E47" s="150">
        <v>0.55000000000000004</v>
      </c>
      <c r="F47" s="150">
        <v>1.0900000000000001</v>
      </c>
      <c r="G47" s="150">
        <v>1.1200000000000001</v>
      </c>
      <c r="H47" s="197">
        <v>1.4</v>
      </c>
      <c r="I47" s="197">
        <v>1.08</v>
      </c>
      <c r="J47" s="197">
        <v>0.75</v>
      </c>
      <c r="K47" s="197">
        <v>1.1499999999999999</v>
      </c>
      <c r="L47" s="197">
        <v>1.2</v>
      </c>
    </row>
    <row r="48" spans="2:12" x14ac:dyDescent="0.2">
      <c r="B48" s="183">
        <v>56</v>
      </c>
      <c r="C48" s="150">
        <v>1.39</v>
      </c>
      <c r="D48" s="150">
        <v>1.01</v>
      </c>
      <c r="E48" s="150">
        <v>0.52</v>
      </c>
      <c r="F48" s="150">
        <v>1.01</v>
      </c>
      <c r="G48" s="150">
        <v>1.02</v>
      </c>
      <c r="H48" s="197">
        <v>1.43</v>
      </c>
      <c r="I48" s="197">
        <v>1.03</v>
      </c>
      <c r="J48" s="197">
        <v>0.76</v>
      </c>
      <c r="K48" s="197">
        <v>1.1200000000000001</v>
      </c>
      <c r="L48" s="197">
        <v>1.22</v>
      </c>
    </row>
    <row r="49" spans="2:12" x14ac:dyDescent="0.2">
      <c r="B49" s="183">
        <v>57</v>
      </c>
      <c r="C49" s="150">
        <v>1.28</v>
      </c>
      <c r="D49" s="150">
        <v>0.93</v>
      </c>
      <c r="E49" s="150">
        <v>0.45</v>
      </c>
      <c r="F49" s="150">
        <v>0.92</v>
      </c>
      <c r="G49" s="150">
        <v>0.96</v>
      </c>
      <c r="H49" s="197">
        <v>2.1</v>
      </c>
      <c r="I49" s="197">
        <v>0.99</v>
      </c>
      <c r="J49" s="197">
        <v>0.79</v>
      </c>
      <c r="K49" s="197">
        <v>1.29</v>
      </c>
      <c r="L49" s="197">
        <v>1.57</v>
      </c>
    </row>
    <row r="50" spans="2:12" x14ac:dyDescent="0.2">
      <c r="B50" s="183">
        <v>58</v>
      </c>
      <c r="C50" s="150">
        <v>1.1100000000000001</v>
      </c>
      <c r="D50" s="150">
        <v>0.91</v>
      </c>
      <c r="E50" s="150">
        <v>0.48</v>
      </c>
      <c r="F50" s="150">
        <v>0.87</v>
      </c>
      <c r="G50" s="150">
        <v>0.96</v>
      </c>
      <c r="H50" s="197">
        <v>2.71</v>
      </c>
      <c r="I50" s="197">
        <v>0.97</v>
      </c>
      <c r="J50" s="197">
        <v>0.82</v>
      </c>
      <c r="K50" s="197">
        <v>1.63</v>
      </c>
      <c r="L50" s="197">
        <v>1.51</v>
      </c>
    </row>
    <row r="51" spans="2:12" x14ac:dyDescent="0.2">
      <c r="B51" s="183">
        <v>59</v>
      </c>
      <c r="C51" s="150">
        <v>1.01</v>
      </c>
      <c r="D51" s="150">
        <v>0.82</v>
      </c>
      <c r="E51" s="150">
        <v>0.44</v>
      </c>
      <c r="F51" s="150">
        <v>0.8</v>
      </c>
      <c r="G51" s="150">
        <v>0.83</v>
      </c>
      <c r="H51" s="197">
        <v>2.4900000000000002</v>
      </c>
      <c r="I51" s="197">
        <v>0.94</v>
      </c>
      <c r="J51" s="197">
        <v>0.99</v>
      </c>
      <c r="K51" s="197">
        <v>1.53</v>
      </c>
      <c r="L51" s="197">
        <v>1.46</v>
      </c>
    </row>
    <row r="52" spans="2:12" x14ac:dyDescent="0.2">
      <c r="B52" s="183">
        <v>60</v>
      </c>
      <c r="C52" s="150">
        <v>0.99</v>
      </c>
      <c r="D52" s="150">
        <v>0.68</v>
      </c>
      <c r="E52" s="150">
        <v>0.48</v>
      </c>
      <c r="F52" s="150">
        <v>0.68</v>
      </c>
      <c r="G52" s="150">
        <v>0.74</v>
      </c>
      <c r="H52" s="197">
        <v>4.3499999999999996</v>
      </c>
      <c r="I52" s="197">
        <v>1.1100000000000001</v>
      </c>
      <c r="J52" s="197">
        <v>1.68</v>
      </c>
      <c r="K52" s="197">
        <v>2.0099999999999998</v>
      </c>
      <c r="L52" s="197">
        <v>3</v>
      </c>
    </row>
    <row r="53" spans="2:12" x14ac:dyDescent="0.2">
      <c r="B53" s="183">
        <v>61</v>
      </c>
      <c r="C53" s="150">
        <v>0.73</v>
      </c>
      <c r="D53" s="150">
        <v>0.57999999999999996</v>
      </c>
      <c r="E53" s="150">
        <v>0.41</v>
      </c>
      <c r="F53" s="150">
        <v>0.56000000000000005</v>
      </c>
      <c r="G53" s="150">
        <v>0.63</v>
      </c>
      <c r="H53" s="197">
        <v>6.43</v>
      </c>
      <c r="I53" s="197">
        <v>1.22</v>
      </c>
      <c r="J53" s="197">
        <v>1.68</v>
      </c>
      <c r="K53" s="197">
        <v>2.77</v>
      </c>
      <c r="L53" s="197">
        <v>3.94</v>
      </c>
    </row>
    <row r="54" spans="2:12" x14ac:dyDescent="0.2">
      <c r="B54" s="183">
        <v>62</v>
      </c>
      <c r="C54" s="150">
        <v>0.59</v>
      </c>
      <c r="D54" s="150">
        <v>0.42</v>
      </c>
      <c r="E54" s="150">
        <v>0.33</v>
      </c>
      <c r="F54" s="150">
        <v>0.39</v>
      </c>
      <c r="G54" s="150">
        <v>0.51</v>
      </c>
      <c r="H54" s="197">
        <v>10.47</v>
      </c>
      <c r="I54" s="197">
        <v>1.58</v>
      </c>
      <c r="J54" s="197">
        <v>2.82</v>
      </c>
      <c r="K54" s="197">
        <v>5.07</v>
      </c>
      <c r="L54" s="197">
        <v>4.68</v>
      </c>
    </row>
    <row r="55" spans="2:12" x14ac:dyDescent="0.2">
      <c r="B55" s="183">
        <v>63</v>
      </c>
      <c r="C55" s="150">
        <v>0.33</v>
      </c>
      <c r="D55" s="150">
        <v>0.36</v>
      </c>
      <c r="E55" s="150">
        <v>0.36</v>
      </c>
      <c r="F55" s="150">
        <v>0.31</v>
      </c>
      <c r="G55" s="150">
        <v>0.43</v>
      </c>
      <c r="H55" s="197">
        <v>12.76</v>
      </c>
      <c r="I55" s="197">
        <v>1.55</v>
      </c>
      <c r="J55" s="197">
        <v>3.36</v>
      </c>
      <c r="K55" s="197">
        <v>6.09</v>
      </c>
      <c r="L55" s="197">
        <v>5.25</v>
      </c>
    </row>
    <row r="56" spans="2:12" x14ac:dyDescent="0.2">
      <c r="B56" s="183">
        <v>64</v>
      </c>
      <c r="C56" s="150">
        <v>0.22</v>
      </c>
      <c r="D56" s="150">
        <v>0.32</v>
      </c>
      <c r="E56" s="150">
        <v>0.24</v>
      </c>
      <c r="F56" s="150">
        <v>0.27</v>
      </c>
      <c r="G56" s="150">
        <v>0.35</v>
      </c>
      <c r="H56" s="197">
        <v>6.35</v>
      </c>
      <c r="I56" s="197">
        <v>1.0900000000000001</v>
      </c>
      <c r="J56" s="197">
        <v>2.21</v>
      </c>
      <c r="K56" s="197">
        <v>3.04</v>
      </c>
      <c r="L56" s="197">
        <v>3.26</v>
      </c>
    </row>
    <row r="57" spans="2:12" x14ac:dyDescent="0.2">
      <c r="B57" s="183">
        <v>65</v>
      </c>
      <c r="C57" s="150">
        <v>0.17</v>
      </c>
      <c r="D57" s="150">
        <v>0.28000000000000003</v>
      </c>
      <c r="E57" s="150">
        <v>0.19</v>
      </c>
      <c r="F57" s="150">
        <v>0.23</v>
      </c>
      <c r="G57" s="150">
        <v>0.3</v>
      </c>
      <c r="H57" s="197">
        <v>4.51</v>
      </c>
      <c r="I57" s="197">
        <v>0.94</v>
      </c>
      <c r="J57" s="197">
        <v>1.9</v>
      </c>
      <c r="K57" s="197">
        <v>2.2200000000000002</v>
      </c>
      <c r="L57" s="197">
        <v>2.56</v>
      </c>
    </row>
    <row r="58" spans="2:12" x14ac:dyDescent="0.2">
      <c r="B58" s="183">
        <v>66</v>
      </c>
      <c r="C58" s="150">
        <v>0.11</v>
      </c>
      <c r="D58" s="150">
        <v>0.22</v>
      </c>
      <c r="E58" s="150">
        <v>0.18</v>
      </c>
      <c r="F58" s="150">
        <v>0.17</v>
      </c>
      <c r="G58" s="150">
        <v>0.26</v>
      </c>
      <c r="H58" s="197">
        <v>2.8</v>
      </c>
      <c r="I58" s="197">
        <v>0.7</v>
      </c>
      <c r="J58" s="197">
        <v>1.33</v>
      </c>
      <c r="K58" s="197">
        <v>1.43</v>
      </c>
      <c r="L58" s="197">
        <v>1.7</v>
      </c>
    </row>
    <row r="59" spans="2:12" x14ac:dyDescent="0.2">
      <c r="B59" s="183">
        <v>67</v>
      </c>
      <c r="C59" s="150">
        <v>0.04</v>
      </c>
      <c r="D59" s="150">
        <v>0.16</v>
      </c>
      <c r="E59" s="150">
        <v>0.16</v>
      </c>
      <c r="F59" s="150">
        <v>0.12</v>
      </c>
      <c r="G59" s="150">
        <v>0.19</v>
      </c>
      <c r="H59" s="197">
        <v>4.1399999999999997</v>
      </c>
      <c r="I59" s="197">
        <v>0.91</v>
      </c>
      <c r="J59" s="197">
        <v>1.87</v>
      </c>
      <c r="K59" s="197">
        <v>1.95</v>
      </c>
      <c r="L59" s="197">
        <v>2.62</v>
      </c>
    </row>
    <row r="60" spans="2:12" x14ac:dyDescent="0.2">
      <c r="B60" s="183">
        <v>68</v>
      </c>
      <c r="C60" s="150">
        <v>0.03</v>
      </c>
      <c r="D60" s="150">
        <v>0.14000000000000001</v>
      </c>
      <c r="E60" s="150">
        <v>0.13</v>
      </c>
      <c r="F60" s="150">
        <v>0.1</v>
      </c>
      <c r="G60" s="150">
        <v>0.18</v>
      </c>
      <c r="H60" s="197">
        <v>0.88</v>
      </c>
      <c r="I60" s="197">
        <v>0.48</v>
      </c>
      <c r="J60" s="197">
        <v>0.95</v>
      </c>
      <c r="K60" s="197">
        <v>0.56999999999999995</v>
      </c>
      <c r="L60" s="197">
        <v>0.86</v>
      </c>
    </row>
    <row r="61" spans="2:12" x14ac:dyDescent="0.2">
      <c r="B61" s="183">
        <v>69</v>
      </c>
      <c r="C61" s="150">
        <v>0.01</v>
      </c>
      <c r="D61" s="150">
        <v>0.11</v>
      </c>
      <c r="E61" s="150">
        <v>0.12</v>
      </c>
      <c r="F61" s="150">
        <v>7.0000000000000007E-2</v>
      </c>
      <c r="G61" s="150">
        <v>0.16</v>
      </c>
      <c r="H61" s="197">
        <v>0.27</v>
      </c>
      <c r="I61" s="197">
        <v>0.27</v>
      </c>
      <c r="J61" s="197">
        <v>0.57999999999999996</v>
      </c>
      <c r="K61" s="197">
        <v>0.24</v>
      </c>
      <c r="L61" s="197">
        <v>0.42</v>
      </c>
    </row>
    <row r="62" spans="2:12" x14ac:dyDescent="0.2">
      <c r="B62" s="36">
        <v>70</v>
      </c>
      <c r="C62" s="57">
        <v>0.02</v>
      </c>
      <c r="D62" s="57">
        <v>0.08</v>
      </c>
      <c r="E62" s="57">
        <v>0.1</v>
      </c>
      <c r="F62" s="57">
        <v>0.05</v>
      </c>
      <c r="G62" s="57">
        <v>0.13</v>
      </c>
      <c r="H62" s="198">
        <v>0.14000000000000001</v>
      </c>
      <c r="I62" s="198">
        <v>0.25</v>
      </c>
      <c r="J62" s="198">
        <v>0.56000000000000005</v>
      </c>
      <c r="K62" s="198">
        <v>0.19</v>
      </c>
      <c r="L62" s="198">
        <v>0.35</v>
      </c>
    </row>
    <row r="63" spans="2:12" x14ac:dyDescent="0.2">
      <c r="B63" s="184"/>
      <c r="C63" s="184"/>
      <c r="D63" s="184"/>
      <c r="E63" s="184"/>
      <c r="F63" s="184"/>
      <c r="G63" s="184"/>
      <c r="H63" s="184"/>
      <c r="I63" s="184"/>
      <c r="J63" s="184"/>
      <c r="K63" s="184"/>
      <c r="L63" s="184"/>
    </row>
    <row r="64" spans="2:12" x14ac:dyDescent="0.2">
      <c r="B64" s="64" t="s">
        <v>47</v>
      </c>
      <c r="C64" s="34"/>
      <c r="D64" s="34"/>
      <c r="E64" s="34"/>
      <c r="F64" s="34"/>
      <c r="G64" s="34"/>
      <c r="H64" s="34"/>
      <c r="I64" s="34"/>
      <c r="J64" s="34"/>
      <c r="K64" s="34"/>
      <c r="L64" s="34"/>
    </row>
    <row r="65" spans="2:11" x14ac:dyDescent="0.2">
      <c r="B65" s="69" t="s">
        <v>61</v>
      </c>
    </row>
    <row r="66" spans="2:11" x14ac:dyDescent="0.2">
      <c r="B66" s="65" t="s">
        <v>64</v>
      </c>
    </row>
    <row r="67" spans="2:11" x14ac:dyDescent="0.2">
      <c r="B67" s="65" t="s">
        <v>81</v>
      </c>
    </row>
    <row r="68" spans="2:11" x14ac:dyDescent="0.2">
      <c r="B68" s="224" t="s">
        <v>56</v>
      </c>
      <c r="C68" s="224"/>
      <c r="D68" s="224"/>
      <c r="E68" s="224"/>
      <c r="F68" s="224"/>
      <c r="G68" s="224"/>
      <c r="H68" s="224"/>
      <c r="I68" s="224"/>
      <c r="J68" s="224"/>
      <c r="K68" s="224"/>
    </row>
  </sheetData>
  <mergeCells count="3">
    <mergeCell ref="C5:G5"/>
    <mergeCell ref="H5:L5"/>
    <mergeCell ref="B68:K68"/>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9"/>
  <sheetViews>
    <sheetView showGridLines="0" zoomScale="90" zoomScaleNormal="90" workbookViewId="0"/>
  </sheetViews>
  <sheetFormatPr baseColWidth="10" defaultColWidth="11.42578125" defaultRowHeight="12.75" x14ac:dyDescent="0.2"/>
  <cols>
    <col min="1" max="1" width="3.7109375" style="37" customWidth="1"/>
    <col min="2" max="2" width="32.5703125" style="37" customWidth="1"/>
    <col min="3" max="3" width="14" style="37" bestFit="1" customWidth="1"/>
    <col min="4" max="4" width="12" style="37" bestFit="1" customWidth="1"/>
    <col min="5" max="5" width="13" style="37" bestFit="1" customWidth="1"/>
    <col min="6" max="16384" width="11.42578125" style="37"/>
  </cols>
  <sheetData>
    <row r="2" spans="2:7" x14ac:dyDescent="0.2">
      <c r="B2" s="40" t="s">
        <v>126</v>
      </c>
      <c r="C2" s="74"/>
      <c r="D2" s="74"/>
      <c r="E2" s="74"/>
    </row>
    <row r="3" spans="2:7" x14ac:dyDescent="0.2">
      <c r="B3" s="40"/>
      <c r="C3" s="74"/>
      <c r="D3" s="74"/>
      <c r="E3" s="74"/>
    </row>
    <row r="4" spans="2:7" ht="63.75" x14ac:dyDescent="0.2">
      <c r="B4" s="82"/>
      <c r="C4" s="38" t="s">
        <v>57</v>
      </c>
      <c r="D4" s="41" t="s">
        <v>58</v>
      </c>
      <c r="E4" s="39" t="s">
        <v>82</v>
      </c>
    </row>
    <row r="5" spans="2:7" x14ac:dyDescent="0.2">
      <c r="B5" s="42" t="s">
        <v>7</v>
      </c>
      <c r="C5" s="58">
        <v>332.14400000000001</v>
      </c>
      <c r="D5" s="59">
        <v>-2.7490754919729601</v>
      </c>
      <c r="E5" s="60">
        <v>5.314584</v>
      </c>
    </row>
    <row r="6" spans="2:7" x14ac:dyDescent="0.2">
      <c r="B6" s="43" t="s">
        <v>30</v>
      </c>
      <c r="C6" s="44">
        <v>123.44499999999999</v>
      </c>
      <c r="D6" s="45">
        <v>-9.9290055671893391</v>
      </c>
      <c r="E6" s="46">
        <v>4.8579829999999999</v>
      </c>
    </row>
    <row r="7" spans="2:7" x14ac:dyDescent="0.2">
      <c r="B7" s="47" t="s">
        <v>32</v>
      </c>
      <c r="C7" s="48">
        <v>150.869</v>
      </c>
      <c r="D7" s="49">
        <v>3.6857586628730088</v>
      </c>
      <c r="E7" s="50">
        <v>6.4761150000000001</v>
      </c>
    </row>
    <row r="8" spans="2:7" x14ac:dyDescent="0.2">
      <c r="B8" s="47" t="s">
        <v>40</v>
      </c>
      <c r="C8" s="51">
        <v>57.83</v>
      </c>
      <c r="D8" s="52">
        <v>-1.9398378946654433</v>
      </c>
      <c r="E8" s="53">
        <v>4.1936980000000004</v>
      </c>
    </row>
    <row r="9" spans="2:7" x14ac:dyDescent="0.2">
      <c r="B9" s="43" t="s">
        <v>1</v>
      </c>
      <c r="C9" s="44">
        <v>12.34</v>
      </c>
      <c r="D9" s="45">
        <v>-29.954021683601074</v>
      </c>
      <c r="E9" s="46">
        <v>0.3221852</v>
      </c>
    </row>
    <row r="10" spans="2:7" x14ac:dyDescent="0.2">
      <c r="B10" s="47" t="s">
        <v>2</v>
      </c>
      <c r="C10" s="48">
        <v>307.06900000000002</v>
      </c>
      <c r="D10" s="49">
        <v>-0.67088693581933134</v>
      </c>
      <c r="E10" s="50">
        <v>15.4635193</v>
      </c>
      <c r="G10" s="83"/>
    </row>
    <row r="11" spans="2:7" x14ac:dyDescent="0.2">
      <c r="B11" s="54" t="s">
        <v>3</v>
      </c>
      <c r="C11" s="51">
        <v>12.734999999999999</v>
      </c>
      <c r="D11" s="52">
        <v>-13.795437622690047</v>
      </c>
      <c r="E11" s="53">
        <v>2.9356034000000002</v>
      </c>
    </row>
    <row r="12" spans="2:7" x14ac:dyDescent="0.2">
      <c r="B12" s="47" t="s">
        <v>8</v>
      </c>
      <c r="C12" s="48">
        <v>201.2</v>
      </c>
      <c r="D12" s="49">
        <v>-4.7149974426490449</v>
      </c>
      <c r="E12" s="50">
        <v>4.895867</v>
      </c>
    </row>
    <row r="13" spans="2:7" x14ac:dyDescent="0.2">
      <c r="B13" s="54" t="s">
        <v>9</v>
      </c>
      <c r="C13" s="51">
        <v>130.94399999999999</v>
      </c>
      <c r="D13" s="52">
        <v>0.43489265744723288</v>
      </c>
      <c r="E13" s="53">
        <v>6.1186439999999997</v>
      </c>
    </row>
    <row r="14" spans="2:7" x14ac:dyDescent="0.2">
      <c r="B14" s="55"/>
      <c r="C14" s="56"/>
      <c r="D14" s="56"/>
      <c r="E14" s="56"/>
    </row>
    <row r="15" spans="2:7" x14ac:dyDescent="0.2">
      <c r="B15" s="62" t="s">
        <v>47</v>
      </c>
      <c r="C15" s="63"/>
      <c r="D15" s="63"/>
      <c r="E15" s="63"/>
    </row>
    <row r="16" spans="2:7" ht="36" customHeight="1" x14ac:dyDescent="0.2">
      <c r="B16" s="225" t="s">
        <v>59</v>
      </c>
      <c r="C16" s="225"/>
      <c r="D16" s="225"/>
      <c r="E16" s="225"/>
    </row>
    <row r="17" spans="2:5" ht="36.6" customHeight="1" x14ac:dyDescent="0.2">
      <c r="B17" s="225" t="s">
        <v>105</v>
      </c>
      <c r="C17" s="225"/>
      <c r="D17" s="225"/>
      <c r="E17" s="225"/>
    </row>
    <row r="18" spans="2:5" ht="35.1" customHeight="1" x14ac:dyDescent="0.2">
      <c r="B18" s="225" t="s">
        <v>117</v>
      </c>
      <c r="C18" s="225"/>
      <c r="D18" s="225"/>
      <c r="E18" s="225"/>
    </row>
    <row r="19" spans="2:5" ht="27" customHeight="1" x14ac:dyDescent="0.2">
      <c r="B19" s="225" t="s">
        <v>106</v>
      </c>
      <c r="C19" s="225"/>
      <c r="D19" s="225"/>
      <c r="E19" s="225"/>
    </row>
  </sheetData>
  <mergeCells count="4">
    <mergeCell ref="B19:E19"/>
    <mergeCell ref="B16:E16"/>
    <mergeCell ref="B17:E17"/>
    <mergeCell ref="B18:E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11"/>
  <sheetViews>
    <sheetView showGridLines="0" zoomScale="90" zoomScaleNormal="90" workbookViewId="0"/>
  </sheetViews>
  <sheetFormatPr baseColWidth="10" defaultColWidth="10.85546875" defaultRowHeight="12.75" x14ac:dyDescent="0.2"/>
  <cols>
    <col min="1" max="1" width="3.7109375" style="5" customWidth="1"/>
    <col min="2" max="16384" width="10.85546875" style="5"/>
  </cols>
  <sheetData>
    <row r="2" spans="2:11" x14ac:dyDescent="0.2">
      <c r="B2" s="1" t="s">
        <v>128</v>
      </c>
      <c r="C2" s="84"/>
      <c r="D2" s="84"/>
      <c r="E2" s="84"/>
      <c r="F2" s="84"/>
      <c r="G2" s="84"/>
      <c r="H2" s="84"/>
      <c r="I2" s="84"/>
      <c r="J2" s="84"/>
      <c r="K2" s="84"/>
    </row>
    <row r="3" spans="2:11" x14ac:dyDescent="0.2">
      <c r="B3" s="1"/>
      <c r="C3" s="84"/>
      <c r="D3" s="84"/>
      <c r="E3" s="84"/>
      <c r="F3" s="84"/>
      <c r="G3" s="84"/>
      <c r="H3" s="84"/>
      <c r="I3" s="84"/>
      <c r="J3" s="84"/>
      <c r="K3" s="84"/>
    </row>
    <row r="4" spans="2:11" x14ac:dyDescent="0.2">
      <c r="B4" s="84" t="s">
        <v>0</v>
      </c>
      <c r="C4" s="84"/>
      <c r="D4" s="84"/>
      <c r="E4" s="84"/>
      <c r="F4" s="84"/>
      <c r="G4" s="84"/>
      <c r="H4" s="84"/>
      <c r="I4" s="84"/>
      <c r="J4" s="84"/>
      <c r="K4" s="84"/>
    </row>
    <row r="5" spans="2:11" x14ac:dyDescent="0.2">
      <c r="B5" s="85"/>
      <c r="C5" s="6">
        <v>2016</v>
      </c>
      <c r="D5" s="6">
        <v>2017</v>
      </c>
      <c r="E5" s="6">
        <v>2018</v>
      </c>
      <c r="F5" s="6">
        <v>2019</v>
      </c>
      <c r="G5" s="6">
        <v>2020</v>
      </c>
      <c r="H5" s="86">
        <v>2021</v>
      </c>
      <c r="I5" s="86">
        <v>2022</v>
      </c>
      <c r="J5" s="86">
        <v>2023</v>
      </c>
      <c r="K5" s="86">
        <v>2024</v>
      </c>
    </row>
    <row r="6" spans="2:11" x14ac:dyDescent="0.2">
      <c r="B6" s="7" t="s">
        <v>2</v>
      </c>
      <c r="C6" s="8">
        <v>217.6</v>
      </c>
      <c r="D6" s="8">
        <v>225.2</v>
      </c>
      <c r="E6" s="8">
        <v>233.3</v>
      </c>
      <c r="F6" s="8">
        <v>248.8</v>
      </c>
      <c r="G6" s="8">
        <v>225.6</v>
      </c>
      <c r="H6" s="8">
        <v>279.39699999999999</v>
      </c>
      <c r="I6" s="8">
        <v>269.745</v>
      </c>
      <c r="J6" s="8">
        <v>309.14299999999997</v>
      </c>
      <c r="K6" s="61">
        <v>307.13400000000001</v>
      </c>
    </row>
    <row r="7" spans="2:11" x14ac:dyDescent="0.2">
      <c r="B7" s="76"/>
      <c r="C7" s="77"/>
      <c r="D7" s="77"/>
      <c r="E7" s="77"/>
      <c r="F7" s="77"/>
      <c r="G7" s="77"/>
      <c r="H7" s="77"/>
      <c r="I7" s="77"/>
      <c r="J7" s="77"/>
      <c r="K7" s="56"/>
    </row>
    <row r="8" spans="2:11" x14ac:dyDescent="0.2">
      <c r="B8" s="64" t="s">
        <v>47</v>
      </c>
      <c r="C8" s="84"/>
      <c r="D8" s="84"/>
      <c r="E8" s="84"/>
      <c r="F8" s="84"/>
      <c r="G8" s="84"/>
      <c r="H8" s="84"/>
      <c r="I8" s="84"/>
      <c r="J8" s="84"/>
      <c r="K8" s="84"/>
    </row>
    <row r="9" spans="2:11" x14ac:dyDescent="0.2">
      <c r="B9" s="69" t="s">
        <v>50</v>
      </c>
    </row>
    <row r="10" spans="2:11" ht="29.1" customHeight="1" x14ac:dyDescent="0.2">
      <c r="B10" s="224" t="s">
        <v>84</v>
      </c>
      <c r="C10" s="224"/>
      <c r="D10" s="224"/>
      <c r="E10" s="224"/>
      <c r="F10" s="224"/>
      <c r="G10" s="224"/>
      <c r="H10" s="224"/>
      <c r="I10" s="224"/>
      <c r="J10" s="224"/>
      <c r="K10" s="224"/>
    </row>
    <row r="11" spans="2:11" x14ac:dyDescent="0.2">
      <c r="B11" s="65" t="s">
        <v>83</v>
      </c>
      <c r="C11" s="84"/>
      <c r="D11" s="84"/>
      <c r="E11" s="84"/>
      <c r="F11" s="84"/>
      <c r="G11" s="84"/>
      <c r="H11" s="84"/>
      <c r="I11" s="84"/>
      <c r="J11" s="84"/>
      <c r="K11" s="84"/>
    </row>
  </sheetData>
  <mergeCells count="1">
    <mergeCell ref="B10:K1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A6F2-AF27-42AE-8A40-A3C22AA60737}">
  <dimension ref="B2:K32"/>
  <sheetViews>
    <sheetView showGridLines="0" zoomScale="90" zoomScaleNormal="90" workbookViewId="0"/>
  </sheetViews>
  <sheetFormatPr baseColWidth="10" defaultColWidth="11.42578125" defaultRowHeight="12.75" x14ac:dyDescent="0.2"/>
  <cols>
    <col min="1" max="1" width="3.7109375" style="5" customWidth="1"/>
    <col min="2" max="2" width="30.42578125" style="5" customWidth="1"/>
    <col min="3" max="3" width="29.140625" style="5" bestFit="1" customWidth="1"/>
    <col min="4" max="4" width="9.5703125" style="5" customWidth="1"/>
    <col min="5" max="5" width="15.7109375" style="5" customWidth="1"/>
    <col min="6" max="7" width="15.28515625" style="5" customWidth="1"/>
    <col min="8" max="8" width="13" style="5" customWidth="1"/>
    <col min="9" max="9" width="12.85546875" style="5" customWidth="1"/>
    <col min="10" max="10" width="13.7109375" style="5" customWidth="1"/>
    <col min="11" max="11" width="10" style="5" customWidth="1"/>
    <col min="12" max="16384" width="11.42578125" style="5"/>
  </cols>
  <sheetData>
    <row r="2" spans="2:11" x14ac:dyDescent="0.2">
      <c r="B2" s="9" t="s">
        <v>118</v>
      </c>
      <c r="C2" s="9"/>
      <c r="D2" s="9"/>
      <c r="E2" s="9"/>
      <c r="F2" s="9"/>
      <c r="G2" s="9"/>
      <c r="H2" s="9"/>
      <c r="I2" s="12"/>
      <c r="J2" s="12"/>
      <c r="K2" s="12"/>
    </row>
    <row r="3" spans="2:11" x14ac:dyDescent="0.2">
      <c r="B3" s="9"/>
      <c r="C3" s="9"/>
      <c r="D3" s="9"/>
      <c r="E3" s="9"/>
      <c r="F3" s="9"/>
      <c r="G3" s="9"/>
      <c r="H3" s="9"/>
      <c r="I3" s="12"/>
      <c r="J3" s="12"/>
      <c r="K3" s="12"/>
    </row>
    <row r="4" spans="2:11" x14ac:dyDescent="0.2">
      <c r="B4" s="12" t="s">
        <v>0</v>
      </c>
      <c r="C4" s="12"/>
      <c r="D4" s="35"/>
      <c r="E4" s="12"/>
      <c r="F4" s="12"/>
      <c r="G4" s="12"/>
      <c r="H4" s="12"/>
      <c r="I4" s="12"/>
      <c r="J4" s="12"/>
      <c r="K4" s="12"/>
    </row>
    <row r="5" spans="2:11" x14ac:dyDescent="0.2">
      <c r="B5" s="230"/>
      <c r="C5" s="231"/>
      <c r="D5" s="236" t="s">
        <v>73</v>
      </c>
      <c r="E5" s="238" t="s">
        <v>13</v>
      </c>
      <c r="F5" s="239"/>
      <c r="G5" s="239"/>
      <c r="H5" s="240"/>
      <c r="I5" s="238" t="s">
        <v>14</v>
      </c>
      <c r="J5" s="240"/>
      <c r="K5" s="236" t="s">
        <v>55</v>
      </c>
    </row>
    <row r="6" spans="2:11" ht="15" x14ac:dyDescent="0.25">
      <c r="B6" s="232"/>
      <c r="C6" s="233"/>
      <c r="D6" s="237"/>
      <c r="E6" s="241" t="s">
        <v>74</v>
      </c>
      <c r="F6" s="242"/>
      <c r="G6" s="243"/>
      <c r="H6" s="244" t="s">
        <v>15</v>
      </c>
      <c r="I6" s="244" t="s">
        <v>75</v>
      </c>
      <c r="J6" s="244" t="s">
        <v>15</v>
      </c>
      <c r="K6" s="237"/>
    </row>
    <row r="7" spans="2:11" ht="51" x14ac:dyDescent="0.2">
      <c r="B7" s="234"/>
      <c r="C7" s="235"/>
      <c r="D7" s="237"/>
      <c r="E7" s="10" t="s">
        <v>72</v>
      </c>
      <c r="F7" s="33" t="s">
        <v>49</v>
      </c>
      <c r="G7" s="33" t="s">
        <v>129</v>
      </c>
      <c r="H7" s="245"/>
      <c r="I7" s="245"/>
      <c r="J7" s="245"/>
      <c r="K7" s="237"/>
    </row>
    <row r="8" spans="2:11" x14ac:dyDescent="0.2">
      <c r="B8" s="226" t="s">
        <v>30</v>
      </c>
      <c r="C8" s="11" t="s">
        <v>1</v>
      </c>
      <c r="D8" s="185">
        <v>1503.5219999999999</v>
      </c>
      <c r="E8" s="142">
        <v>33.796999999999997</v>
      </c>
      <c r="F8" s="143">
        <v>0.01</v>
      </c>
      <c r="G8" s="143">
        <v>1.474</v>
      </c>
      <c r="H8" s="185">
        <v>5.6289999999999996</v>
      </c>
      <c r="I8" s="185">
        <v>55.628999999999998</v>
      </c>
      <c r="J8" s="185">
        <v>3.2509999999999999</v>
      </c>
      <c r="K8" s="186">
        <v>1501.7360000000001</v>
      </c>
    </row>
    <row r="9" spans="2:11" x14ac:dyDescent="0.2">
      <c r="B9" s="227"/>
      <c r="C9" s="12" t="s">
        <v>2</v>
      </c>
      <c r="D9" s="187">
        <v>577.41300000000001</v>
      </c>
      <c r="E9" s="144">
        <v>135.607</v>
      </c>
      <c r="F9" s="145">
        <v>0.26400000000000001</v>
      </c>
      <c r="G9" s="145">
        <v>0.67800000000000005</v>
      </c>
      <c r="H9" s="187">
        <v>7.1980000000000004</v>
      </c>
      <c r="I9" s="187">
        <v>98.793999999999997</v>
      </c>
      <c r="J9" s="187">
        <v>5.891</v>
      </c>
      <c r="K9" s="188">
        <v>598.02300000000002</v>
      </c>
    </row>
    <row r="10" spans="2:11" x14ac:dyDescent="0.2">
      <c r="B10" s="227"/>
      <c r="C10" s="12" t="s">
        <v>3</v>
      </c>
      <c r="D10" s="187">
        <v>168.929</v>
      </c>
      <c r="E10" s="144">
        <v>16.268999999999998</v>
      </c>
      <c r="F10" s="145">
        <v>1.4E-2</v>
      </c>
      <c r="G10" s="145">
        <v>0.03</v>
      </c>
      <c r="H10" s="187">
        <v>0.48199999999999998</v>
      </c>
      <c r="I10" s="187">
        <v>15.56</v>
      </c>
      <c r="J10" s="187">
        <v>0.44800000000000001</v>
      </c>
      <c r="K10" s="188">
        <v>169.25700000000001</v>
      </c>
    </row>
    <row r="11" spans="2:11" x14ac:dyDescent="0.2">
      <c r="B11" s="227"/>
      <c r="C11" s="13" t="s">
        <v>10</v>
      </c>
      <c r="D11" s="189">
        <v>2249.864</v>
      </c>
      <c r="E11" s="146">
        <v>185.673</v>
      </c>
      <c r="F11" s="147">
        <v>0.28799999999999998</v>
      </c>
      <c r="G11" s="147">
        <v>2.1819999999999999</v>
      </c>
      <c r="H11" s="189">
        <v>13.308999999999999</v>
      </c>
      <c r="I11" s="189">
        <v>169.983</v>
      </c>
      <c r="J11" s="189">
        <v>9.59</v>
      </c>
      <c r="K11" s="190">
        <v>2269.0160000000001</v>
      </c>
    </row>
    <row r="12" spans="2:11" x14ac:dyDescent="0.2">
      <c r="B12" s="124"/>
      <c r="C12" s="12"/>
      <c r="D12" s="187"/>
      <c r="E12" s="144"/>
      <c r="F12" s="145"/>
      <c r="G12" s="145"/>
      <c r="H12" s="187"/>
      <c r="I12" s="187"/>
      <c r="J12" s="187"/>
      <c r="K12" s="188"/>
    </row>
    <row r="13" spans="2:11" x14ac:dyDescent="0.2">
      <c r="B13" s="227" t="s">
        <v>32</v>
      </c>
      <c r="C13" s="12" t="s">
        <v>1</v>
      </c>
      <c r="D13" s="187">
        <v>1421.2</v>
      </c>
      <c r="E13" s="144">
        <v>25.327999999999999</v>
      </c>
      <c r="F13" s="145">
        <v>0.59399999999999997</v>
      </c>
      <c r="G13" s="145">
        <v>0.90800000000000003</v>
      </c>
      <c r="H13" s="187">
        <v>4.8869999999999996</v>
      </c>
      <c r="I13" s="187">
        <v>73.742999999999995</v>
      </c>
      <c r="J13" s="187">
        <v>5.7560000000000002</v>
      </c>
      <c r="K13" s="188">
        <v>1417.086</v>
      </c>
    </row>
    <row r="14" spans="2:11" x14ac:dyDescent="0.2">
      <c r="B14" s="227"/>
      <c r="C14" s="12" t="s">
        <v>2</v>
      </c>
      <c r="D14" s="187">
        <v>524.48400000000004</v>
      </c>
      <c r="E14" s="144">
        <v>174.77099999999999</v>
      </c>
      <c r="F14" s="145">
        <v>3.9340000000000002</v>
      </c>
      <c r="G14" s="145">
        <v>0.36899999999999999</v>
      </c>
      <c r="H14" s="187">
        <v>7.2069999999999999</v>
      </c>
      <c r="I14" s="187">
        <v>115.577</v>
      </c>
      <c r="J14" s="187">
        <v>8.1769999999999996</v>
      </c>
      <c r="K14" s="188">
        <v>538.923</v>
      </c>
    </row>
    <row r="15" spans="2:11" x14ac:dyDescent="0.2">
      <c r="B15" s="227"/>
      <c r="C15" s="12" t="s">
        <v>3</v>
      </c>
      <c r="D15" s="187">
        <v>62.088000000000001</v>
      </c>
      <c r="E15" s="144">
        <v>14.186999999999999</v>
      </c>
      <c r="F15" s="145">
        <v>6.3E-2</v>
      </c>
      <c r="G15" s="145">
        <v>2.7E-2</v>
      </c>
      <c r="H15" s="187">
        <v>0.46700000000000003</v>
      </c>
      <c r="I15" s="187">
        <v>12.21</v>
      </c>
      <c r="J15" s="187">
        <v>0.441</v>
      </c>
      <c r="K15" s="188">
        <v>61.820999999999998</v>
      </c>
    </row>
    <row r="16" spans="2:11" x14ac:dyDescent="0.2">
      <c r="B16" s="227"/>
      <c r="C16" s="13" t="s">
        <v>10</v>
      </c>
      <c r="D16" s="189">
        <v>2007.7719999999999</v>
      </c>
      <c r="E16" s="146">
        <v>214.286</v>
      </c>
      <c r="F16" s="147">
        <v>4.5910000000000002</v>
      </c>
      <c r="G16" s="147">
        <v>1.304</v>
      </c>
      <c r="H16" s="189">
        <v>12.561</v>
      </c>
      <c r="I16" s="189">
        <v>201.53</v>
      </c>
      <c r="J16" s="189">
        <v>14.374000000000001</v>
      </c>
      <c r="K16" s="190">
        <v>2017.83</v>
      </c>
    </row>
    <row r="17" spans="2:11" x14ac:dyDescent="0.2">
      <c r="B17" s="124"/>
      <c r="C17" s="12"/>
      <c r="D17" s="187"/>
      <c r="E17" s="144"/>
      <c r="F17" s="145"/>
      <c r="G17" s="145"/>
      <c r="H17" s="187"/>
      <c r="I17" s="187"/>
      <c r="J17" s="187"/>
      <c r="K17" s="188">
        <v>0</v>
      </c>
    </row>
    <row r="18" spans="2:11" x14ac:dyDescent="0.2">
      <c r="B18" s="227" t="s">
        <v>40</v>
      </c>
      <c r="C18" s="12" t="s">
        <v>1</v>
      </c>
      <c r="D18" s="187">
        <v>826.69299999999998</v>
      </c>
      <c r="E18" s="144">
        <v>12.468</v>
      </c>
      <c r="F18" s="145">
        <v>5.0000000000000001E-3</v>
      </c>
      <c r="G18" s="145">
        <v>4.5999999999999999E-2</v>
      </c>
      <c r="H18" s="187">
        <v>1.8380000000000001</v>
      </c>
      <c r="I18" s="187">
        <v>45.283000000000001</v>
      </c>
      <c r="J18" s="187">
        <v>4.0199999999999996</v>
      </c>
      <c r="K18" s="188">
        <v>827.01400000000001</v>
      </c>
    </row>
    <row r="19" spans="2:11" x14ac:dyDescent="0.2">
      <c r="B19" s="227"/>
      <c r="C19" s="12" t="s">
        <v>2</v>
      </c>
      <c r="D19" s="187">
        <v>268.73200000000003</v>
      </c>
      <c r="E19" s="144">
        <v>82.924999999999997</v>
      </c>
      <c r="F19" s="145">
        <v>0.36899999999999999</v>
      </c>
      <c r="G19" s="145">
        <v>0.13600000000000001</v>
      </c>
      <c r="H19" s="187">
        <v>3.5430000000000001</v>
      </c>
      <c r="I19" s="187">
        <v>46.808</v>
      </c>
      <c r="J19" s="187">
        <v>2.883</v>
      </c>
      <c r="K19" s="188">
        <v>270.78100000000001</v>
      </c>
    </row>
    <row r="20" spans="2:11" x14ac:dyDescent="0.2">
      <c r="B20" s="227"/>
      <c r="C20" s="12" t="s">
        <v>3</v>
      </c>
      <c r="D20" s="187">
        <v>147.24199999999999</v>
      </c>
      <c r="E20" s="144">
        <v>21.782</v>
      </c>
      <c r="F20" s="145">
        <v>8.9999999999999993E-3</v>
      </c>
      <c r="G20" s="145">
        <v>2.4E-2</v>
      </c>
      <c r="H20" s="187">
        <v>0.69099999999999995</v>
      </c>
      <c r="I20" s="187">
        <v>17.994</v>
      </c>
      <c r="J20" s="187">
        <v>1.075</v>
      </c>
      <c r="K20" s="188">
        <v>150.79599999999999</v>
      </c>
    </row>
    <row r="21" spans="2:11" x14ac:dyDescent="0.2">
      <c r="B21" s="228"/>
      <c r="C21" s="14" t="s">
        <v>10</v>
      </c>
      <c r="D21" s="191">
        <v>1242.6669999999999</v>
      </c>
      <c r="E21" s="148">
        <v>117.175</v>
      </c>
      <c r="F21" s="149">
        <v>0.38300000000000001</v>
      </c>
      <c r="G21" s="149">
        <v>0.20599999999999999</v>
      </c>
      <c r="H21" s="191">
        <v>6.0720000000000001</v>
      </c>
      <c r="I21" s="191">
        <v>110.08499999999999</v>
      </c>
      <c r="J21" s="191">
        <v>7.9779999999999998</v>
      </c>
      <c r="K21" s="192">
        <v>1248.5909999999999</v>
      </c>
    </row>
    <row r="22" spans="2:11" x14ac:dyDescent="0.2">
      <c r="B22" s="193"/>
      <c r="C22" s="13"/>
      <c r="D22" s="194"/>
      <c r="E22" s="194"/>
      <c r="F22" s="195"/>
      <c r="G22" s="195"/>
      <c r="H22" s="194"/>
      <c r="I22" s="194"/>
      <c r="J22" s="194"/>
      <c r="K22" s="194"/>
    </row>
    <row r="23" spans="2:11" x14ac:dyDescent="0.2">
      <c r="B23" s="66" t="s">
        <v>47</v>
      </c>
      <c r="C23" s="67"/>
      <c r="D23" s="68"/>
      <c r="E23" s="68"/>
      <c r="F23" s="68"/>
      <c r="G23" s="68"/>
      <c r="H23" s="170"/>
      <c r="I23" s="68"/>
      <c r="J23" s="68"/>
      <c r="K23" s="68"/>
    </row>
    <row r="24" spans="2:11" x14ac:dyDescent="0.2">
      <c r="B24" s="69" t="s">
        <v>48</v>
      </c>
      <c r="C24" s="70"/>
      <c r="D24" s="70"/>
      <c r="E24" s="70"/>
      <c r="F24" s="71"/>
      <c r="G24" s="71"/>
      <c r="H24" s="170"/>
      <c r="I24" s="72"/>
      <c r="J24" s="67"/>
      <c r="K24" s="67"/>
    </row>
    <row r="25" spans="2:11" ht="57.75" customHeight="1" x14ac:dyDescent="0.2">
      <c r="B25" s="199" t="s">
        <v>76</v>
      </c>
      <c r="C25" s="203"/>
      <c r="D25" s="203"/>
      <c r="E25" s="203"/>
      <c r="F25" s="203"/>
      <c r="G25" s="203"/>
      <c r="H25" s="203"/>
      <c r="I25" s="203"/>
      <c r="J25" s="203"/>
      <c r="K25" s="203"/>
    </row>
    <row r="26" spans="2:11" x14ac:dyDescent="0.2">
      <c r="B26" s="67" t="s">
        <v>77</v>
      </c>
      <c r="C26" s="67"/>
      <c r="D26" s="67"/>
      <c r="E26" s="68"/>
      <c r="F26" s="67"/>
      <c r="G26" s="67"/>
      <c r="H26" s="67"/>
      <c r="I26" s="68"/>
      <c r="J26" s="67"/>
      <c r="K26" s="67"/>
    </row>
    <row r="27" spans="2:11" x14ac:dyDescent="0.2">
      <c r="B27" s="67" t="s">
        <v>78</v>
      </c>
      <c r="C27" s="67"/>
      <c r="D27" s="68"/>
      <c r="E27" s="68"/>
      <c r="F27" s="68"/>
      <c r="G27" s="68"/>
      <c r="H27" s="68"/>
      <c r="I27" s="68"/>
      <c r="J27" s="68"/>
      <c r="K27" s="67"/>
    </row>
    <row r="28" spans="2:11" ht="24.6" customHeight="1" x14ac:dyDescent="0.2">
      <c r="B28" s="229" t="s">
        <v>124</v>
      </c>
      <c r="C28" s="229"/>
      <c r="D28" s="229"/>
      <c r="E28" s="229"/>
      <c r="F28" s="229"/>
      <c r="G28" s="229"/>
      <c r="H28" s="229"/>
      <c r="I28" s="229"/>
      <c r="J28" s="229"/>
      <c r="K28" s="229"/>
    </row>
    <row r="29" spans="2:11" ht="54" customHeight="1" x14ac:dyDescent="0.2">
      <c r="B29" s="229" t="s">
        <v>134</v>
      </c>
      <c r="C29" s="229"/>
      <c r="D29" s="229"/>
      <c r="E29" s="229"/>
      <c r="F29" s="229"/>
      <c r="G29" s="229"/>
      <c r="H29" s="229"/>
      <c r="I29" s="229"/>
      <c r="J29" s="229"/>
      <c r="K29" s="229"/>
    </row>
    <row r="32" spans="2:11" x14ac:dyDescent="0.2">
      <c r="D32" s="73"/>
      <c r="K32" s="73"/>
    </row>
  </sheetData>
  <mergeCells count="15">
    <mergeCell ref="B29:K29"/>
    <mergeCell ref="B5:C7"/>
    <mergeCell ref="D5:D7"/>
    <mergeCell ref="E5:H5"/>
    <mergeCell ref="I5:J5"/>
    <mergeCell ref="K5:K7"/>
    <mergeCell ref="E6:G6"/>
    <mergeCell ref="H6:H7"/>
    <mergeCell ref="I6:I7"/>
    <mergeCell ref="J6:J7"/>
    <mergeCell ref="B8:B11"/>
    <mergeCell ref="B13:B16"/>
    <mergeCell ref="B18:B21"/>
    <mergeCell ref="B25:K25"/>
    <mergeCell ref="B28:K2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3F86D-B2AA-4310-951D-B41A512F5B2C}">
  <sheetPr>
    <pageSetUpPr fitToPage="1"/>
  </sheetPr>
  <dimension ref="B2:I25"/>
  <sheetViews>
    <sheetView showGridLines="0" zoomScale="90" zoomScaleNormal="90" workbookViewId="0"/>
  </sheetViews>
  <sheetFormatPr baseColWidth="10" defaultColWidth="11.42578125" defaultRowHeight="12.75" x14ac:dyDescent="0.2"/>
  <cols>
    <col min="1" max="1" width="3.5703125" style="75" customWidth="1"/>
    <col min="2" max="2" width="11.42578125" style="75"/>
    <col min="3" max="3" width="28.85546875" style="75" customWidth="1"/>
    <col min="4" max="4" width="8.85546875" style="75" customWidth="1"/>
    <col min="5" max="5" width="9.42578125" style="75" customWidth="1"/>
    <col min="6" max="6" width="11.5703125" style="75" customWidth="1"/>
    <col min="7" max="7" width="9.7109375" style="75" customWidth="1"/>
    <col min="8" max="8" width="7.5703125" style="75" customWidth="1"/>
    <col min="9" max="16384" width="11.42578125" style="75"/>
  </cols>
  <sheetData>
    <row r="2" spans="2:8" ht="18.75" customHeight="1" x14ac:dyDescent="0.2">
      <c r="B2" s="89" t="s">
        <v>109</v>
      </c>
      <c r="C2" s="90"/>
      <c r="D2" s="90"/>
      <c r="E2" s="90"/>
      <c r="F2" s="90"/>
    </row>
    <row r="3" spans="2:8" ht="18.75" customHeight="1" x14ac:dyDescent="0.2">
      <c r="B3" s="89"/>
      <c r="C3" s="90"/>
      <c r="D3" s="90"/>
      <c r="E3" s="90"/>
      <c r="F3" s="90"/>
    </row>
    <row r="4" spans="2:8" ht="27" customHeight="1" x14ac:dyDescent="0.2">
      <c r="B4" s="251"/>
      <c r="C4" s="252"/>
      <c r="D4" s="255" t="s">
        <v>110</v>
      </c>
      <c r="E4" s="257">
        <v>2025</v>
      </c>
      <c r="F4" s="258" t="s">
        <v>111</v>
      </c>
      <c r="G4" s="259" t="s">
        <v>111</v>
      </c>
      <c r="H4" s="259"/>
    </row>
    <row r="5" spans="2:8" ht="25.5" x14ac:dyDescent="0.2">
      <c r="B5" s="253"/>
      <c r="C5" s="254"/>
      <c r="D5" s="256"/>
      <c r="E5" s="91" t="s">
        <v>28</v>
      </c>
      <c r="F5" s="91" t="s">
        <v>29</v>
      </c>
      <c r="G5" s="92" t="s">
        <v>115</v>
      </c>
      <c r="H5" s="92" t="s">
        <v>51</v>
      </c>
    </row>
    <row r="6" spans="2:8" x14ac:dyDescent="0.2">
      <c r="B6" s="246" t="s">
        <v>30</v>
      </c>
      <c r="C6" s="93" t="s">
        <v>31</v>
      </c>
      <c r="D6" s="94">
        <v>5400</v>
      </c>
      <c r="E6" s="94">
        <v>5050</v>
      </c>
      <c r="F6" s="95">
        <v>61.167946493623496</v>
      </c>
      <c r="G6" s="96">
        <v>-350</v>
      </c>
      <c r="H6" s="97">
        <v>-6.3974948563788701</v>
      </c>
    </row>
    <row r="7" spans="2:8" ht="38.25" x14ac:dyDescent="0.2">
      <c r="B7" s="246"/>
      <c r="C7" s="98" t="s">
        <v>91</v>
      </c>
      <c r="D7" s="99">
        <v>3060</v>
      </c>
      <c r="E7" s="99">
        <v>3210</v>
      </c>
      <c r="F7" s="100">
        <v>38.832053506376504</v>
      </c>
      <c r="G7" s="101">
        <v>150</v>
      </c>
      <c r="H7" s="102">
        <v>4.8964055392860999</v>
      </c>
    </row>
    <row r="8" spans="2:8" x14ac:dyDescent="0.2">
      <c r="B8" s="246"/>
      <c r="C8" s="103" t="s">
        <v>10</v>
      </c>
      <c r="D8" s="104">
        <v>8450</v>
      </c>
      <c r="E8" s="104">
        <v>8260</v>
      </c>
      <c r="F8" s="105">
        <v>100</v>
      </c>
      <c r="G8" s="106">
        <v>-200</v>
      </c>
      <c r="H8" s="107">
        <v>-2.31327361087732</v>
      </c>
    </row>
    <row r="9" spans="2:8" x14ac:dyDescent="0.2">
      <c r="B9" s="246" t="s">
        <v>32</v>
      </c>
      <c r="C9" s="108" t="s">
        <v>33</v>
      </c>
      <c r="D9" s="94">
        <v>5990</v>
      </c>
      <c r="E9" s="94">
        <v>5140</v>
      </c>
      <c r="F9" s="95">
        <v>45.879296782546</v>
      </c>
      <c r="G9" s="96">
        <v>-850</v>
      </c>
      <c r="H9" s="97">
        <v>-14.1775307806165</v>
      </c>
    </row>
    <row r="10" spans="2:8" x14ac:dyDescent="0.2">
      <c r="B10" s="246"/>
      <c r="C10" s="109" t="s">
        <v>34</v>
      </c>
      <c r="D10" s="110">
        <v>2060</v>
      </c>
      <c r="E10" s="110">
        <v>1430</v>
      </c>
      <c r="F10" s="111">
        <v>12.7870810296874</v>
      </c>
      <c r="G10" s="112">
        <v>-630</v>
      </c>
      <c r="H10" s="113">
        <v>-30.536107543860499</v>
      </c>
    </row>
    <row r="11" spans="2:8" x14ac:dyDescent="0.2">
      <c r="B11" s="246"/>
      <c r="C11" s="109" t="s">
        <v>35</v>
      </c>
      <c r="D11" s="110">
        <v>610</v>
      </c>
      <c r="E11" s="110">
        <v>500</v>
      </c>
      <c r="F11" s="111">
        <v>4.4847610430393798</v>
      </c>
      <c r="G11" s="112">
        <v>-110</v>
      </c>
      <c r="H11" s="113">
        <v>-18.027831379575002</v>
      </c>
    </row>
    <row r="12" spans="2:8" ht="25.5" customHeight="1" x14ac:dyDescent="0.2">
      <c r="B12" s="246"/>
      <c r="C12" s="109" t="s">
        <v>112</v>
      </c>
      <c r="D12" s="110">
        <v>720</v>
      </c>
      <c r="E12" s="110">
        <v>590</v>
      </c>
      <c r="F12" s="111">
        <v>5.2272579018922398</v>
      </c>
      <c r="G12" s="112">
        <v>-140</v>
      </c>
      <c r="H12" s="113">
        <v>-18.812061362874701</v>
      </c>
    </row>
    <row r="13" spans="2:8" x14ac:dyDescent="0.2">
      <c r="B13" s="246"/>
      <c r="C13" s="109" t="s">
        <v>36</v>
      </c>
      <c r="D13" s="110">
        <v>290</v>
      </c>
      <c r="E13" s="110">
        <v>220</v>
      </c>
      <c r="F13" s="111">
        <v>1.9298880274468799</v>
      </c>
      <c r="G13" s="112">
        <v>-70</v>
      </c>
      <c r="H13" s="113">
        <v>-24.351992517050899</v>
      </c>
    </row>
    <row r="14" spans="2:8" x14ac:dyDescent="0.2">
      <c r="B14" s="246"/>
      <c r="C14" s="109" t="s">
        <v>37</v>
      </c>
      <c r="D14" s="110">
        <v>430</v>
      </c>
      <c r="E14" s="110">
        <v>380</v>
      </c>
      <c r="F14" s="111">
        <v>3.3925326702543401</v>
      </c>
      <c r="G14" s="112">
        <v>-50</v>
      </c>
      <c r="H14" s="113">
        <v>-10.6234160216869</v>
      </c>
    </row>
    <row r="15" spans="2:8" x14ac:dyDescent="0.2">
      <c r="B15" s="246"/>
      <c r="C15" s="109" t="s">
        <v>38</v>
      </c>
      <c r="D15" s="110">
        <v>3330</v>
      </c>
      <c r="E15" s="110">
        <v>2860</v>
      </c>
      <c r="F15" s="111">
        <v>25.5341718228849</v>
      </c>
      <c r="G15" s="112">
        <v>-470</v>
      </c>
      <c r="H15" s="113">
        <v>-14.1237706127907</v>
      </c>
    </row>
    <row r="16" spans="2:8" x14ac:dyDescent="0.2">
      <c r="B16" s="246"/>
      <c r="C16" s="98" t="s">
        <v>39</v>
      </c>
      <c r="D16" s="99">
        <v>90</v>
      </c>
      <c r="E16" s="99">
        <v>90</v>
      </c>
      <c r="F16" s="100">
        <v>0.76501072224883504</v>
      </c>
      <c r="G16" s="101">
        <v>0</v>
      </c>
      <c r="H16" s="102">
        <v>-1.8795337049130101</v>
      </c>
    </row>
    <row r="17" spans="2:9" x14ac:dyDescent="0.2">
      <c r="B17" s="246"/>
      <c r="C17" s="103" t="s">
        <v>10</v>
      </c>
      <c r="D17" s="104">
        <v>13530</v>
      </c>
      <c r="E17" s="104">
        <v>11210</v>
      </c>
      <c r="F17" s="105">
        <v>100</v>
      </c>
      <c r="G17" s="106">
        <v>-2310</v>
      </c>
      <c r="H17" s="107">
        <v>-17.106300068502101</v>
      </c>
    </row>
    <row r="18" spans="2:9" x14ac:dyDescent="0.2">
      <c r="B18" s="114" t="s">
        <v>40</v>
      </c>
      <c r="C18" s="115"/>
      <c r="D18" s="104">
        <v>2270</v>
      </c>
      <c r="E18" s="104">
        <v>1980</v>
      </c>
      <c r="F18" s="105">
        <v>100</v>
      </c>
      <c r="G18" s="106">
        <v>-290</v>
      </c>
      <c r="H18" s="107">
        <v>-12.7675223772699</v>
      </c>
    </row>
    <row r="19" spans="2:9" x14ac:dyDescent="0.2">
      <c r="B19" s="246" t="s">
        <v>113</v>
      </c>
      <c r="C19" s="247"/>
      <c r="D19" s="104">
        <v>24250</v>
      </c>
      <c r="E19" s="104">
        <v>21450</v>
      </c>
      <c r="F19" s="105">
        <v>100</v>
      </c>
      <c r="G19" s="106">
        <v>-2800</v>
      </c>
      <c r="H19" s="107">
        <v>-11.542876346382</v>
      </c>
    </row>
    <row r="20" spans="2:9" x14ac:dyDescent="0.2">
      <c r="B20" s="116"/>
      <c r="C20" s="117"/>
      <c r="D20" s="118"/>
      <c r="E20" s="118"/>
      <c r="F20" s="119"/>
      <c r="G20" s="120"/>
      <c r="H20" s="121"/>
    </row>
    <row r="21" spans="2:9" x14ac:dyDescent="0.2">
      <c r="B21" s="248" t="s">
        <v>85</v>
      </c>
      <c r="C21" s="248"/>
      <c r="D21" s="248"/>
      <c r="E21" s="248"/>
      <c r="F21" s="248"/>
      <c r="G21" s="248"/>
      <c r="H21" s="248"/>
      <c r="I21" s="248"/>
    </row>
    <row r="22" spans="2:9" x14ac:dyDescent="0.2">
      <c r="B22" s="32" t="s">
        <v>41</v>
      </c>
      <c r="C22" s="122"/>
      <c r="D22" s="123"/>
      <c r="E22" s="123"/>
      <c r="F22" s="123"/>
    </row>
    <row r="23" spans="2:9" ht="33" customHeight="1" x14ac:dyDescent="0.2">
      <c r="B23" s="249" t="s">
        <v>86</v>
      </c>
      <c r="C23" s="249"/>
      <c r="D23" s="249"/>
      <c r="E23" s="249"/>
      <c r="F23" s="249"/>
      <c r="G23" s="249"/>
      <c r="H23" s="249"/>
    </row>
    <row r="24" spans="2:9" x14ac:dyDescent="0.2">
      <c r="B24" s="32" t="s">
        <v>114</v>
      </c>
    </row>
    <row r="25" spans="2:9" ht="28.5" customHeight="1" x14ac:dyDescent="0.2">
      <c r="B25" s="250" t="s">
        <v>116</v>
      </c>
      <c r="C25" s="250"/>
      <c r="D25" s="250"/>
      <c r="E25" s="250"/>
      <c r="F25" s="250"/>
      <c r="G25" s="250"/>
      <c r="H25" s="250"/>
    </row>
  </sheetData>
  <mergeCells count="10">
    <mergeCell ref="B19:C19"/>
    <mergeCell ref="B21:I21"/>
    <mergeCell ref="B23:H23"/>
    <mergeCell ref="B25:H25"/>
    <mergeCell ref="B4:C5"/>
    <mergeCell ref="D4:D5"/>
    <mergeCell ref="E4:F4"/>
    <mergeCell ref="G4:H4"/>
    <mergeCell ref="B6:B8"/>
    <mergeCell ref="B9:B17"/>
  </mergeCells>
  <pageMargins left="0.7" right="0.7" top="0.75" bottom="0.75" header="0.3" footer="0.3"/>
  <pageSetup paperSize="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6D74-DE69-4008-BC36-A2925F8D914A}">
  <dimension ref="B2:H11"/>
  <sheetViews>
    <sheetView showGridLines="0" zoomScale="90" zoomScaleNormal="90" workbookViewId="0"/>
  </sheetViews>
  <sheetFormatPr baseColWidth="10" defaultColWidth="10.85546875" defaultRowHeight="12.75" x14ac:dyDescent="0.2"/>
  <cols>
    <col min="1" max="1" width="3.7109375" style="75" customWidth="1"/>
    <col min="2" max="2" width="24.7109375" style="75" customWidth="1"/>
    <col min="3" max="16384" width="10.85546875" style="75"/>
  </cols>
  <sheetData>
    <row r="2" spans="2:8" x14ac:dyDescent="0.2">
      <c r="B2" s="23" t="s">
        <v>92</v>
      </c>
    </row>
    <row r="3" spans="2:8" x14ac:dyDescent="0.2">
      <c r="B3" s="23"/>
    </row>
    <row r="4" spans="2:8" x14ac:dyDescent="0.2">
      <c r="B4" s="24"/>
      <c r="C4" s="25">
        <v>2020</v>
      </c>
      <c r="D4" s="25">
        <v>2021</v>
      </c>
      <c r="E4" s="26">
        <v>2022</v>
      </c>
      <c r="F4" s="26">
        <v>2023</v>
      </c>
      <c r="G4" s="26">
        <v>2024</v>
      </c>
      <c r="H4" s="26">
        <v>2025</v>
      </c>
    </row>
    <row r="5" spans="2:8" x14ac:dyDescent="0.2">
      <c r="B5" s="87" t="s">
        <v>42</v>
      </c>
      <c r="C5" s="24">
        <v>425</v>
      </c>
      <c r="D5" s="27">
        <v>2130</v>
      </c>
      <c r="E5" s="28">
        <v>2087</v>
      </c>
      <c r="F5" s="28">
        <v>1983</v>
      </c>
      <c r="G5" s="28">
        <v>1859</v>
      </c>
      <c r="H5" s="28">
        <v>1816</v>
      </c>
    </row>
    <row r="6" spans="2:8" x14ac:dyDescent="0.2">
      <c r="B6" s="87" t="s">
        <v>52</v>
      </c>
      <c r="C6" s="29">
        <v>63.529411764705877</v>
      </c>
      <c r="D6" s="29">
        <v>70.375586854460096</v>
      </c>
      <c r="E6" s="30">
        <v>71</v>
      </c>
      <c r="F6" s="30">
        <v>69</v>
      </c>
      <c r="G6" s="30">
        <v>74</v>
      </c>
      <c r="H6" s="30">
        <v>75</v>
      </c>
    </row>
    <row r="7" spans="2:8" x14ac:dyDescent="0.2">
      <c r="B7" s="87" t="s">
        <v>43</v>
      </c>
      <c r="C7" s="31">
        <v>50.4</v>
      </c>
      <c r="D7" s="31">
        <v>48.5</v>
      </c>
      <c r="E7" s="30">
        <v>47.7</v>
      </c>
      <c r="F7" s="30">
        <v>47.4</v>
      </c>
      <c r="G7" s="30">
        <v>47.1</v>
      </c>
      <c r="H7" s="30">
        <v>46.9</v>
      </c>
    </row>
    <row r="8" spans="2:8" x14ac:dyDescent="0.2">
      <c r="B8" s="79"/>
      <c r="C8" s="80"/>
      <c r="D8" s="80"/>
      <c r="E8" s="81"/>
      <c r="F8" s="81"/>
      <c r="G8" s="81"/>
    </row>
    <row r="9" spans="2:8" ht="12.75" customHeight="1" x14ac:dyDescent="0.2">
      <c r="B9" s="70" t="s">
        <v>107</v>
      </c>
      <c r="C9" s="32"/>
      <c r="D9" s="32"/>
    </row>
    <row r="10" spans="2:8" ht="12.75" customHeight="1" x14ac:dyDescent="0.2">
      <c r="B10" s="88" t="s">
        <v>119</v>
      </c>
      <c r="C10" s="32"/>
      <c r="D10" s="32"/>
    </row>
    <row r="11" spans="2:8" ht="55.5" customHeight="1" x14ac:dyDescent="0.2">
      <c r="B11" s="260" t="s">
        <v>108</v>
      </c>
      <c r="C11" s="260"/>
      <c r="D11" s="260"/>
      <c r="E11" s="260"/>
      <c r="F11" s="260"/>
      <c r="G11" s="260"/>
      <c r="H11" s="260"/>
    </row>
  </sheetData>
  <mergeCells count="1">
    <mergeCell ref="B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SOMMAIRE</vt:lpstr>
      <vt:lpstr>Fig. 1</vt:lpstr>
      <vt:lpstr>Fig. 2</vt:lpstr>
      <vt:lpstr>Fig. 3</vt:lpstr>
      <vt:lpstr>Fig. 4</vt:lpstr>
      <vt:lpstr>Fig. 5</vt:lpstr>
      <vt:lpstr>Encadré 1</vt:lpstr>
      <vt:lpstr>Encadré 2</vt:lpstr>
      <vt:lpstr>Encadré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GODEFROY Pascal</dc:creator>
  <cp:lastModifiedBy>CASTAING Elisabeth</cp:lastModifiedBy>
  <dcterms:created xsi:type="dcterms:W3CDTF">2024-06-22T15:58:36Z</dcterms:created>
  <dcterms:modified xsi:type="dcterms:W3CDTF">2026-10-06T12:24:54Z</dcterms:modified>
</cp:coreProperties>
</file>