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godefroy-adc\Documents\RA 2026\Données complémentaires\Entrants sortants\Déposé\Version corrigée une deuxième fois - pour bouclage\Déposée version finale\"/>
    </mc:Choice>
  </mc:AlternateContent>
  <xr:revisionPtr revIDLastSave="0" documentId="13_ncr:1_{084A4218-7628-44FD-A150-AE80B361DA88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SOMMAIRE" sheetId="6" r:id="rId1"/>
    <sheet name="AVERTISSEMENT" sheetId="8" r:id="rId2"/>
    <sheet name="Figure 1" sheetId="7" r:id="rId3"/>
    <sheet name="Figure 2" sheetId="3" r:id="rId4"/>
    <sheet name="Figure 3" sheetId="4" r:id="rId5"/>
    <sheet name="Figure 4" sheetId="9" r:id="rId6"/>
    <sheet name="Figure 5" sheetId="10" r:id="rId7"/>
    <sheet name="Figure 6" sheetId="11" r:id="rId8"/>
    <sheet name="Figure 7" sheetId="12" r:id="rId9"/>
    <sheet name="Figure 8" sheetId="13" r:id="rId10"/>
  </sheets>
  <definedNames>
    <definedName name="_bdd2" hidden="1">{TRUE;FALSE}</definedName>
    <definedName name="_bdd2_1" hidden="1">{TRUE;FALSE}</definedName>
    <definedName name="_bdd2_1_1" hidden="1">{TRUE;FALSE}</definedName>
    <definedName name="_bdd2_1_1_1" hidden="1">{TRUE;FALSE}</definedName>
    <definedName name="_bdd2_1_2" hidden="1">{TRUE;FALSE}</definedName>
    <definedName name="_bdd2_2" hidden="1">{TRUE;FALSE}</definedName>
    <definedName name="_bdd2_2_1" hidden="1">{TRUE;FALSE}</definedName>
    <definedName name="_bdd2_3" hidden="1">{TRUE;FALSE}</definedName>
    <definedName name="_ftnref1" localSheetId="0">SOMMAIRE!$A$15</definedName>
    <definedName name="bbb" hidden="1">{TRUE;FALSE}</definedName>
    <definedName name="bbb_1" hidden="1">{TRUE;FALSE}</definedName>
    <definedName name="bbb_1_1" hidden="1">{TRUE;FALSE}</definedName>
    <definedName name="bbb_1_1_1" hidden="1">{TRUE;FALSE}</definedName>
    <definedName name="bbb_1_2" hidden="1">{TRUE;FALSE}</definedName>
    <definedName name="bbb_2" hidden="1">{TRUE;FALSE}</definedName>
    <definedName name="bbb_2_1" hidden="1">{TRUE;FALSE}</definedName>
    <definedName name="bbb_3" hidden="1">{TRUE;FALSE}</definedName>
    <definedName name="bbbbbb" hidden="1">{"SELECT res_ens.sum_nb_ins, res_ens.sum_nb_vot, res_ens.pct_vot, res_ens.sum_nb_voi_x000D_
FROM c:\cap_dbf\res_ens res_ens"}</definedName>
    <definedName name="bbbbbb_1" hidden="1">{"SELECT res_ens.sum_nb_ins, res_ens.sum_nb_vot, res_ens.pct_vot, res_ens.sum_nb_voi_x000D_
FROM c:\cap_dbf\res_ens res_ens"}</definedName>
    <definedName name="bbbbbb_1_1" hidden="1">{"SELECT res_ens.sum_nb_ins, res_ens.sum_nb_vot, res_ens.pct_vot, res_ens.sum_nb_voi_x000D_
FROM c:\cap_dbf\res_ens res_ens"}</definedName>
    <definedName name="bbbbbb_1_1_1" hidden="1">{"SELECT res_ens.sum_nb_ins, res_ens.sum_nb_vot, res_ens.pct_vot, res_ens.sum_nb_voi_x000D_
FROM c:\cap_dbf\res_ens res_ens"}</definedName>
    <definedName name="bbbbbb_1_2" hidden="1">{"SELECT res_ens.sum_nb_ins, res_ens.sum_nb_vot, res_ens.pct_vot, res_ens.sum_nb_voi_x000D_
FROM c:\cap_dbf\res_ens res_ens"}</definedName>
    <definedName name="bbbbbb_2" hidden="1">{"SELECT res_ens.sum_nb_ins, res_ens.sum_nb_vot, res_ens.pct_vot, res_ens.sum_nb_voi_x000D_
FROM c:\cap_dbf\res_ens res_ens"}</definedName>
    <definedName name="bbbbbb_2_1" hidden="1">{"SELECT res_ens.sum_nb_ins, res_ens.sum_nb_vot, res_ens.pct_vot, res_ens.sum_nb_voi_x000D_
FROM c:\cap_dbf\res_ens res_ens"}</definedName>
    <definedName name="bbbbbb_3" hidden="1">{"SELECT res_ens.sum_nb_ins, res_ens.sum_nb_vot, res_ens.pct_vot, res_ens.sum_nb_voi_x000D_
FROM c:\cap_dbf\res_ens res_ens"}</definedName>
    <definedName name="bis" hidden="1">{TRUE;FALSE}</definedName>
    <definedName name="bis_1" hidden="1">{TRUE;FALSE}</definedName>
    <definedName name="bis_1_1" hidden="1">{TRUE;FALSE}</definedName>
    <definedName name="bis_1_1_1" hidden="1">{TRUE;FALSE}</definedName>
    <definedName name="bis_1_2" hidden="1">{TRUE;FALSE}</definedName>
    <definedName name="bis_2" hidden="1">{TRUE;FALSE}</definedName>
    <definedName name="bis_2_1" hidden="1">{TRUE;FALSE}</definedName>
    <definedName name="bis_3" hidden="1">{TRUE;FALSE}</definedName>
    <definedName name="ensemble" hidden="1">{"Visual FoxPro Tables"}</definedName>
    <definedName name="ensemble_1" hidden="1">{"Visual FoxPro Tables"}</definedName>
    <definedName name="ensemble_1_1" hidden="1">{"Visual FoxPro Tables"}</definedName>
    <definedName name="ensemble_1_1_1" hidden="1">{"Visual FoxPro Tables"}</definedName>
    <definedName name="ensemble_1_2" hidden="1">{"Visual FoxPro Tables"}</definedName>
    <definedName name="ensemble_2" hidden="1">{"Visual FoxPro Tables"}</definedName>
    <definedName name="ensemble_2_1" hidden="1">{"Visual FoxPro Tables"}</definedName>
    <definedName name="ensemble_3" hidden="1">{"Visual FoxPro Tables"}</definedName>
    <definedName name="evolution" hidden="1">{"SELECT res_ens.sum_nb_ins, res_ens.sum_nb_vot, res_ens.pct_vot, res_ens.sum_nb_voi_x000D_
FROM c:\cap_dbf\res_ens res_ens"}</definedName>
    <definedName name="evolution_1" hidden="1">{"SELECT res_ens.sum_nb_ins, res_ens.sum_nb_vot, res_ens.pct_vot, res_ens.sum_nb_voi_x000D_
FROM c:\cap_dbf\res_ens res_ens"}</definedName>
    <definedName name="evolution_1_1" hidden="1">{"SELECT res_ens.sum_nb_ins, res_ens.sum_nb_vot, res_ens.pct_vot, res_ens.sum_nb_voi_x000D_
FROM c:\cap_dbf\res_ens res_ens"}</definedName>
    <definedName name="evolution_1_1_1" hidden="1">{"SELECT res_ens.sum_nb_ins, res_ens.sum_nb_vot, res_ens.pct_vot, res_ens.sum_nb_voi_x000D_
FROM c:\cap_dbf\res_ens res_ens"}</definedName>
    <definedName name="evolution_1_2" hidden="1">{"SELECT res_ens.sum_nb_ins, res_ens.sum_nb_vot, res_ens.pct_vot, res_ens.sum_nb_voi_x000D_
FROM c:\cap_dbf\res_ens res_ens"}</definedName>
    <definedName name="evolution_2" hidden="1">{"SELECT res_ens.sum_nb_ins, res_ens.sum_nb_vot, res_ens.pct_vot, res_ens.sum_nb_voi_x000D_
FROM c:\cap_dbf\res_ens res_ens"}</definedName>
    <definedName name="evolution_2_1" hidden="1">{"SELECT res_ens.sum_nb_ins, res_ens.sum_nb_vot, res_ens.pct_vot, res_ens.sum_nb_voi_x000D_
FROM c:\cap_dbf\res_ens res_ens"}</definedName>
    <definedName name="evolution_3" hidden="1">{"SELECT res_ens.sum_nb_ins, res_ens.sum_nb_vot, res_ens.pct_vot, res_ens.sum_nb_voi_x000D_
FROM c:\cap_dbf\res_ens res_ens"}</definedName>
    <definedName name="iuh" hidden="1">{TRUE;FALSE}</definedName>
    <definedName name="iuh_1" hidden="1">{TRUE;FALSE}</definedName>
    <definedName name="iuh_1_1" hidden="1">{TRUE;FALSE}</definedName>
    <definedName name="iuh_2" hidden="1">{TRUE;FALSE}</definedName>
    <definedName name="ll" hidden="1">{#N/A,#N/A,FALSE,"Feuil1"}</definedName>
    <definedName name="ll_1" hidden="1">{#N/A,#N/A,FALSE,"Feuil1"}</definedName>
    <definedName name="ll_1_1" hidden="1">{#N/A,#N/A,FALSE,"Feuil1"}</definedName>
    <definedName name="ll_1_1_1" hidden="1">{#N/A,#N/A,FALSE,"Feuil1"}</definedName>
    <definedName name="ll_1_2" hidden="1">{#N/A,#N/A,FALSE,"Feuil1"}</definedName>
    <definedName name="ll_2" hidden="1">{#N/A,#N/A,FALSE,"Feuil1"}</definedName>
    <definedName name="ll_2_1" hidden="1">{#N/A,#N/A,FALSE,"Feuil1"}</definedName>
    <definedName name="ll_3" hidden="1">{#N/A,#N/A,FALSE,"Feuil1"}</definedName>
    <definedName name="nnn" hidden="1">{TRUE;FALSE}</definedName>
    <definedName name="nnn_1" hidden="1">{TRUE;FALSE}</definedName>
    <definedName name="nnn_1_1" hidden="1">{TRUE;FALSE}</definedName>
    <definedName name="nnn_1_1_1" hidden="1">{TRUE;FALSE}</definedName>
    <definedName name="nnn_1_2" hidden="1">{TRUE;FALSE}</definedName>
    <definedName name="nnn_2" hidden="1">{TRUE;FALSE}</definedName>
    <definedName name="nnn_2_1" hidden="1">{TRUE;FALSE}</definedName>
    <definedName name="nnn_3" hidden="1">{TRUE;FALSE}</definedName>
    <definedName name="nouveau" hidden="1">{"SELECT res_ens.sum_nb_ins, res_ens.sum_nb_vot, res_ens.pct_vot, res_ens.sum_nb_voi_x000D_
FROM c:\cap_dbf\res_ens res_ens"}</definedName>
    <definedName name="nouveau_1" hidden="1">{"SELECT res_ens.sum_nb_ins, res_ens.sum_nb_vot, res_ens.pct_vot, res_ens.sum_nb_voi_x000D_
FROM c:\cap_dbf\res_ens res_ens"}</definedName>
    <definedName name="nouveau_1_1" hidden="1">{"SELECT res_ens.sum_nb_ins, res_ens.sum_nb_vot, res_ens.pct_vot, res_ens.sum_nb_voi_x000D_
FROM c:\cap_dbf\res_ens res_ens"}</definedName>
    <definedName name="nouveau_1_1_1" hidden="1">{"SELECT res_ens.sum_nb_ins, res_ens.sum_nb_vot, res_ens.pct_vot, res_ens.sum_nb_voi_x000D_
FROM c:\cap_dbf\res_ens res_ens"}</definedName>
    <definedName name="nouveau_1_2" hidden="1">{"SELECT res_ens.sum_nb_ins, res_ens.sum_nb_vot, res_ens.pct_vot, res_ens.sum_nb_voi_x000D_
FROM c:\cap_dbf\res_ens res_ens"}</definedName>
    <definedName name="nouveau_2" hidden="1">{"SELECT res_ens.sum_nb_ins, res_ens.sum_nb_vot, res_ens.pct_vot, res_ens.sum_nb_voi_x000D_
FROM c:\cap_dbf\res_ens res_ens"}</definedName>
    <definedName name="nouveau_2_1" hidden="1">{"SELECT res_ens.sum_nb_ins, res_ens.sum_nb_vot, res_ens.pct_vot, res_ens.sum_nb_voi_x000D_
FROM c:\cap_dbf\res_ens res_ens"}</definedName>
    <definedName name="nouveau_3" hidden="1">{"SELECT res_ens.sum_nb_ins, res_ens.sum_nb_vot, res_ens.pct_vot, res_ens.sum_nb_voi_x000D_
FROM c:\cap_dbf\res_ens res_ens"}</definedName>
    <definedName name="T" hidden="1">{"SELECT res_ens.sum_nb_ins, res_ens.sum_nb_vot, res_ens.pct_vot, res_ens.sum_nb_voi_x000D_
FROM c:\cap_dbf\res_ens res_ens"}</definedName>
    <definedName name="T_1" hidden="1">{"SELECT res_ens.sum_nb_ins, res_ens.sum_nb_vot, res_ens.pct_vot, res_ens.sum_nb_voi_x000D_
FROM c:\cap_dbf\res_ens res_ens"}</definedName>
    <definedName name="T_1_1" hidden="1">{"SELECT res_ens.sum_nb_ins, res_ens.sum_nb_vot, res_ens.pct_vot, res_ens.sum_nb_voi_x000D_
FROM c:\cap_dbf\res_ens res_ens"}</definedName>
    <definedName name="T_1_1_1" hidden="1">{"SELECT res_ens.sum_nb_ins, res_ens.sum_nb_vot, res_ens.pct_vot, res_ens.sum_nb_voi_x000D_
FROM c:\cap_dbf\res_ens res_ens"}</definedName>
    <definedName name="T_1_2" hidden="1">{"SELECT res_ens.sum_nb_ins, res_ens.sum_nb_vot, res_ens.pct_vot, res_ens.sum_nb_voi_x000D_
FROM c:\cap_dbf\res_ens res_ens"}</definedName>
    <definedName name="T_2" hidden="1">{"SELECT res_ens.sum_nb_ins, res_ens.sum_nb_vot, res_ens.pct_vot, res_ens.sum_nb_voi_x000D_
FROM c:\cap_dbf\res_ens res_ens"}</definedName>
    <definedName name="T_2_1" hidden="1">{"SELECT res_ens.sum_nb_ins, res_ens.sum_nb_vot, res_ens.pct_vot, res_ens.sum_nb_voi_x000D_
FROM c:\cap_dbf\res_ens res_ens"}</definedName>
    <definedName name="T_3" hidden="1">{"SELECT res_ens.sum_nb_ins, res_ens.sum_nb_vot, res_ens.pct_vot, res_ens.sum_nb_voi_x000D_
FROM c:\cap_dbf\res_ens res_ens"}</definedName>
    <definedName name="tab" hidden="1">{"Visual FoxPro Tables"}</definedName>
    <definedName name="tab_1" hidden="1">{"Visual FoxPro Tables"}</definedName>
    <definedName name="tab_1_1" hidden="1">{"Visual FoxPro Tables"}</definedName>
    <definedName name="tab_1_1_1" hidden="1">{"Visual FoxPro Tables"}</definedName>
    <definedName name="tab_1_2" hidden="1">{"Visual FoxPro Tables"}</definedName>
    <definedName name="tab_2" hidden="1">{"Visual FoxPro Tables"}</definedName>
    <definedName name="tab_2_1" hidden="1">{"Visual FoxPro Tables"}</definedName>
    <definedName name="tab_3" hidden="1">{"Visual FoxPro Tables"}</definedName>
    <definedName name="Tableau" hidden="1">{"Visual FoxPro Tables"}</definedName>
    <definedName name="Tableau_1" hidden="1">{"Visual FoxPro Tables"}</definedName>
    <definedName name="Tableau_1_1" hidden="1">{"Visual FoxPro Tables"}</definedName>
    <definedName name="Tableau_1_1_1" hidden="1">{"Visual FoxPro Tables"}</definedName>
    <definedName name="Tableau_1_2" hidden="1">{"Visual FoxPro Tables"}</definedName>
    <definedName name="Tableau_2" hidden="1">{"Visual FoxPro Tables"}</definedName>
    <definedName name="Tableau_2_1" hidden="1">{"Visual FoxPro Tables"}</definedName>
    <definedName name="Tableau_3" hidden="1">{"Visual FoxPro Tables"}</definedName>
    <definedName name="ter" hidden="1">{TRUE;FALSE}</definedName>
    <definedName name="ter_1" hidden="1">{TRUE;FALSE}</definedName>
    <definedName name="ter_1_1" hidden="1">{TRUE;FALSE}</definedName>
    <definedName name="ter_1_1_1" hidden="1">{TRUE;FALSE}</definedName>
    <definedName name="ter_1_2" hidden="1">{TRUE;FALSE}</definedName>
    <definedName name="ter_2" hidden="1">{TRUE;FALSE}</definedName>
    <definedName name="ter_2_1" hidden="1">{TRUE;FALSE}</definedName>
    <definedName name="ter_3" hidden="1">{TRUE;FALSE}</definedName>
    <definedName name="tera" hidden="1">{TRUE;FALSE}</definedName>
    <definedName name="tera_1" hidden="1">{TRUE;FALSE}</definedName>
    <definedName name="tera_1_1" hidden="1">{TRUE;FALSE}</definedName>
    <definedName name="tera_1_1_1" hidden="1">{TRUE;FALSE}</definedName>
    <definedName name="tera_1_2" hidden="1">{TRUE;FALSE}</definedName>
    <definedName name="tera_2" hidden="1">{TRUE;FALSE}</definedName>
    <definedName name="tera_2_1" hidden="1">{TRUE;FALSE}</definedName>
    <definedName name="tera_3" hidden="1">{TRUE;FALSE}</definedName>
    <definedName name="TT" hidden="1">{"SELECT res_ens.sum_nb_ins, res_ens.sum_nb_vot, res_ens.pct_vot, res_ens.sum_nb_voi_x000D_
FROM c:\cap_dbf\res_ens res_ens"}</definedName>
    <definedName name="TT_1" hidden="1">{"SELECT res_ens.sum_nb_ins, res_ens.sum_nb_vot, res_ens.pct_vot, res_ens.sum_nb_voi_x000D_
FROM c:\cap_dbf\res_ens res_ens"}</definedName>
    <definedName name="TT_1_1" hidden="1">{"SELECT res_ens.sum_nb_ins, res_ens.sum_nb_vot, res_ens.pct_vot, res_ens.sum_nb_voi_x000D_
FROM c:\cap_dbf\res_ens res_ens"}</definedName>
    <definedName name="TT_1_1_1" hidden="1">{"SELECT res_ens.sum_nb_ins, res_ens.sum_nb_vot, res_ens.pct_vot, res_ens.sum_nb_voi_x000D_
FROM c:\cap_dbf\res_ens res_ens"}</definedName>
    <definedName name="TT_1_2" hidden="1">{"SELECT res_ens.sum_nb_ins, res_ens.sum_nb_vot, res_ens.pct_vot, res_ens.sum_nb_voi_x000D_
FROM c:\cap_dbf\res_ens res_ens"}</definedName>
    <definedName name="TT_2" hidden="1">{"SELECT res_ens.sum_nb_ins, res_ens.sum_nb_vot, res_ens.pct_vot, res_ens.sum_nb_voi_x000D_
FROM c:\cap_dbf\res_ens res_ens"}</definedName>
    <definedName name="TT_2_1" hidden="1">{"SELECT res_ens.sum_nb_ins, res_ens.sum_nb_vot, res_ens.pct_vot, res_ens.sum_nb_voi_x000D_
FROM c:\cap_dbf\res_ens res_ens"}</definedName>
    <definedName name="TT_3" hidden="1">{"SELECT res_ens.sum_nb_ins, res_ens.sum_nb_vot, res_ens.pct_vot, res_ens.sum_nb_voi_x000D_
FROM c:\cap_dbf\res_ens res_ens"}</definedName>
    <definedName name="vp" hidden="1">{"SELECT res_ens.sum_nb_ins, res_ens.sum_nb_vot, res_ens.pct_vot, res_ens.sum_nb_voi_x000D_
FROM c:\cap_dbf\res_ens res_ens"}</definedName>
    <definedName name="vp_1" hidden="1">{"SELECT res_ens.sum_nb_ins, res_ens.sum_nb_vot, res_ens.pct_vot, res_ens.sum_nb_voi_x000D_
FROM c:\cap_dbf\res_ens res_ens"}</definedName>
    <definedName name="vp_1_1" hidden="1">{"SELECT res_ens.sum_nb_ins, res_ens.sum_nb_vot, res_ens.pct_vot, res_ens.sum_nb_voi_x000D_
FROM c:\cap_dbf\res_ens res_ens"}</definedName>
    <definedName name="vp_1_1_1" hidden="1">{"SELECT res_ens.sum_nb_ins, res_ens.sum_nb_vot, res_ens.pct_vot, res_ens.sum_nb_voi_x000D_
FROM c:\cap_dbf\res_ens res_ens"}</definedName>
    <definedName name="vp_1_2" hidden="1">{"SELECT res_ens.sum_nb_ins, res_ens.sum_nb_vot, res_ens.pct_vot, res_ens.sum_nb_voi_x000D_
FROM c:\cap_dbf\res_ens res_ens"}</definedName>
    <definedName name="vp_2" hidden="1">{"SELECT res_ens.sum_nb_ins, res_ens.sum_nb_vot, res_ens.pct_vot, res_ens.sum_nb_voi_x000D_
FROM c:\cap_dbf\res_ens res_ens"}</definedName>
    <definedName name="vp_2_1" hidden="1">{"SELECT res_ens.sum_nb_ins, res_ens.sum_nb_vot, res_ens.pct_vot, res_ens.sum_nb_voi_x000D_
FROM c:\cap_dbf\res_ens res_ens"}</definedName>
    <definedName name="vp_3" hidden="1">{"SELECT res_ens.sum_nb_ins, res_ens.sum_nb_vot, res_ens.pct_vot, res_ens.sum_nb_voi_x000D_
FROM c:\cap_dbf\res_ens res_ens"}</definedName>
    <definedName name="vvvv" hidden="1">{TRUE;FALSE}</definedName>
    <definedName name="vvvv_1" hidden="1">{TRUE;FALSE}</definedName>
    <definedName name="vvvv_1_1" hidden="1">{TRUE;FALSE}</definedName>
    <definedName name="vvvv_1_1_1" hidden="1">{TRUE;FALSE}</definedName>
    <definedName name="vvvv_1_2" hidden="1">{TRUE;FALSE}</definedName>
    <definedName name="vvvv_2" hidden="1">{TRUE;FALSE}</definedName>
    <definedName name="vvvv_2_1" hidden="1">{TRUE;FALSE}</definedName>
    <definedName name="vvvv_3" hidden="1">{TRUE;FALSE}</definedName>
    <definedName name="vvvvv" hidden="1">{"SELECT res_ens.sum_nb_ins, res_ens.sum_nb_vot, res_ens.pct_vot, res_ens.sum_nb_voi_x000D_
FROM c:\cap_dbf\res_ens res_ens"}</definedName>
    <definedName name="vvvvv_1" hidden="1">{"SELECT res_ens.sum_nb_ins, res_ens.sum_nb_vot, res_ens.pct_vot, res_ens.sum_nb_voi_x000D_
FROM c:\cap_dbf\res_ens res_ens"}</definedName>
    <definedName name="vvvvv_1_1" hidden="1">{"SELECT res_ens.sum_nb_ins, res_ens.sum_nb_vot, res_ens.pct_vot, res_ens.sum_nb_voi_x000D_
FROM c:\cap_dbf\res_ens res_ens"}</definedName>
    <definedName name="vvvvv_1_1_1" hidden="1">{"SELECT res_ens.sum_nb_ins, res_ens.sum_nb_vot, res_ens.pct_vot, res_ens.sum_nb_voi_x000D_
FROM c:\cap_dbf\res_ens res_ens"}</definedName>
    <definedName name="vvvvv_1_2" hidden="1">{"SELECT res_ens.sum_nb_ins, res_ens.sum_nb_vot, res_ens.pct_vot, res_ens.sum_nb_voi_x000D_
FROM c:\cap_dbf\res_ens res_ens"}</definedName>
    <definedName name="vvvvv_2" hidden="1">{"SELECT res_ens.sum_nb_ins, res_ens.sum_nb_vot, res_ens.pct_vot, res_ens.sum_nb_voi_x000D_
FROM c:\cap_dbf\res_ens res_ens"}</definedName>
    <definedName name="vvvvv_2_1" hidden="1">{"SELECT res_ens.sum_nb_ins, res_ens.sum_nb_vot, res_ens.pct_vot, res_ens.sum_nb_voi_x000D_
FROM c:\cap_dbf\res_ens res_ens"}</definedName>
    <definedName name="vvvvv_3" hidden="1">{"SELECT res_ens.sum_nb_ins, res_ens.sum_nb_vot, res_ens.pct_vot, res_ens.sum_nb_voi_x000D_
FROM c:\cap_dbf\res_ens res_ens"}</definedName>
    <definedName name="wrn.rap05" hidden="1">{#N/A,#N/A,FALSE,"Feuil1"}</definedName>
    <definedName name="wrn.rap05_1" hidden="1">{#N/A,#N/A,FALSE,"Feuil1"}</definedName>
    <definedName name="wrn.rap05_1_1" hidden="1">{#N/A,#N/A,FALSE,"Feuil1"}</definedName>
    <definedName name="wrn.rap05_1_1_1" hidden="1">{#N/A,#N/A,FALSE,"Feuil1"}</definedName>
    <definedName name="wrn.rap05_1_2" hidden="1">{#N/A,#N/A,FALSE,"Feuil1"}</definedName>
    <definedName name="wrn.rap05_2" hidden="1">{#N/A,#N/A,FALSE,"Feuil1"}</definedName>
    <definedName name="wrn.rap05_2_1" hidden="1">{#N/A,#N/A,FALSE,"Feuil1"}</definedName>
    <definedName name="wrn.rap05_3" hidden="1">{#N/A,#N/A,FALSE,"Feuil1"}</definedName>
    <definedName name="wrn.rap95." hidden="1">{#N/A,#N/A,FALSE,"Feuil1"}</definedName>
    <definedName name="wrn.rap95._1" hidden="1">{#N/A,#N/A,FALSE,"Feuil1"}</definedName>
    <definedName name="wrn.rap95._1_1" hidden="1">{#N/A,#N/A,FALSE,"Feuil1"}</definedName>
    <definedName name="wrn.rap95._1_1_1" hidden="1">{#N/A,#N/A,FALSE,"Feuil1"}</definedName>
    <definedName name="wrn.rap95._1_2" hidden="1">{#N/A,#N/A,FALSE,"Feuil1"}</definedName>
    <definedName name="wrn.rap95._2" hidden="1">{#N/A,#N/A,FALSE,"Feuil1"}</definedName>
    <definedName name="wrn.rap95._2_1" hidden="1">{#N/A,#N/A,FALSE,"Feuil1"}</definedName>
    <definedName name="wrn.rap95._3" hidden="1">{#N/A,#N/A,FALSE,"Feuil1"}</definedName>
    <definedName name="xxxxx" hidden="1">{#N/A,#N/A,FALSE,"Feuil1"}</definedName>
    <definedName name="xxxxx_1" hidden="1">{#N/A,#N/A,FALSE,"Feuil1"}</definedName>
    <definedName name="xxxxx_1_1" hidden="1">{#N/A,#N/A,FALSE,"Feuil1"}</definedName>
    <definedName name="xxxxx_1_1_1" hidden="1">{#N/A,#N/A,FALSE,"Feuil1"}</definedName>
    <definedName name="xxxxx_1_2" hidden="1">{#N/A,#N/A,FALSE,"Feuil1"}</definedName>
    <definedName name="xxxxx_2" hidden="1">{#N/A,#N/A,FALSE,"Feuil1"}</definedName>
    <definedName name="xxxxx_2_1" hidden="1">{#N/A,#N/A,FALSE,"Feuil1"}</definedName>
    <definedName name="xxxxx_3" hidden="1">{#N/A,#N/A,FALSE,"Feuil1"}</definedName>
    <definedName name="xxxy" hidden="1">{TRUE;FALSE}</definedName>
    <definedName name="xxxy_1" hidden="1">{TRUE;FALSE}</definedName>
    <definedName name="xxxy_1_1" hidden="1">{TRUE;FALSE}</definedName>
    <definedName name="xxxy_1_1_1" hidden="1">{TRUE;FALSE}</definedName>
    <definedName name="xxxy_1_2" hidden="1">{TRUE;FALSE}</definedName>
    <definedName name="xxxy_2" hidden="1">{TRUE;FALSE}</definedName>
    <definedName name="xxxy_2_1" hidden="1">{TRUE;FALSE}</definedName>
    <definedName name="xxxy_3" hidden="1">{TRUE;FALSE}</definedName>
    <definedName name="xxyz" hidden="1">{"Visual FoxPro Tables"}</definedName>
    <definedName name="xxyz_1" hidden="1">{"Visual FoxPro Tables"}</definedName>
    <definedName name="xxyz_1_1" hidden="1">{"Visual FoxPro Tables"}</definedName>
    <definedName name="xxyz_1_1_1" hidden="1">{"Visual FoxPro Tables"}</definedName>
    <definedName name="xxyz_1_2" hidden="1">{"Visual FoxPro Tables"}</definedName>
    <definedName name="xxyz_2" hidden="1">{"Visual FoxPro Tables"}</definedName>
    <definedName name="xxyz_2_1" hidden="1">{"Visual FoxPro Tables"}</definedName>
    <definedName name="xxyz_3" hidden="1">{"Visual FoxPro Tables"}</definedName>
    <definedName name="xyza9" hidden="1">{"SELECT res_ens.sum_nb_ins, res_ens.sum_nb_vot, res_ens.pct_vot, res_ens.sum_nb_voi_x000D_
FROM c:\cap_dbf\res_ens res_ens"}</definedName>
    <definedName name="xyza9_1" hidden="1">{"SELECT res_ens.sum_nb_ins, res_ens.sum_nb_vot, res_ens.pct_vot, res_ens.sum_nb_voi_x000D_
FROM c:\cap_dbf\res_ens res_ens"}</definedName>
    <definedName name="xyza9_1_1" hidden="1">{"SELECT res_ens.sum_nb_ins, res_ens.sum_nb_vot, res_ens.pct_vot, res_ens.sum_nb_voi_x000D_
FROM c:\cap_dbf\res_ens res_ens"}</definedName>
    <definedName name="xyza9_1_1_1" hidden="1">{"SELECT res_ens.sum_nb_ins, res_ens.sum_nb_vot, res_ens.pct_vot, res_ens.sum_nb_voi_x000D_
FROM c:\cap_dbf\res_ens res_ens"}</definedName>
    <definedName name="xyza9_1_2" hidden="1">{"SELECT res_ens.sum_nb_ins, res_ens.sum_nb_vot, res_ens.pct_vot, res_ens.sum_nb_voi_x000D_
FROM c:\cap_dbf\res_ens res_ens"}</definedName>
    <definedName name="xyza9_2" hidden="1">{"SELECT res_ens.sum_nb_ins, res_ens.sum_nb_vot, res_ens.pct_vot, res_ens.sum_nb_voi_x000D_
FROM c:\cap_dbf\res_ens res_ens"}</definedName>
    <definedName name="xyza9_2_1" hidden="1">{"SELECT res_ens.sum_nb_ins, res_ens.sum_nb_vot, res_ens.pct_vot, res_ens.sum_nb_voi_x000D_
FROM c:\cap_dbf\res_ens res_ens"}</definedName>
    <definedName name="xyza9_3" hidden="1">{"SELECT res_ens.sum_nb_ins, res_ens.sum_nb_vot, res_ens.pct_vot, res_ens.sum_nb_voi_x000D_
FROM c:\cap_dbf\res_ens res_ens"}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0" l="1"/>
  <c r="H3" i="10" s="1"/>
  <c r="G3" i="10" s="1"/>
  <c r="F3" i="10" s="1"/>
  <c r="E3" i="10" s="1"/>
  <c r="D3" i="10" s="1"/>
  <c r="C3" i="10" s="1"/>
  <c r="I3" i="9"/>
  <c r="H3" i="9" s="1"/>
  <c r="G3" i="9" s="1"/>
  <c r="F3" i="9" s="1"/>
  <c r="E3" i="9" s="1"/>
  <c r="D3" i="9" s="1"/>
  <c r="C3" i="9" s="1"/>
</calcChain>
</file>

<file path=xl/sharedStrings.xml><?xml version="1.0" encoding="utf-8"?>
<sst xmlns="http://schemas.openxmlformats.org/spreadsheetml/2006/main" count="299" uniqueCount="115">
  <si>
    <t>Source : Siasp, Insee. Traitement DGAFP - SDessi.</t>
  </si>
  <si>
    <t>Ensemble</t>
  </si>
  <si>
    <t>Autres catégories et statuts</t>
  </si>
  <si>
    <t>Contractuels</t>
  </si>
  <si>
    <t>Fonctionnaires</t>
  </si>
  <si>
    <t>Fonction publique hospitalière</t>
  </si>
  <si>
    <t>Fonction publique territoriale</t>
  </si>
  <si>
    <t>Fonction publique de l'État</t>
  </si>
  <si>
    <t>Femmes</t>
  </si>
  <si>
    <t>Hommes</t>
  </si>
  <si>
    <t>Entrants</t>
  </si>
  <si>
    <t>Sortants</t>
  </si>
  <si>
    <t>Figure 1</t>
  </si>
  <si>
    <t>Figure 2</t>
  </si>
  <si>
    <t>Figure 3</t>
  </si>
  <si>
    <t>en milliers</t>
  </si>
  <si>
    <t>Taux de rotation</t>
  </si>
  <si>
    <t>Ensemble de la fonction publique</t>
  </si>
  <si>
    <t>Taux d'entrée</t>
  </si>
  <si>
    <t>Taux de sortie</t>
  </si>
  <si>
    <t>Entrées et sorties de la fonction publique</t>
  </si>
  <si>
    <t>Entrées en apprentissage</t>
  </si>
  <si>
    <t>Taux d’entrée : nombre d’entrants entre deux années rapporté à la moyenne des effectifs au 31 décembre de ces deux années.</t>
  </si>
  <si>
    <t>Taux de sortie : nombre de sortants entre deux années rapporté à la moyenne des effectifs au 31 décembre de ces deux années.</t>
  </si>
  <si>
    <t>Taux de rotation : moyenne du taux d’entrée et du taux de sortie</t>
  </si>
  <si>
    <t>en %</t>
  </si>
  <si>
    <t xml:space="preserve">Contient des données sur l'égalité professionnelle entre les femmes et les hommes </t>
  </si>
  <si>
    <t>oui</t>
  </si>
  <si>
    <t>Entrants : agents présents au 31/12/n mais pas au 31/12/n-1.</t>
  </si>
  <si>
    <t>Sortants : agents présents au 31/12/n-1 mais pas au 31/12/n.</t>
  </si>
  <si>
    <t>Cliquer pour télécharger les données sur les entrées en apprentissage</t>
  </si>
  <si>
    <t xml:space="preserve">Ces figures sont désormais mises en ligne avant la publication du rapport annuel. </t>
  </si>
  <si>
    <t>Nom de l'onglet</t>
  </si>
  <si>
    <t>Taux d'entrée, sortie et rotation par versant dans la fonction publique civile, statut, sexe depuis 2016</t>
  </si>
  <si>
    <t>Nombre d'entrants-sortants par versant dans la fonction publique civile, statut, sexe depuis 2016</t>
  </si>
  <si>
    <t>Nombre d'entrants et sortants par versant dans la fonction publique civile, statut, sexe depuis 2016</t>
  </si>
  <si>
    <t xml:space="preserve">Champ fonction publique civile : agents civils hors bénéficiaires de contrats aidés en emploi principal en France (hors Mayotte) au 31/12. </t>
  </si>
  <si>
    <t>Avertissement</t>
  </si>
  <si>
    <t>Postes occupés moins d'un an au cours de l'année</t>
  </si>
  <si>
    <t xml:space="preserve">Champ fonction publique civile : postes civils non annexes, hors postes sur contrats aidés, dans la fonction publique civile en France (hors Mayotte). </t>
  </si>
  <si>
    <t xml:space="preserve">C’est pourquoi chaque année les données du millésime N-1 sont recalculées en utilisant le même applicatif et les mêmes concepts que pour le millésime N afin de présenter des évolutions annuelles les plus cohérentes et les plus homogènes possibles entre les millésimes N-1 et N pour la mesure des entrées et des sorties. En revanche, cette nouvelle estimation N-1 ne neutralise pas les changements déclaratifs survenus avec le passage à la DSN en 2021. </t>
  </si>
  <si>
    <t xml:space="preserve">Le Système d’information sur les agents des services publics (Siasp), produit par l’Insee à partir de 2009, recense les données sur l’emploi et les rémunérations des agents des trois versants de la fonction publique. Depuis 2022, conformément au décret n° 2016-611 du 18 mai 2016, la quasi-totalité des employeurs de la fonction publique ont basculé leur système de déclaration en déclarations sociales nominatives (DSN). Les données de Siasp sont principalement issues des DSN mensuelles. À l’occasion de ce changement de sources d’information, l’Insee a engagé une refonte des traitements statistiques réalisés sur l’emploi et les rémunérations des agents de la fonction publique, et en a ajusté les concepts. La refonte a été mise en œuvre sur les données 2022, mais certaines améliorations ont été apportées depuis. </t>
  </si>
  <si>
    <t>Figure 4</t>
  </si>
  <si>
    <t>Sexe</t>
  </si>
  <si>
    <t>Age</t>
  </si>
  <si>
    <t>Moins de 25 ans</t>
  </si>
  <si>
    <t xml:space="preserve">25 à 29 ans </t>
  </si>
  <si>
    <t xml:space="preserve">30 à 39 ans </t>
  </si>
  <si>
    <t xml:space="preserve">40 à 49 ans </t>
  </si>
  <si>
    <t xml:space="preserve">50 à 59 ans </t>
  </si>
  <si>
    <t>60 ans et plus</t>
  </si>
  <si>
    <t>Versant de départ</t>
  </si>
  <si>
    <t>FPE</t>
  </si>
  <si>
    <t>FPT</t>
  </si>
  <si>
    <t>FPH</t>
  </si>
  <si>
    <t>Total</t>
  </si>
  <si>
    <r>
      <t>2023</t>
    </r>
    <r>
      <rPr>
        <vertAlign val="superscript"/>
        <sz val="10"/>
        <rFont val="Arial"/>
        <family val="2"/>
      </rPr>
      <t>(1)</t>
    </r>
  </si>
  <si>
    <t>Lecture : En 2016, 7,8 % des agents entrent au sein de la fonction publique, et 7,4 % en sortent.</t>
  </si>
  <si>
    <t>Lecture : En 2016, 401 500 agents entrent au sein de la fonction publique, dont 164 900 dans la FPE.</t>
  </si>
  <si>
    <t>Figure 5</t>
  </si>
  <si>
    <t>Taux de sortie de la fonction publique à 5 ans des apprentis</t>
  </si>
  <si>
    <t>Taux de sortie de la fonction publique à 5 ans des contractuels</t>
  </si>
  <si>
    <t>En revanche, les données N-5 ne sont pas recalculées (figures 4 et 5).</t>
  </si>
  <si>
    <t>Taux de sortie de la fonction publique à cinq ans des apprentis</t>
  </si>
  <si>
    <t xml:space="preserve">Note : à partir de 2017 la sortie à 5 ans s'observe après le passage à la DSN de Siasp. Les données N et N+5 ne sont donc pas produites selon la même méthodologie ce qui peut impliquer des ruptures de série. </t>
  </si>
  <si>
    <t>Note : à partir de 2017 la sortie à cinq ans s'observe après le passage à la DSN de Siasp. Les données N et N+5 ne sont donc pas produites selon la même méthodologie ce qui peut impliquer des ruptures de série.</t>
  </si>
  <si>
    <t>Caractéristiques ou situation de départ (N-5)</t>
  </si>
  <si>
    <t>Champ : Contractuels de la fonction publique civile en emploi principal au 31 décembre de l'année N-5. France (hors Mayotte).</t>
  </si>
  <si>
    <t>Lecture : 39,9 % des hommes contractuels cinq ans plus tôt (en 2011) ne travaillaient plus dans la fonction publique en 2016.</t>
  </si>
  <si>
    <t>Champ : Apprentis de la fonction publique civile en emploi principal au 31 décembre de l'année N-5. France (hors Mayotte).</t>
  </si>
  <si>
    <t>Lecture : 74,0 % des hommes apprentis cinq ans plus tôt (en 2011) ne travaillaient plus dans la fonction publique en 2016.</t>
  </si>
  <si>
    <t xml:space="preserve">Champ fonction publique civile : agents civils hors bénéficiaires de contrats aidés en emploi principal en France (hors Mayotte) au 31 décembre. </t>
  </si>
  <si>
    <r>
      <t>2024</t>
    </r>
    <r>
      <rPr>
        <b/>
        <vertAlign val="superscript"/>
        <sz val="10"/>
        <rFont val="Arial"/>
        <family val="2"/>
      </rPr>
      <t>(1)</t>
    </r>
  </si>
  <si>
    <t>Source : Siasp, Insee. Traitement DGAFP-SDessi.</t>
  </si>
  <si>
    <t>(1) : avec le passage à la DSN le nombre de postes très courts a fortement augmenté, notamment dans la FPE. Un filtre supplémentaire a été ajouté excluant les postes non annexes dont le salaire brut annuel est inférieur à 80,6 euros en 2023 et à 81,6 euros en 2024.</t>
  </si>
  <si>
    <t>Âge</t>
  </si>
  <si>
    <t>Champ de la fonction publique civile : Agents civils, hors bénéficiaires de contrats aidés, en emploi principal en France (hors Mayotte) au 31/12/2024. Agents de 15 à 70 ans.</t>
  </si>
  <si>
    <t>(1) Entrants : Agents présents au 31/12/2024 mais pas au 31/12/2023.</t>
  </si>
  <si>
    <t>(2) Sortants : Agents présents au 31/12/2023 mais pas au 31/12/2024.</t>
  </si>
  <si>
    <t>Figure 6</t>
  </si>
  <si>
    <t>Profil par âge, de 15 à 70 ans, des entrants et des sortants de la fonction publique civile en 2024</t>
  </si>
  <si>
    <t>Lecture : En 2016, 217 600 postes civils de contractuels non annexes ont débuté et fini au cours de l'année.</t>
  </si>
  <si>
    <r>
      <t>Entrants dans la fonction publique de l'Etat</t>
    </r>
    <r>
      <rPr>
        <b/>
        <vertAlign val="superscript"/>
        <sz val="10"/>
        <rFont val="Arial"/>
        <family val="2"/>
      </rPr>
      <t>(1)</t>
    </r>
    <r>
      <rPr>
        <b/>
        <sz val="10"/>
        <rFont val="Arial"/>
        <family val="2"/>
      </rPr>
      <t xml:space="preserve"> en 2024</t>
    </r>
  </si>
  <si>
    <r>
      <t>Sortants de la fonction publique de l'Etat</t>
    </r>
    <r>
      <rPr>
        <b/>
        <vertAlign val="superscript"/>
        <sz val="10"/>
        <rFont val="Arial"/>
        <family val="2"/>
      </rPr>
      <t>(2)</t>
    </r>
    <r>
      <rPr>
        <b/>
        <sz val="10"/>
        <rFont val="Arial"/>
        <family val="2"/>
      </rPr>
      <t xml:space="preserve"> en 2024</t>
    </r>
  </si>
  <si>
    <r>
      <t>Entrants dans la fonction publique territoriale</t>
    </r>
    <r>
      <rPr>
        <b/>
        <vertAlign val="superscript"/>
        <sz val="10"/>
        <rFont val="Arial"/>
        <family val="2"/>
      </rPr>
      <t>(1)</t>
    </r>
    <r>
      <rPr>
        <b/>
        <sz val="10"/>
        <rFont val="Arial"/>
        <family val="2"/>
      </rPr>
      <t xml:space="preserve"> en 2024</t>
    </r>
  </si>
  <si>
    <r>
      <t>Sortants de la fonction publique territoriale</t>
    </r>
    <r>
      <rPr>
        <b/>
        <vertAlign val="superscript"/>
        <sz val="10"/>
        <rFont val="Arial"/>
        <family val="2"/>
      </rPr>
      <t>(2)</t>
    </r>
    <r>
      <rPr>
        <b/>
        <sz val="10"/>
        <rFont val="Arial"/>
        <family val="2"/>
      </rPr>
      <t xml:space="preserve"> en 2024</t>
    </r>
  </si>
  <si>
    <r>
      <t>Entrants dans la fonction publique hospitalière</t>
    </r>
    <r>
      <rPr>
        <b/>
        <vertAlign val="superscript"/>
        <sz val="10"/>
        <rFont val="Arial"/>
        <family val="2"/>
      </rPr>
      <t>(1)</t>
    </r>
    <r>
      <rPr>
        <b/>
        <sz val="10"/>
        <rFont val="Arial"/>
        <family val="2"/>
      </rPr>
      <t xml:space="preserve"> en 2024</t>
    </r>
  </si>
  <si>
    <r>
      <t>Sortants de la fonction publique hospitalière</t>
    </r>
    <r>
      <rPr>
        <b/>
        <vertAlign val="superscript"/>
        <sz val="10"/>
        <rFont val="Arial"/>
        <family val="2"/>
      </rPr>
      <t>(2)</t>
    </r>
    <r>
      <rPr>
        <b/>
        <sz val="10"/>
        <rFont val="Arial"/>
        <family val="2"/>
      </rPr>
      <t xml:space="preserve"> en 2024</t>
    </r>
  </si>
  <si>
    <t>Note : Les mouvements interstatuts et interversants ne sont pas pris en compte. Il sʼagit dʼentrées et de sorties nettes de la fonction publique.</t>
  </si>
  <si>
    <r>
      <t>Effectifs totaux</t>
    </r>
    <r>
      <rPr>
        <b/>
        <vertAlign val="superscript"/>
        <sz val="10"/>
        <rFont val="Arial"/>
        <family val="2"/>
      </rPr>
      <t>(3)</t>
    </r>
    <r>
      <rPr>
        <b/>
        <sz val="10"/>
        <rFont val="Arial"/>
        <family val="2"/>
      </rPr>
      <t xml:space="preserve"> (en milliers) au 31/12/2024</t>
    </r>
  </si>
  <si>
    <t>(3) Les effectifs d’hommes et  de femmes comprennent les effectifs des statuts « Autres catégories et statuts » en plus de ceux de fonctionnaires et de contractuels.</t>
  </si>
  <si>
    <t>Situation en 2023</t>
  </si>
  <si>
    <t>Entrants depuis le privé</t>
  </si>
  <si>
    <t>Sortants vers le privé</t>
  </si>
  <si>
    <t>Taux de passage privé / public
(en %)</t>
  </si>
  <si>
    <t>Taux de passage public / privé
(en %)</t>
  </si>
  <si>
    <t xml:space="preserve">60 ans et plus </t>
  </si>
  <si>
    <t>Versant</t>
  </si>
  <si>
    <t>nc</t>
  </si>
  <si>
    <t>Statut</t>
  </si>
  <si>
    <t>Autres</t>
  </si>
  <si>
    <t>Source : BTS, Insee. Traitement DGAFP - SDessi.</t>
  </si>
  <si>
    <t xml:space="preserve">Entrées et sorties depuis et vers le salariat privé </t>
  </si>
  <si>
    <t xml:space="preserve">Entrants </t>
  </si>
  <si>
    <t>Depuis le privé</t>
  </si>
  <si>
    <t>Depuis le privé (en %)</t>
  </si>
  <si>
    <t>Vers le privé</t>
  </si>
  <si>
    <t>Vers le privé (en %)</t>
  </si>
  <si>
    <t>Champ : Emplois principaux, agents civils et salariés du privé, situés en France (hors Mayotte). Hors bénéficiaires de contrats aidés du secteur public.</t>
  </si>
  <si>
    <t>Le poids des entrées et des sorties depuis et vers le salariat privé</t>
  </si>
  <si>
    <t>Figure 7</t>
  </si>
  <si>
    <t>Figure 8</t>
  </si>
  <si>
    <t>Lecture : En 2024, 91 100 femmes salariées du privé en 2023 sont entrées dans la fonction publique, soit un taux de passage des femmes du secteur privé au secteur public de 1,0 %.</t>
  </si>
  <si>
    <t xml:space="preserve">Lecture : En 2024, 8,0 % des agents entrant dans la fonction publique d'Etat en tant que fonctionnaires ont 24 ans. </t>
  </si>
  <si>
    <t>Lecture : En 2024, parmi les 342 800 femmes entrées dans la fonction publique, 91 100 travaillaient en 2023 en tant que salariées du secteur privé, soit 26,6 % de leurs entrées.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</si>
</sst>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_(* #,##0.0_);_(* \(#,##0.0\);_(* &quot;-&quot;??_);_(@_)"/>
    <numFmt numFmtId="167" formatCode="#,##0.0_ ;\-#,##0.0\ 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14"/>
      <color theme="1"/>
      <name val="Arial Narrow"/>
      <family val="2"/>
    </font>
    <font>
      <u/>
      <sz val="11"/>
      <color theme="10"/>
      <name val="Calibri"/>
      <family val="2"/>
      <scheme val="minor"/>
    </font>
    <font>
      <vertAlign val="superscript"/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3"/>
      <name val="Arial"/>
      <family val="2"/>
    </font>
    <font>
      <b/>
      <sz val="10"/>
      <color theme="3"/>
      <name val="Arial"/>
      <family val="2"/>
    </font>
    <font>
      <b/>
      <sz val="8"/>
      <color theme="3"/>
      <name val="Arial"/>
      <family val="2"/>
    </font>
    <font>
      <b/>
      <sz val="11"/>
      <color theme="3"/>
      <name val="Arial"/>
      <family val="2"/>
    </font>
    <font>
      <b/>
      <vertAlign val="superscript"/>
      <sz val="10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10" fillId="0" borderId="0"/>
    <xf numFmtId="0" fontId="16" fillId="0" borderId="0" applyNumberForma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252">
    <xf numFmtId="0" fontId="0" fillId="0" borderId="0" xfId="0"/>
    <xf numFmtId="0" fontId="3" fillId="0" borderId="0" xfId="0" applyFont="1" applyBorder="1"/>
    <xf numFmtId="0" fontId="3" fillId="0" borderId="0" xfId="0" applyFont="1"/>
    <xf numFmtId="0" fontId="3" fillId="0" borderId="0" xfId="0" applyFont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/>
    <xf numFmtId="0" fontId="2" fillId="2" borderId="0" xfId="0" applyFont="1" applyFill="1"/>
    <xf numFmtId="0" fontId="3" fillId="2" borderId="13" xfId="0" applyFont="1" applyFill="1" applyBorder="1"/>
    <xf numFmtId="0" fontId="3" fillId="2" borderId="7" xfId="0" applyFont="1" applyFill="1" applyBorder="1"/>
    <xf numFmtId="0" fontId="1" fillId="2" borderId="10" xfId="1" applyFont="1" applyFill="1" applyBorder="1" applyAlignment="1">
      <alignment horizontal="center" vertical="center"/>
    </xf>
    <xf numFmtId="165" fontId="1" fillId="2" borderId="11" xfId="1" applyNumberFormat="1" applyFont="1" applyFill="1" applyBorder="1" applyAlignment="1">
      <alignment horizontal="right" vertical="center"/>
    </xf>
    <xf numFmtId="165" fontId="1" fillId="2" borderId="12" xfId="1" applyNumberFormat="1" applyFont="1" applyFill="1" applyBorder="1" applyAlignment="1">
      <alignment horizontal="right" vertical="center"/>
    </xf>
    <xf numFmtId="0" fontId="1" fillId="2" borderId="8" xfId="1" applyFont="1" applyFill="1" applyBorder="1" applyAlignment="1">
      <alignment vertical="center"/>
    </xf>
    <xf numFmtId="165" fontId="1" fillId="2" borderId="8" xfId="1" applyNumberFormat="1" applyFont="1" applyFill="1" applyBorder="1" applyAlignment="1">
      <alignment horizontal="right" vertical="center"/>
    </xf>
    <xf numFmtId="165" fontId="1" fillId="2" borderId="3" xfId="1" applyNumberFormat="1" applyFont="1" applyFill="1" applyBorder="1" applyAlignment="1">
      <alignment horizontal="right" vertical="center"/>
    </xf>
    <xf numFmtId="0" fontId="1" fillId="2" borderId="7" xfId="1" applyFont="1" applyFill="1" applyBorder="1" applyAlignment="1">
      <alignment vertical="center"/>
    </xf>
    <xf numFmtId="165" fontId="1" fillId="2" borderId="7" xfId="1" applyNumberFormat="1" applyFont="1" applyFill="1" applyBorder="1" applyAlignment="1">
      <alignment horizontal="right" vertical="center"/>
    </xf>
    <xf numFmtId="165" fontId="1" fillId="2" borderId="1" xfId="1" applyNumberFormat="1" applyFont="1" applyFill="1" applyBorder="1" applyAlignment="1">
      <alignment horizontal="right" vertical="center"/>
    </xf>
    <xf numFmtId="165" fontId="1" fillId="2" borderId="9" xfId="1" applyNumberFormat="1" applyFont="1" applyFill="1" applyBorder="1" applyAlignment="1">
      <alignment horizontal="right" vertical="center"/>
    </xf>
    <xf numFmtId="165" fontId="1" fillId="2" borderId="10" xfId="1" applyNumberFormat="1" applyFont="1" applyFill="1" applyBorder="1" applyAlignment="1">
      <alignment horizontal="right" vertical="center"/>
    </xf>
    <xf numFmtId="0" fontId="1" fillId="2" borderId="9" xfId="1" applyFont="1" applyFill="1" applyBorder="1" applyAlignment="1">
      <alignment vertical="center"/>
    </xf>
    <xf numFmtId="165" fontId="1" fillId="2" borderId="6" xfId="1" applyNumberFormat="1" applyFont="1" applyFill="1" applyBorder="1" applyAlignment="1">
      <alignment horizontal="right" vertical="center"/>
    </xf>
    <xf numFmtId="0" fontId="1" fillId="2" borderId="2" xfId="1" applyFont="1" applyFill="1" applyBorder="1" applyAlignment="1">
      <alignment vertical="center"/>
    </xf>
    <xf numFmtId="165" fontId="1" fillId="2" borderId="13" xfId="1" applyNumberFormat="1" applyFont="1" applyFill="1" applyBorder="1" applyAlignment="1">
      <alignment horizontal="right" vertical="center"/>
    </xf>
    <xf numFmtId="0" fontId="1" fillId="2" borderId="0" xfId="1" applyFont="1" applyFill="1" applyBorder="1" applyAlignment="1">
      <alignment vertical="center"/>
    </xf>
    <xf numFmtId="165" fontId="1" fillId="2" borderId="14" xfId="1" applyNumberFormat="1" applyFont="1" applyFill="1" applyBorder="1" applyAlignment="1">
      <alignment horizontal="right" vertical="center"/>
    </xf>
    <xf numFmtId="165" fontId="1" fillId="2" borderId="15" xfId="1" applyNumberFormat="1" applyFont="1" applyFill="1" applyBorder="1" applyAlignment="1">
      <alignment horizontal="right" vertical="center"/>
    </xf>
    <xf numFmtId="0" fontId="1" fillId="2" borderId="11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2" borderId="4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6" xfId="0" applyFont="1" applyFill="1" applyBorder="1" applyAlignment="1">
      <alignment horizontal="center"/>
    </xf>
    <xf numFmtId="0" fontId="11" fillId="2" borderId="0" xfId="4" applyFont="1" applyFill="1"/>
    <xf numFmtId="0" fontId="6" fillId="2" borderId="0" xfId="1" applyNumberFormat="1" applyFont="1" applyFill="1" applyBorder="1" applyAlignment="1" applyProtection="1">
      <alignment vertical="center"/>
    </xf>
    <xf numFmtId="0" fontId="1" fillId="2" borderId="0" xfId="1" applyNumberFormat="1" applyFont="1" applyFill="1" applyBorder="1" applyAlignment="1" applyProtection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right" vertical="center" wrapText="1"/>
    </xf>
    <xf numFmtId="0" fontId="1" fillId="2" borderId="4" xfId="1" applyFont="1" applyFill="1" applyBorder="1" applyAlignment="1">
      <alignment horizontal="right" vertical="center" wrapText="1"/>
    </xf>
    <xf numFmtId="0" fontId="1" fillId="2" borderId="10" xfId="1" applyFont="1" applyFill="1" applyBorder="1" applyAlignment="1">
      <alignment horizontal="right" vertical="center" wrapText="1"/>
    </xf>
    <xf numFmtId="164" fontId="1" fillId="2" borderId="7" xfId="1" applyNumberFormat="1" applyFont="1" applyFill="1" applyBorder="1" applyAlignment="1">
      <alignment horizontal="right" vertical="center"/>
    </xf>
    <xf numFmtId="164" fontId="1" fillId="2" borderId="0" xfId="1" applyNumberFormat="1" applyFont="1" applyFill="1" applyBorder="1" applyAlignment="1">
      <alignment horizontal="right" vertical="center"/>
    </xf>
    <xf numFmtId="164" fontId="1" fillId="2" borderId="1" xfId="1" applyNumberFormat="1" applyFont="1" applyFill="1" applyBorder="1" applyAlignment="1">
      <alignment horizontal="right" vertical="center"/>
    </xf>
    <xf numFmtId="164" fontId="6" fillId="2" borderId="9" xfId="1" applyNumberFormat="1" applyFont="1" applyFill="1" applyBorder="1" applyAlignment="1">
      <alignment horizontal="right" vertical="center"/>
    </xf>
    <xf numFmtId="164" fontId="6" fillId="2" borderId="4" xfId="1" applyNumberFormat="1" applyFont="1" applyFill="1" applyBorder="1" applyAlignment="1">
      <alignment horizontal="right" vertical="center"/>
    </xf>
    <xf numFmtId="164" fontId="6" fillId="2" borderId="10" xfId="1" applyNumberFormat="1" applyFont="1" applyFill="1" applyBorder="1" applyAlignment="1">
      <alignment horizontal="right" vertical="center"/>
    </xf>
    <xf numFmtId="164" fontId="1" fillId="2" borderId="8" xfId="1" applyNumberFormat="1" applyFont="1" applyFill="1" applyBorder="1" applyAlignment="1">
      <alignment horizontal="right" vertical="center"/>
    </xf>
    <xf numFmtId="164" fontId="1" fillId="2" borderId="2" xfId="1" applyNumberFormat="1" applyFont="1" applyFill="1" applyBorder="1" applyAlignment="1">
      <alignment horizontal="right" vertical="center"/>
    </xf>
    <xf numFmtId="164" fontId="7" fillId="2" borderId="3" xfId="1" applyNumberFormat="1" applyFont="1" applyFill="1" applyBorder="1" applyAlignment="1">
      <alignment horizontal="right" vertical="center" wrapText="1"/>
    </xf>
    <xf numFmtId="164" fontId="7" fillId="2" borderId="1" xfId="1" applyNumberFormat="1" applyFont="1" applyFill="1" applyBorder="1" applyAlignment="1">
      <alignment horizontal="right" vertical="center" wrapText="1"/>
    </xf>
    <xf numFmtId="164" fontId="6" fillId="2" borderId="7" xfId="1" applyNumberFormat="1" applyFont="1" applyFill="1" applyBorder="1" applyAlignment="1">
      <alignment horizontal="right" vertical="center"/>
    </xf>
    <xf numFmtId="164" fontId="6" fillId="2" borderId="0" xfId="1" applyNumberFormat="1" applyFont="1" applyFill="1" applyBorder="1" applyAlignment="1">
      <alignment horizontal="right" vertical="center"/>
    </xf>
    <xf numFmtId="164" fontId="6" fillId="2" borderId="1" xfId="1" applyNumberFormat="1" applyFont="1" applyFill="1" applyBorder="1" applyAlignment="1">
      <alignment horizontal="right" vertical="center"/>
    </xf>
    <xf numFmtId="0" fontId="1" fillId="2" borderId="8" xfId="1" applyFont="1" applyFill="1" applyBorder="1" applyAlignment="1">
      <alignment vertical="center"/>
    </xf>
    <xf numFmtId="0" fontId="12" fillId="2" borderId="0" xfId="1" applyNumberFormat="1" applyFont="1" applyFill="1" applyBorder="1" applyAlignment="1" applyProtection="1">
      <alignment horizontal="left" vertical="center"/>
    </xf>
    <xf numFmtId="0" fontId="13" fillId="2" borderId="0" xfId="1" applyNumberFormat="1" applyFont="1" applyFill="1" applyBorder="1" applyAlignment="1" applyProtection="1">
      <alignment horizontal="left" vertical="center"/>
    </xf>
    <xf numFmtId="0" fontId="14" fillId="0" borderId="0" xfId="0" applyFont="1"/>
    <xf numFmtId="0" fontId="14" fillId="2" borderId="0" xfId="0" applyFont="1" applyFill="1" applyAlignment="1">
      <alignment vertical="center"/>
    </xf>
    <xf numFmtId="0" fontId="3" fillId="0" borderId="13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top" wrapText="1"/>
    </xf>
    <xf numFmtId="164" fontId="8" fillId="2" borderId="10" xfId="1" applyNumberFormat="1" applyFont="1" applyFill="1" applyBorder="1" applyAlignment="1">
      <alignment horizontal="right" vertical="center" wrapText="1"/>
    </xf>
    <xf numFmtId="164" fontId="1" fillId="2" borderId="3" xfId="1" applyNumberFormat="1" applyFont="1" applyFill="1" applyBorder="1" applyAlignment="1">
      <alignment horizontal="right" vertical="center"/>
    </xf>
    <xf numFmtId="165" fontId="3" fillId="2" borderId="0" xfId="0" applyNumberFormat="1" applyFont="1" applyFill="1"/>
    <xf numFmtId="0" fontId="1" fillId="2" borderId="1" xfId="0" applyFont="1" applyFill="1" applyBorder="1"/>
    <xf numFmtId="0" fontId="1" fillId="2" borderId="6" xfId="2" applyFont="1" applyFill="1" applyBorder="1"/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0" fillId="0" borderId="0" xfId="0" applyFont="1" applyAlignment="1">
      <alignment horizontal="justify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indent="1"/>
    </xf>
    <xf numFmtId="165" fontId="1" fillId="0" borderId="14" xfId="0" applyNumberFormat="1" applyFont="1" applyBorder="1" applyAlignment="1">
      <alignment horizontal="right" indent="2"/>
    </xf>
    <xf numFmtId="0" fontId="1" fillId="0" borderId="15" xfId="0" applyFont="1" applyBorder="1" applyAlignment="1">
      <alignment horizontal="left" indent="1"/>
    </xf>
    <xf numFmtId="165" fontId="1" fillId="0" borderId="13" xfId="0" applyNumberFormat="1" applyFont="1" applyBorder="1" applyAlignment="1">
      <alignment horizontal="right" indent="2"/>
    </xf>
    <xf numFmtId="165" fontId="1" fillId="0" borderId="15" xfId="0" applyNumberFormat="1" applyFont="1" applyBorder="1" applyAlignment="1">
      <alignment horizontal="right" indent="2"/>
    </xf>
    <xf numFmtId="0" fontId="1" fillId="0" borderId="13" xfId="0" applyFont="1" applyBorder="1" applyAlignment="1">
      <alignment horizontal="left" indent="1"/>
    </xf>
    <xf numFmtId="165" fontId="6" fillId="0" borderId="6" xfId="0" applyNumberFormat="1" applyFont="1" applyBorder="1" applyAlignment="1">
      <alignment horizontal="right" indent="2"/>
    </xf>
    <xf numFmtId="0" fontId="18" fillId="2" borderId="0" xfId="0" applyFont="1" applyFill="1" applyAlignment="1">
      <alignment vertical="center"/>
    </xf>
    <xf numFmtId="0" fontId="19" fillId="0" borderId="0" xfId="0" applyFont="1" applyAlignment="1">
      <alignment horizontal="center" vertical="top"/>
    </xf>
    <xf numFmtId="0" fontId="20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top"/>
    </xf>
    <xf numFmtId="0" fontId="20" fillId="0" borderId="0" xfId="0" applyFont="1" applyAlignment="1">
      <alignment vertical="center"/>
    </xf>
    <xf numFmtId="0" fontId="4" fillId="2" borderId="11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4" fillId="2" borderId="7" xfId="0" applyFont="1" applyFill="1" applyBorder="1"/>
    <xf numFmtId="165" fontId="0" fillId="0" borderId="0" xfId="0" applyNumberFormat="1"/>
    <xf numFmtId="165" fontId="21" fillId="0" borderId="0" xfId="0" applyNumberFormat="1" applyFont="1"/>
    <xf numFmtId="165" fontId="22" fillId="2" borderId="0" xfId="0" applyNumberFormat="1" applyFont="1" applyFill="1"/>
    <xf numFmtId="0" fontId="23" fillId="0" borderId="0" xfId="0" applyFont="1"/>
    <xf numFmtId="0" fontId="25" fillId="2" borderId="0" xfId="0" applyFont="1" applyFill="1"/>
    <xf numFmtId="0" fontId="26" fillId="2" borderId="0" xfId="0" applyFont="1" applyFill="1"/>
    <xf numFmtId="0" fontId="24" fillId="0" borderId="0" xfId="0" applyFont="1"/>
    <xf numFmtId="0" fontId="1" fillId="0" borderId="0" xfId="0" applyNumberFormat="1" applyFont="1" applyFill="1" applyBorder="1" applyAlignment="1" applyProtection="1"/>
    <xf numFmtId="0" fontId="6" fillId="0" borderId="16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30" fillId="0" borderId="0" xfId="0" applyNumberFormat="1" applyFont="1" applyFill="1" applyBorder="1" applyAlignment="1" applyProtection="1"/>
    <xf numFmtId="0" fontId="6" fillId="0" borderId="17" xfId="0" applyNumberFormat="1" applyFont="1" applyFill="1" applyBorder="1" applyAlignment="1" applyProtection="1"/>
    <xf numFmtId="0" fontId="6" fillId="0" borderId="16" xfId="0" applyNumberFormat="1" applyFont="1" applyFill="1" applyBorder="1" applyAlignment="1" applyProtection="1">
      <alignment horizontal="center" wrapText="1"/>
    </xf>
    <xf numFmtId="0" fontId="1" fillId="0" borderId="21" xfId="0" applyNumberFormat="1" applyFont="1" applyFill="1" applyBorder="1" applyAlignment="1" applyProtection="1">
      <alignment horizontal="right"/>
    </xf>
    <xf numFmtId="2" fontId="1" fillId="3" borderId="21" xfId="0" applyNumberFormat="1" applyFont="1" applyFill="1" applyBorder="1" applyAlignment="1" applyProtection="1"/>
    <xf numFmtId="0" fontId="1" fillId="0" borderId="21" xfId="0" applyNumberFormat="1" applyFont="1" applyFill="1" applyBorder="1" applyAlignment="1" applyProtection="1"/>
    <xf numFmtId="0" fontId="1" fillId="0" borderId="22" xfId="0" applyNumberFormat="1" applyFont="1" applyFill="1" applyBorder="1" applyAlignment="1" applyProtection="1">
      <alignment horizontal="right"/>
    </xf>
    <xf numFmtId="0" fontId="18" fillId="3" borderId="0" xfId="0" applyNumberFormat="1" applyFont="1" applyFill="1" applyBorder="1" applyAlignment="1" applyProtection="1">
      <alignment horizontal="left" vertical="center"/>
    </xf>
    <xf numFmtId="2" fontId="1" fillId="3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>
      <alignment horizontal="left" vertical="center"/>
    </xf>
    <xf numFmtId="0" fontId="20" fillId="3" borderId="0" xfId="0" applyNumberFormat="1" applyFont="1" applyFill="1" applyBorder="1" applyAlignment="1" applyProtection="1">
      <alignment vertical="center"/>
    </xf>
    <xf numFmtId="2" fontId="1" fillId="3" borderId="23" xfId="0" applyNumberFormat="1" applyFont="1" applyFill="1" applyBorder="1" applyAlignment="1" applyProtection="1"/>
    <xf numFmtId="0" fontId="31" fillId="2" borderId="0" xfId="0" applyFont="1" applyFill="1"/>
    <xf numFmtId="0" fontId="32" fillId="0" borderId="0" xfId="2" applyFont="1" applyFill="1" applyAlignment="1">
      <alignment vertical="center"/>
    </xf>
    <xf numFmtId="165" fontId="1" fillId="3" borderId="23" xfId="0" applyNumberFormat="1" applyFont="1" applyFill="1" applyBorder="1" applyAlignment="1" applyProtection="1"/>
    <xf numFmtId="2" fontId="6" fillId="0" borderId="16" xfId="0" applyNumberFormat="1" applyFont="1" applyFill="1" applyBorder="1" applyAlignment="1" applyProtection="1">
      <alignment horizontal="center" wrapText="1"/>
    </xf>
    <xf numFmtId="0" fontId="6" fillId="0" borderId="0" xfId="0" applyFont="1" applyAlignment="1">
      <alignment vertical="center"/>
    </xf>
    <xf numFmtId="0" fontId="4" fillId="0" borderId="0" xfId="0" applyFont="1"/>
    <xf numFmtId="0" fontId="1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17" xfId="0" applyFont="1" applyFill="1" applyBorder="1" applyAlignment="1">
      <alignment horizontal="left" vertical="center" indent="1"/>
    </xf>
    <xf numFmtId="0" fontId="1" fillId="3" borderId="23" xfId="0" applyFont="1" applyFill="1" applyBorder="1" applyAlignment="1">
      <alignment horizontal="left" vertical="center" indent="1"/>
    </xf>
    <xf numFmtId="0" fontId="1" fillId="3" borderId="7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1" fillId="3" borderId="21" xfId="0" applyFont="1" applyFill="1" applyBorder="1" applyAlignment="1">
      <alignment horizontal="left" vertical="center" indent="1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34" fillId="0" borderId="0" xfId="0" applyFont="1"/>
    <xf numFmtId="0" fontId="14" fillId="2" borderId="0" xfId="0" applyFont="1" applyFill="1"/>
    <xf numFmtId="0" fontId="4" fillId="2" borderId="0" xfId="0" applyFont="1" applyFill="1" applyBorder="1"/>
    <xf numFmtId="0" fontId="0" fillId="0" borderId="16" xfId="0" applyBorder="1" applyAlignment="1">
      <alignment horizontal="center" vertical="center"/>
    </xf>
    <xf numFmtId="165" fontId="3" fillId="0" borderId="17" xfId="6" applyNumberFormat="1" applyFont="1" applyBorder="1" applyAlignment="1">
      <alignment horizontal="right" indent="3"/>
    </xf>
    <xf numFmtId="165" fontId="3" fillId="0" borderId="23" xfId="6" applyNumberFormat="1" applyFont="1" applyBorder="1" applyAlignment="1">
      <alignment horizontal="right" indent="3"/>
    </xf>
    <xf numFmtId="165" fontId="3" fillId="0" borderId="21" xfId="6" applyNumberFormat="1" applyFont="1" applyBorder="1" applyAlignment="1">
      <alignment horizontal="right" indent="3"/>
    </xf>
    <xf numFmtId="165" fontId="1" fillId="0" borderId="21" xfId="0" applyNumberFormat="1" applyFont="1" applyBorder="1" applyAlignment="1">
      <alignment horizontal="right" vertical="center" indent="3"/>
    </xf>
    <xf numFmtId="165" fontId="1" fillId="3" borderId="3" xfId="6" applyNumberFormat="1" applyFont="1" applyFill="1" applyBorder="1" applyAlignment="1" applyProtection="1">
      <alignment horizontal="right" vertical="center" indent="3"/>
    </xf>
    <xf numFmtId="165" fontId="1" fillId="3" borderId="21" xfId="6" applyNumberFormat="1" applyFont="1" applyFill="1" applyBorder="1" applyAlignment="1" applyProtection="1">
      <alignment horizontal="right" vertical="center" indent="3"/>
    </xf>
    <xf numFmtId="165" fontId="1" fillId="3" borderId="23" xfId="6" applyNumberFormat="1" applyFont="1" applyFill="1" applyBorder="1" applyAlignment="1" applyProtection="1">
      <alignment horizontal="right" vertical="center" indent="3"/>
    </xf>
    <xf numFmtId="165" fontId="6" fillId="0" borderId="16" xfId="0" applyNumberFormat="1" applyFont="1" applyBorder="1" applyAlignment="1">
      <alignment horizontal="right" vertical="center" indent="3"/>
    </xf>
    <xf numFmtId="167" fontId="3" fillId="0" borderId="17" xfId="6" applyNumberFormat="1" applyFont="1" applyBorder="1" applyAlignment="1">
      <alignment horizontal="right" indent="3"/>
    </xf>
    <xf numFmtId="164" fontId="1" fillId="0" borderId="17" xfId="0" applyNumberFormat="1" applyFont="1" applyBorder="1" applyAlignment="1">
      <alignment horizontal="right" vertical="center" indent="3"/>
    </xf>
    <xf numFmtId="167" fontId="3" fillId="0" borderId="23" xfId="6" applyNumberFormat="1" applyFont="1" applyBorder="1" applyAlignment="1">
      <alignment horizontal="right" indent="3"/>
    </xf>
    <xf numFmtId="164" fontId="1" fillId="0" borderId="23" xfId="0" applyNumberFormat="1" applyFont="1" applyBorder="1" applyAlignment="1">
      <alignment horizontal="right" vertical="center" indent="3"/>
    </xf>
    <xf numFmtId="164" fontId="1" fillId="0" borderId="21" xfId="0" applyNumberFormat="1" applyFont="1" applyBorder="1" applyAlignment="1">
      <alignment horizontal="right" vertical="center" indent="3"/>
    </xf>
    <xf numFmtId="167" fontId="3" fillId="0" borderId="21" xfId="6" applyNumberFormat="1" applyFont="1" applyBorder="1" applyAlignment="1">
      <alignment horizontal="right" indent="3"/>
    </xf>
    <xf numFmtId="165" fontId="1" fillId="3" borderId="17" xfId="6" applyNumberFormat="1" applyFont="1" applyFill="1" applyBorder="1" applyAlignment="1" applyProtection="1">
      <alignment horizontal="right" vertical="center" indent="3"/>
    </xf>
    <xf numFmtId="167" fontId="1" fillId="3" borderId="17" xfId="6" applyNumberFormat="1" applyFont="1" applyFill="1" applyBorder="1" applyAlignment="1" applyProtection="1">
      <alignment horizontal="right" vertical="center" indent="3"/>
    </xf>
    <xf numFmtId="165" fontId="1" fillId="3" borderId="7" xfId="6" applyNumberFormat="1" applyFont="1" applyFill="1" applyBorder="1" applyAlignment="1" applyProtection="1">
      <alignment horizontal="right" vertical="center" indent="3"/>
    </xf>
    <xf numFmtId="167" fontId="1" fillId="3" borderId="23" xfId="6" applyNumberFormat="1" applyFont="1" applyFill="1" applyBorder="1" applyAlignment="1" applyProtection="1">
      <alignment horizontal="right" vertical="center" indent="3"/>
    </xf>
    <xf numFmtId="167" fontId="1" fillId="3" borderId="3" xfId="6" applyNumberFormat="1" applyFont="1" applyFill="1" applyBorder="1" applyAlignment="1" applyProtection="1">
      <alignment horizontal="right" vertical="center" indent="3"/>
    </xf>
    <xf numFmtId="167" fontId="1" fillId="3" borderId="21" xfId="6" applyNumberFormat="1" applyFont="1" applyFill="1" applyBorder="1" applyAlignment="1" applyProtection="1">
      <alignment horizontal="right" vertical="center" indent="3"/>
    </xf>
    <xf numFmtId="165" fontId="6" fillId="3" borderId="18" xfId="6" applyNumberFormat="1" applyFont="1" applyFill="1" applyBorder="1" applyAlignment="1" applyProtection="1">
      <alignment horizontal="right" vertical="center" indent="3"/>
    </xf>
    <xf numFmtId="167" fontId="6" fillId="3" borderId="18" xfId="6" applyNumberFormat="1" applyFont="1" applyFill="1" applyBorder="1" applyAlignment="1" applyProtection="1">
      <alignment horizontal="right" vertical="center" indent="3"/>
    </xf>
    <xf numFmtId="164" fontId="6" fillId="0" borderId="16" xfId="0" applyNumberFormat="1" applyFont="1" applyBorder="1" applyAlignment="1">
      <alignment horizontal="right" vertical="center" indent="3"/>
    </xf>
    <xf numFmtId="164" fontId="3" fillId="0" borderId="17" xfId="6" applyNumberFormat="1" applyFont="1" applyBorder="1" applyAlignment="1">
      <alignment horizontal="right" indent="3"/>
    </xf>
    <xf numFmtId="165" fontId="1" fillId="0" borderId="17" xfId="0" applyNumberFormat="1" applyFont="1" applyBorder="1" applyAlignment="1">
      <alignment horizontal="right" vertical="center" indent="3"/>
    </xf>
    <xf numFmtId="165" fontId="3" fillId="0" borderId="17" xfId="0" applyNumberFormat="1" applyFont="1" applyBorder="1" applyAlignment="1">
      <alignment horizontal="right" indent="3"/>
    </xf>
    <xf numFmtId="166" fontId="1" fillId="0" borderId="17" xfId="0" applyNumberFormat="1" applyFont="1" applyBorder="1" applyAlignment="1">
      <alignment horizontal="right" vertical="center" indent="3"/>
    </xf>
    <xf numFmtId="164" fontId="3" fillId="0" borderId="23" xfId="6" applyNumberFormat="1" applyFont="1" applyBorder="1" applyAlignment="1">
      <alignment horizontal="right" indent="3"/>
    </xf>
    <xf numFmtId="165" fontId="1" fillId="0" borderId="23" xfId="0" applyNumberFormat="1" applyFont="1" applyBorder="1" applyAlignment="1">
      <alignment horizontal="right" vertical="center" indent="3"/>
    </xf>
    <xf numFmtId="165" fontId="3" fillId="0" borderId="23" xfId="0" applyNumberFormat="1" applyFont="1" applyBorder="1" applyAlignment="1">
      <alignment horizontal="right" indent="3"/>
    </xf>
    <xf numFmtId="166" fontId="1" fillId="0" borderId="21" xfId="0" applyNumberFormat="1" applyFont="1" applyBorder="1" applyAlignment="1">
      <alignment horizontal="right" vertical="center" indent="3"/>
    </xf>
    <xf numFmtId="164" fontId="3" fillId="0" borderId="21" xfId="6" applyNumberFormat="1" applyFont="1" applyBorder="1" applyAlignment="1">
      <alignment horizontal="right" indent="3"/>
    </xf>
    <xf numFmtId="165" fontId="3" fillId="0" borderId="21" xfId="0" applyNumberFormat="1" applyFont="1" applyBorder="1" applyAlignment="1">
      <alignment horizontal="right" indent="3"/>
    </xf>
    <xf numFmtId="166" fontId="1" fillId="0" borderId="23" xfId="0" applyNumberFormat="1" applyFont="1" applyBorder="1" applyAlignment="1">
      <alignment horizontal="right" vertical="center" indent="3"/>
    </xf>
    <xf numFmtId="164" fontId="1" fillId="3" borderId="17" xfId="6" applyNumberFormat="1" applyFont="1" applyFill="1" applyBorder="1" applyAlignment="1" applyProtection="1">
      <alignment horizontal="right" vertical="center" indent="3"/>
    </xf>
    <xf numFmtId="164" fontId="1" fillId="3" borderId="7" xfId="6" applyNumberFormat="1" applyFont="1" applyFill="1" applyBorder="1" applyAlignment="1" applyProtection="1">
      <alignment horizontal="right" vertical="center" indent="3"/>
    </xf>
    <xf numFmtId="0" fontId="3" fillId="0" borderId="21" xfId="0" applyFont="1" applyBorder="1" applyAlignment="1">
      <alignment horizontal="right" indent="3"/>
    </xf>
    <xf numFmtId="164" fontId="1" fillId="3" borderId="23" xfId="6" applyNumberFormat="1" applyFont="1" applyFill="1" applyBorder="1" applyAlignment="1" applyProtection="1">
      <alignment horizontal="right" vertical="center" indent="3"/>
    </xf>
    <xf numFmtId="0" fontId="3" fillId="0" borderId="23" xfId="0" applyFont="1" applyBorder="1" applyAlignment="1">
      <alignment horizontal="right" indent="3"/>
    </xf>
    <xf numFmtId="164" fontId="1" fillId="3" borderId="3" xfId="6" applyNumberFormat="1" applyFont="1" applyFill="1" applyBorder="1" applyAlignment="1" applyProtection="1">
      <alignment horizontal="right" vertical="center" indent="3"/>
    </xf>
    <xf numFmtId="164" fontId="1" fillId="3" borderId="21" xfId="6" applyNumberFormat="1" applyFont="1" applyFill="1" applyBorder="1" applyAlignment="1" applyProtection="1">
      <alignment horizontal="right" vertical="center" indent="3"/>
    </xf>
    <xf numFmtId="164" fontId="6" fillId="3" borderId="18" xfId="6" applyNumberFormat="1" applyFont="1" applyFill="1" applyBorder="1" applyAlignment="1" applyProtection="1">
      <alignment horizontal="right" vertical="center" indent="3"/>
    </xf>
    <xf numFmtId="165" fontId="2" fillId="0" borderId="16" xfId="0" applyNumberFormat="1" applyFont="1" applyBorder="1" applyAlignment="1">
      <alignment horizontal="right" indent="3"/>
    </xf>
    <xf numFmtId="166" fontId="6" fillId="0" borderId="16" xfId="0" applyNumberFormat="1" applyFont="1" applyBorder="1" applyAlignment="1">
      <alignment horizontal="right" vertical="center" indent="3"/>
    </xf>
    <xf numFmtId="0" fontId="1" fillId="2" borderId="9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vertical="center"/>
    </xf>
    <xf numFmtId="0" fontId="1" fillId="2" borderId="7" xfId="1" applyFont="1" applyFill="1" applyBorder="1" applyAlignment="1">
      <alignment vertical="center"/>
    </xf>
    <xf numFmtId="0" fontId="1" fillId="2" borderId="11" xfId="1" applyFont="1" applyFill="1" applyBorder="1" applyAlignment="1">
      <alignment vertical="center"/>
    </xf>
    <xf numFmtId="0" fontId="1" fillId="2" borderId="0" xfId="1" applyFill="1" applyAlignment="1">
      <alignment vertical="center"/>
    </xf>
    <xf numFmtId="0" fontId="12" fillId="2" borderId="0" xfId="1" applyFont="1" applyFill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65" fontId="3" fillId="0" borderId="17" xfId="6" applyNumberFormat="1" applyFont="1" applyFill="1" applyBorder="1" applyAlignment="1">
      <alignment horizontal="right" indent="3"/>
    </xf>
    <xf numFmtId="165" fontId="3" fillId="0" borderId="21" xfId="6" applyNumberFormat="1" applyFont="1" applyFill="1" applyBorder="1" applyAlignment="1">
      <alignment horizontal="right" indent="3"/>
    </xf>
    <xf numFmtId="165" fontId="3" fillId="0" borderId="23" xfId="6" applyNumberFormat="1" applyFont="1" applyFill="1" applyBorder="1" applyAlignment="1">
      <alignment horizontal="right" indent="3"/>
    </xf>
    <xf numFmtId="165" fontId="1" fillId="0" borderId="21" xfId="0" applyNumberFormat="1" applyFont="1" applyFill="1" applyBorder="1" applyAlignment="1">
      <alignment horizontal="right" vertical="center" indent="3"/>
    </xf>
    <xf numFmtId="165" fontId="1" fillId="0" borderId="3" xfId="6" applyNumberFormat="1" applyFont="1" applyFill="1" applyBorder="1" applyAlignment="1" applyProtection="1">
      <alignment horizontal="right" vertical="center" indent="3"/>
    </xf>
    <xf numFmtId="165" fontId="1" fillId="0" borderId="21" xfId="6" applyNumberFormat="1" applyFont="1" applyFill="1" applyBorder="1" applyAlignment="1" applyProtection="1">
      <alignment horizontal="right" vertical="center" indent="3"/>
    </xf>
    <xf numFmtId="165" fontId="1" fillId="0" borderId="23" xfId="6" applyNumberFormat="1" applyFont="1" applyFill="1" applyBorder="1" applyAlignment="1" applyProtection="1">
      <alignment horizontal="right" vertical="center" indent="3"/>
    </xf>
    <xf numFmtId="0" fontId="34" fillId="2" borderId="0" xfId="0" applyFont="1" applyFill="1"/>
    <xf numFmtId="0" fontId="3" fillId="2" borderId="0" xfId="0" applyFont="1" applyFill="1"/>
    <xf numFmtId="0" fontId="14" fillId="2" borderId="0" xfId="0" applyFont="1" applyFill="1"/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vertical="center"/>
    </xf>
    <xf numFmtId="0" fontId="1" fillId="2" borderId="7" xfId="1" applyFont="1" applyFill="1" applyBorder="1" applyAlignment="1">
      <alignment vertical="center"/>
    </xf>
    <xf numFmtId="0" fontId="1" fillId="0" borderId="9" xfId="1" applyFont="1" applyBorder="1" applyAlignment="1">
      <alignment vertical="center"/>
    </xf>
    <xf numFmtId="0" fontId="6" fillId="2" borderId="11" xfId="1" applyFont="1" applyFill="1" applyBorder="1" applyAlignment="1">
      <alignment horizontal="center" vertical="center"/>
    </xf>
    <xf numFmtId="0" fontId="27" fillId="0" borderId="0" xfId="0" applyFont="1" applyAlignment="1">
      <alignment horizontal="justify" vertical="center"/>
    </xf>
    <xf numFmtId="0" fontId="28" fillId="0" borderId="0" xfId="0" applyFont="1" applyAlignme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0" xfId="0" applyNumberFormat="1" applyFont="1" applyFill="1" applyBorder="1" applyAlignment="1" applyProtection="1">
      <alignment horizontal="center" wrapText="1"/>
    </xf>
    <xf numFmtId="0" fontId="6" fillId="0" borderId="19" xfId="0" applyNumberFormat="1" applyFont="1" applyFill="1" applyBorder="1" applyAlignment="1" applyProtection="1">
      <alignment horizontal="center" wrapText="1"/>
    </xf>
    <xf numFmtId="0" fontId="6" fillId="0" borderId="18" xfId="0" applyNumberFormat="1" applyFont="1" applyFill="1" applyBorder="1" applyAlignment="1" applyProtection="1">
      <alignment horizontal="center" wrapText="1"/>
    </xf>
    <xf numFmtId="0" fontId="20" fillId="3" borderId="0" xfId="0" applyNumberFormat="1" applyFont="1" applyFill="1" applyBorder="1" applyAlignment="1" applyProtection="1">
      <alignment horizontal="left" vertical="center" wrapText="1"/>
    </xf>
    <xf numFmtId="0" fontId="6" fillId="2" borderId="20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0" fillId="0" borderId="0" xfId="0" applyAlignment="1"/>
    <xf numFmtId="0" fontId="18" fillId="3" borderId="2" xfId="0" applyFont="1" applyFill="1" applyBorder="1" applyAlignment="1">
      <alignment vertical="center"/>
    </xf>
    <xf numFmtId="0" fontId="0" fillId="0" borderId="2" xfId="0" applyBorder="1" applyAlignment="1"/>
    <xf numFmtId="0" fontId="6" fillId="3" borderId="17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19" xfId="0" applyBorder="1"/>
    <xf numFmtId="0" fontId="0" fillId="0" borderId="18" xfId="0" applyBorder="1"/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165" fontId="1" fillId="3" borderId="24" xfId="0" applyNumberFormat="1" applyFont="1" applyFill="1" applyBorder="1" applyAlignment="1" applyProtection="1">
      <alignment horizontal="right" vertical="center"/>
    </xf>
  </cellXfs>
  <cellStyles count="8">
    <cellStyle name="Lien hypertexte" xfId="2" builtinId="8"/>
    <cellStyle name="Lien hypertexte 2" xfId="5" xr:uid="{4CFD0AF8-96E8-49D1-B427-40A45859DB36}"/>
    <cellStyle name="Milliers" xfId="6" builtinId="3"/>
    <cellStyle name="Milliers 2" xfId="7" xr:uid="{081876A3-0C75-478C-8C06-FCF8C1935E71}"/>
    <cellStyle name="Normal" xfId="0" builtinId="0"/>
    <cellStyle name="Normal 2 2" xfId="3" xr:uid="{00000000-0005-0000-0000-000002000000}"/>
    <cellStyle name="Normal 4" xfId="1" xr:uid="{00000000-0005-0000-0000-000003000000}"/>
    <cellStyle name="Normal 7" xfId="4" xr:uid="{00000000-0005-0000-0000-000004000000}"/>
  </cellStyles>
  <dxfs count="0"/>
  <tableStyles count="0" defaultTableStyle="TableStyleMedium2" defaultPivotStyle="PivotStyleLight16"/>
  <colors>
    <mruColors>
      <color rgb="FF37635F"/>
      <color rgb="FF34BAB5"/>
      <color rgb="FFFF9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Entrants dans la FPE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6'!$N$5</c:f>
              <c:strCache>
                <c:ptCount val="1"/>
                <c:pt idx="0">
                  <c:v>Fonctionnaires</c:v>
                </c:pt>
              </c:strCache>
            </c:strRef>
          </c:tx>
          <c:spPr>
            <a:ln w="28575" cap="rnd">
              <a:solidFill>
                <a:srgbClr val="37635F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6'!$N$6:$N$61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7.0000000000000007E-2</c:v>
                </c:pt>
                <c:pt idx="4">
                  <c:v>0.83</c:v>
                </c:pt>
                <c:pt idx="5">
                  <c:v>2.84</c:v>
                </c:pt>
                <c:pt idx="6">
                  <c:v>2.12</c:v>
                </c:pt>
                <c:pt idx="7">
                  <c:v>2.0699999999999998</c:v>
                </c:pt>
                <c:pt idx="8">
                  <c:v>7.93</c:v>
                </c:pt>
                <c:pt idx="9">
                  <c:v>8.01</c:v>
                </c:pt>
                <c:pt idx="10">
                  <c:v>6.12</c:v>
                </c:pt>
                <c:pt idx="11">
                  <c:v>4.4000000000000004</c:v>
                </c:pt>
                <c:pt idx="12">
                  <c:v>2.94</c:v>
                </c:pt>
                <c:pt idx="13">
                  <c:v>2.64</c:v>
                </c:pt>
                <c:pt idx="14">
                  <c:v>2.4500000000000002</c:v>
                </c:pt>
                <c:pt idx="15">
                  <c:v>2.46</c:v>
                </c:pt>
                <c:pt idx="16">
                  <c:v>2.52</c:v>
                </c:pt>
                <c:pt idx="17">
                  <c:v>2.2999999999999998</c:v>
                </c:pt>
                <c:pt idx="18">
                  <c:v>2.39</c:v>
                </c:pt>
                <c:pt idx="19">
                  <c:v>2.42</c:v>
                </c:pt>
                <c:pt idx="20">
                  <c:v>2.4900000000000002</c:v>
                </c:pt>
                <c:pt idx="21">
                  <c:v>2.48</c:v>
                </c:pt>
                <c:pt idx="22">
                  <c:v>2.38</c:v>
                </c:pt>
                <c:pt idx="23">
                  <c:v>2.31</c:v>
                </c:pt>
                <c:pt idx="24">
                  <c:v>2.1800000000000002</c:v>
                </c:pt>
                <c:pt idx="25">
                  <c:v>2.52</c:v>
                </c:pt>
                <c:pt idx="26">
                  <c:v>2.1800000000000002</c:v>
                </c:pt>
                <c:pt idx="27">
                  <c:v>2.21</c:v>
                </c:pt>
                <c:pt idx="28">
                  <c:v>2.2000000000000002</c:v>
                </c:pt>
                <c:pt idx="29">
                  <c:v>2.3199999999999998</c:v>
                </c:pt>
                <c:pt idx="30">
                  <c:v>1.92</c:v>
                </c:pt>
                <c:pt idx="31">
                  <c:v>2.09</c:v>
                </c:pt>
                <c:pt idx="32">
                  <c:v>1.9</c:v>
                </c:pt>
                <c:pt idx="33">
                  <c:v>1.55</c:v>
                </c:pt>
                <c:pt idx="34">
                  <c:v>1.52</c:v>
                </c:pt>
                <c:pt idx="35">
                  <c:v>1.49</c:v>
                </c:pt>
                <c:pt idx="36">
                  <c:v>1.4</c:v>
                </c:pt>
                <c:pt idx="37">
                  <c:v>1.38</c:v>
                </c:pt>
                <c:pt idx="38">
                  <c:v>1.28</c:v>
                </c:pt>
                <c:pt idx="39">
                  <c:v>1.02</c:v>
                </c:pt>
                <c:pt idx="40">
                  <c:v>1.03</c:v>
                </c:pt>
                <c:pt idx="41">
                  <c:v>0.96</c:v>
                </c:pt>
                <c:pt idx="42">
                  <c:v>0.85</c:v>
                </c:pt>
                <c:pt idx="43">
                  <c:v>0.71</c:v>
                </c:pt>
                <c:pt idx="44">
                  <c:v>0.65</c:v>
                </c:pt>
                <c:pt idx="45">
                  <c:v>0.65</c:v>
                </c:pt>
                <c:pt idx="46">
                  <c:v>0.54</c:v>
                </c:pt>
                <c:pt idx="47">
                  <c:v>0.44</c:v>
                </c:pt>
                <c:pt idx="48">
                  <c:v>0.28000000000000003</c:v>
                </c:pt>
                <c:pt idx="49">
                  <c:v>0.19</c:v>
                </c:pt>
                <c:pt idx="50">
                  <c:v>0.18</c:v>
                </c:pt>
                <c:pt idx="51">
                  <c:v>0.09</c:v>
                </c:pt>
                <c:pt idx="52">
                  <c:v>0.05</c:v>
                </c:pt>
                <c:pt idx="53">
                  <c:v>0.03</c:v>
                </c:pt>
                <c:pt idx="54">
                  <c:v>0.01</c:v>
                </c:pt>
                <c:pt idx="5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C-4E82-A8D3-DA4B736DBCFF}"/>
            </c:ext>
          </c:extLst>
        </c:ser>
        <c:ser>
          <c:idx val="1"/>
          <c:order val="1"/>
          <c:tx>
            <c:strRef>
              <c:f>'Figure 6'!$O$5</c:f>
              <c:strCache>
                <c:ptCount val="1"/>
                <c:pt idx="0">
                  <c:v>Contractuels</c:v>
                </c:pt>
              </c:strCache>
            </c:strRef>
          </c:tx>
          <c:spPr>
            <a:ln w="28575" cap="rnd">
              <a:solidFill>
                <a:srgbClr val="FF9575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6'!$O$6:$O$61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0.53</c:v>
                </c:pt>
                <c:pt idx="4">
                  <c:v>1.88</c:v>
                </c:pt>
                <c:pt idx="5">
                  <c:v>2.9</c:v>
                </c:pt>
                <c:pt idx="6">
                  <c:v>3.73</c:v>
                </c:pt>
                <c:pt idx="7">
                  <c:v>5.69</c:v>
                </c:pt>
                <c:pt idx="8">
                  <c:v>7</c:v>
                </c:pt>
                <c:pt idx="9">
                  <c:v>7.09</c:v>
                </c:pt>
                <c:pt idx="10">
                  <c:v>5.78</c:v>
                </c:pt>
                <c:pt idx="11">
                  <c:v>4.68</c:v>
                </c:pt>
                <c:pt idx="12">
                  <c:v>3.99</c:v>
                </c:pt>
                <c:pt idx="13">
                  <c:v>3.56</c:v>
                </c:pt>
                <c:pt idx="14">
                  <c:v>3.28</c:v>
                </c:pt>
                <c:pt idx="15">
                  <c:v>2.85</c:v>
                </c:pt>
                <c:pt idx="16">
                  <c:v>2.74</c:v>
                </c:pt>
                <c:pt idx="17">
                  <c:v>2.59</c:v>
                </c:pt>
                <c:pt idx="18">
                  <c:v>2.36</c:v>
                </c:pt>
                <c:pt idx="19">
                  <c:v>2.2000000000000002</c:v>
                </c:pt>
                <c:pt idx="20">
                  <c:v>2.19</c:v>
                </c:pt>
                <c:pt idx="21">
                  <c:v>2.0499999999999998</c:v>
                </c:pt>
                <c:pt idx="22">
                  <c:v>1.97</c:v>
                </c:pt>
                <c:pt idx="23">
                  <c:v>2.0099999999999998</c:v>
                </c:pt>
                <c:pt idx="24">
                  <c:v>1.79</c:v>
                </c:pt>
                <c:pt idx="25">
                  <c:v>1.81</c:v>
                </c:pt>
                <c:pt idx="26">
                  <c:v>1.65</c:v>
                </c:pt>
                <c:pt idx="27">
                  <c:v>1.75</c:v>
                </c:pt>
                <c:pt idx="28">
                  <c:v>1.61</c:v>
                </c:pt>
                <c:pt idx="29">
                  <c:v>1.59</c:v>
                </c:pt>
                <c:pt idx="30">
                  <c:v>1.46</c:v>
                </c:pt>
                <c:pt idx="31">
                  <c:v>1.35</c:v>
                </c:pt>
                <c:pt idx="32">
                  <c:v>1.27</c:v>
                </c:pt>
                <c:pt idx="33">
                  <c:v>1.19</c:v>
                </c:pt>
                <c:pt idx="34">
                  <c:v>1.1100000000000001</c:v>
                </c:pt>
                <c:pt idx="35">
                  <c:v>1.1599999999999999</c:v>
                </c:pt>
                <c:pt idx="36">
                  <c:v>1.08</c:v>
                </c:pt>
                <c:pt idx="37">
                  <c:v>1.0900000000000001</c:v>
                </c:pt>
                <c:pt idx="38">
                  <c:v>1.04</c:v>
                </c:pt>
                <c:pt idx="39">
                  <c:v>0.91</c:v>
                </c:pt>
                <c:pt idx="40">
                  <c:v>0.88</c:v>
                </c:pt>
                <c:pt idx="41">
                  <c:v>0.77</c:v>
                </c:pt>
                <c:pt idx="42">
                  <c:v>0.71</c:v>
                </c:pt>
                <c:pt idx="43">
                  <c:v>0.69</c:v>
                </c:pt>
                <c:pt idx="44">
                  <c:v>0.65</c:v>
                </c:pt>
                <c:pt idx="45">
                  <c:v>0.56999999999999995</c:v>
                </c:pt>
                <c:pt idx="46">
                  <c:v>0.49</c:v>
                </c:pt>
                <c:pt idx="47">
                  <c:v>0.39</c:v>
                </c:pt>
                <c:pt idx="48">
                  <c:v>0.36</c:v>
                </c:pt>
                <c:pt idx="49">
                  <c:v>0.32</c:v>
                </c:pt>
                <c:pt idx="50">
                  <c:v>0.28999999999999998</c:v>
                </c:pt>
                <c:pt idx="51">
                  <c:v>0.25</c:v>
                </c:pt>
                <c:pt idx="52">
                  <c:v>0.2</c:v>
                </c:pt>
                <c:pt idx="53">
                  <c:v>0.18</c:v>
                </c:pt>
                <c:pt idx="54">
                  <c:v>0.15</c:v>
                </c:pt>
                <c:pt idx="5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C-4E82-A8D3-DA4B736D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002623"/>
        <c:axId val="622982239"/>
      </c:lineChart>
      <c:catAx>
        <c:axId val="6230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82239"/>
        <c:crosses val="autoZero"/>
        <c:auto val="1"/>
        <c:lblAlgn val="ctr"/>
        <c:lblOffset val="100"/>
        <c:noMultiLvlLbl val="0"/>
      </c:catAx>
      <c:valAx>
        <c:axId val="622982239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00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400"/>
              <a:t>Sortants de la FPE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6'!$R$5</c:f>
              <c:strCache>
                <c:ptCount val="1"/>
                <c:pt idx="0">
                  <c:v>Fonctionnaires</c:v>
                </c:pt>
              </c:strCache>
            </c:strRef>
          </c:tx>
          <c:spPr>
            <a:ln w="28575" cap="rnd">
              <a:solidFill>
                <a:srgbClr val="37635F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6'!$R$6:$R$61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0.08</c:v>
                </c:pt>
                <c:pt idx="7">
                  <c:v>0.18</c:v>
                </c:pt>
                <c:pt idx="8">
                  <c:v>0.4</c:v>
                </c:pt>
                <c:pt idx="9">
                  <c:v>0.64</c:v>
                </c:pt>
                <c:pt idx="10">
                  <c:v>0.78</c:v>
                </c:pt>
                <c:pt idx="11">
                  <c:v>0.74</c:v>
                </c:pt>
                <c:pt idx="12">
                  <c:v>0.77</c:v>
                </c:pt>
                <c:pt idx="13">
                  <c:v>0.83</c:v>
                </c:pt>
                <c:pt idx="14">
                  <c:v>0.88</c:v>
                </c:pt>
                <c:pt idx="15">
                  <c:v>0.94</c:v>
                </c:pt>
                <c:pt idx="16">
                  <c:v>0.95</c:v>
                </c:pt>
                <c:pt idx="17">
                  <c:v>1.01</c:v>
                </c:pt>
                <c:pt idx="18">
                  <c:v>0.99</c:v>
                </c:pt>
                <c:pt idx="19">
                  <c:v>1.02</c:v>
                </c:pt>
                <c:pt idx="20">
                  <c:v>0.99</c:v>
                </c:pt>
                <c:pt idx="21">
                  <c:v>1.02</c:v>
                </c:pt>
                <c:pt idx="22">
                  <c:v>1.04</c:v>
                </c:pt>
                <c:pt idx="23">
                  <c:v>1.08</c:v>
                </c:pt>
                <c:pt idx="24">
                  <c:v>0.98</c:v>
                </c:pt>
                <c:pt idx="25">
                  <c:v>0.98</c:v>
                </c:pt>
                <c:pt idx="26">
                  <c:v>0.91</c:v>
                </c:pt>
                <c:pt idx="27">
                  <c:v>1.01</c:v>
                </c:pt>
                <c:pt idx="28">
                  <c:v>0.99</c:v>
                </c:pt>
                <c:pt idx="29">
                  <c:v>1.04</c:v>
                </c:pt>
                <c:pt idx="30">
                  <c:v>0.99</c:v>
                </c:pt>
                <c:pt idx="31">
                  <c:v>1.02</c:v>
                </c:pt>
                <c:pt idx="32">
                  <c:v>1.04</c:v>
                </c:pt>
                <c:pt idx="33">
                  <c:v>0.92</c:v>
                </c:pt>
                <c:pt idx="34">
                  <c:v>0.92</c:v>
                </c:pt>
                <c:pt idx="35">
                  <c:v>0.99</c:v>
                </c:pt>
                <c:pt idx="36">
                  <c:v>0.99</c:v>
                </c:pt>
                <c:pt idx="37">
                  <c:v>1.22</c:v>
                </c:pt>
                <c:pt idx="38">
                  <c:v>1.17</c:v>
                </c:pt>
                <c:pt idx="39">
                  <c:v>1.25</c:v>
                </c:pt>
                <c:pt idx="40">
                  <c:v>1.53</c:v>
                </c:pt>
                <c:pt idx="41">
                  <c:v>1.74</c:v>
                </c:pt>
                <c:pt idx="42">
                  <c:v>2.75</c:v>
                </c:pt>
                <c:pt idx="43">
                  <c:v>2.5499999999999998</c:v>
                </c:pt>
                <c:pt idx="44">
                  <c:v>2.6</c:v>
                </c:pt>
                <c:pt idx="45">
                  <c:v>3.54</c:v>
                </c:pt>
                <c:pt idx="46">
                  <c:v>5.15</c:v>
                </c:pt>
                <c:pt idx="47">
                  <c:v>9.5</c:v>
                </c:pt>
                <c:pt idx="48">
                  <c:v>14.04</c:v>
                </c:pt>
                <c:pt idx="49">
                  <c:v>8.15</c:v>
                </c:pt>
                <c:pt idx="50">
                  <c:v>6.1</c:v>
                </c:pt>
                <c:pt idx="51">
                  <c:v>3.9</c:v>
                </c:pt>
                <c:pt idx="52">
                  <c:v>5.68</c:v>
                </c:pt>
                <c:pt idx="53">
                  <c:v>1.21</c:v>
                </c:pt>
                <c:pt idx="54">
                  <c:v>0.49</c:v>
                </c:pt>
                <c:pt idx="5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F-4415-A123-640629423EDE}"/>
            </c:ext>
          </c:extLst>
        </c:ser>
        <c:ser>
          <c:idx val="1"/>
          <c:order val="1"/>
          <c:tx>
            <c:strRef>
              <c:f>'Figure 6'!$S$5</c:f>
              <c:strCache>
                <c:ptCount val="1"/>
                <c:pt idx="0">
                  <c:v>Contractuels</c:v>
                </c:pt>
              </c:strCache>
            </c:strRef>
          </c:tx>
          <c:spPr>
            <a:ln w="28575" cap="rnd">
              <a:solidFill>
                <a:srgbClr val="FF9575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6'!$S$6:$S$61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0.4</c:v>
                </c:pt>
                <c:pt idx="5">
                  <c:v>1.55</c:v>
                </c:pt>
                <c:pt idx="6">
                  <c:v>2.88</c:v>
                </c:pt>
                <c:pt idx="7">
                  <c:v>3.88</c:v>
                </c:pt>
                <c:pt idx="8">
                  <c:v>5.0599999999999996</c:v>
                </c:pt>
                <c:pt idx="9">
                  <c:v>5.29</c:v>
                </c:pt>
                <c:pt idx="10">
                  <c:v>5.01</c:v>
                </c:pt>
                <c:pt idx="11">
                  <c:v>5.45</c:v>
                </c:pt>
                <c:pt idx="12">
                  <c:v>5.62</c:v>
                </c:pt>
                <c:pt idx="13">
                  <c:v>5.0599999999999996</c:v>
                </c:pt>
                <c:pt idx="14">
                  <c:v>4.2300000000000004</c:v>
                </c:pt>
                <c:pt idx="15">
                  <c:v>3.63</c:v>
                </c:pt>
                <c:pt idx="16">
                  <c:v>3.16</c:v>
                </c:pt>
                <c:pt idx="17">
                  <c:v>2.7</c:v>
                </c:pt>
                <c:pt idx="18">
                  <c:v>2.5</c:v>
                </c:pt>
                <c:pt idx="19">
                  <c:v>2.36</c:v>
                </c:pt>
                <c:pt idx="20">
                  <c:v>2.13</c:v>
                </c:pt>
                <c:pt idx="21">
                  <c:v>1.88</c:v>
                </c:pt>
                <c:pt idx="22">
                  <c:v>1.81</c:v>
                </c:pt>
                <c:pt idx="23">
                  <c:v>1.72</c:v>
                </c:pt>
                <c:pt idx="24">
                  <c:v>1.62</c:v>
                </c:pt>
                <c:pt idx="25">
                  <c:v>1.51</c:v>
                </c:pt>
                <c:pt idx="26">
                  <c:v>1.42</c:v>
                </c:pt>
                <c:pt idx="27">
                  <c:v>1.41</c:v>
                </c:pt>
                <c:pt idx="28">
                  <c:v>1.34</c:v>
                </c:pt>
                <c:pt idx="29">
                  <c:v>1.25</c:v>
                </c:pt>
                <c:pt idx="30">
                  <c:v>1.21</c:v>
                </c:pt>
                <c:pt idx="31">
                  <c:v>1.17</c:v>
                </c:pt>
                <c:pt idx="32">
                  <c:v>1.0900000000000001</c:v>
                </c:pt>
                <c:pt idx="33">
                  <c:v>1.0900000000000001</c:v>
                </c:pt>
                <c:pt idx="34">
                  <c:v>1.01</c:v>
                </c:pt>
                <c:pt idx="35">
                  <c:v>1</c:v>
                </c:pt>
                <c:pt idx="36">
                  <c:v>1.0900000000000001</c:v>
                </c:pt>
                <c:pt idx="37">
                  <c:v>0.99</c:v>
                </c:pt>
                <c:pt idx="38">
                  <c:v>0.96</c:v>
                </c:pt>
                <c:pt idx="39">
                  <c:v>0.87</c:v>
                </c:pt>
                <c:pt idx="40">
                  <c:v>0.88</c:v>
                </c:pt>
                <c:pt idx="41">
                  <c:v>0.83</c:v>
                </c:pt>
                <c:pt idx="42">
                  <c:v>0.82</c:v>
                </c:pt>
                <c:pt idx="43">
                  <c:v>0.78</c:v>
                </c:pt>
                <c:pt idx="44">
                  <c:v>0.72</c:v>
                </c:pt>
                <c:pt idx="45">
                  <c:v>0.97</c:v>
                </c:pt>
                <c:pt idx="46">
                  <c:v>1.1200000000000001</c:v>
                </c:pt>
                <c:pt idx="47">
                  <c:v>1.66</c:v>
                </c:pt>
                <c:pt idx="48">
                  <c:v>1.77</c:v>
                </c:pt>
                <c:pt idx="49">
                  <c:v>1.24</c:v>
                </c:pt>
                <c:pt idx="50">
                  <c:v>1.07</c:v>
                </c:pt>
                <c:pt idx="51">
                  <c:v>0.73</c:v>
                </c:pt>
                <c:pt idx="52">
                  <c:v>0.97</c:v>
                </c:pt>
                <c:pt idx="53">
                  <c:v>0.52</c:v>
                </c:pt>
                <c:pt idx="54">
                  <c:v>0.27</c:v>
                </c:pt>
                <c:pt idx="5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F-4415-A123-640629423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002623"/>
        <c:axId val="622982239"/>
      </c:lineChart>
      <c:catAx>
        <c:axId val="6230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82239"/>
        <c:crosses val="autoZero"/>
        <c:auto val="1"/>
        <c:lblAlgn val="ctr"/>
        <c:lblOffset val="100"/>
        <c:noMultiLvlLbl val="0"/>
      </c:catAx>
      <c:valAx>
        <c:axId val="622982239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00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Entrants dans la FPT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6'!$V$5</c:f>
              <c:strCache>
                <c:ptCount val="1"/>
                <c:pt idx="0">
                  <c:v>Fonctionnaires</c:v>
                </c:pt>
              </c:strCache>
            </c:strRef>
          </c:tx>
          <c:spPr>
            <a:ln w="28575" cap="rnd">
              <a:solidFill>
                <a:srgbClr val="37635F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6'!$V$6:$V$61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0.11</c:v>
                </c:pt>
                <c:pt idx="4">
                  <c:v>0.37</c:v>
                </c:pt>
                <c:pt idx="5">
                  <c:v>0.81</c:v>
                </c:pt>
                <c:pt idx="6">
                  <c:v>1.07</c:v>
                </c:pt>
                <c:pt idx="7">
                  <c:v>1.45</c:v>
                </c:pt>
                <c:pt idx="8">
                  <c:v>1.66</c:v>
                </c:pt>
                <c:pt idx="9">
                  <c:v>1.96</c:v>
                </c:pt>
                <c:pt idx="10">
                  <c:v>1.68</c:v>
                </c:pt>
                <c:pt idx="11">
                  <c:v>1.84</c:v>
                </c:pt>
                <c:pt idx="12">
                  <c:v>1.95</c:v>
                </c:pt>
                <c:pt idx="13">
                  <c:v>2.0699999999999998</c:v>
                </c:pt>
                <c:pt idx="14">
                  <c:v>2.0499999999999998</c:v>
                </c:pt>
                <c:pt idx="15">
                  <c:v>2.31</c:v>
                </c:pt>
                <c:pt idx="16">
                  <c:v>2.44</c:v>
                </c:pt>
                <c:pt idx="17">
                  <c:v>2.54</c:v>
                </c:pt>
                <c:pt idx="18">
                  <c:v>2.77</c:v>
                </c:pt>
                <c:pt idx="19">
                  <c:v>2.76</c:v>
                </c:pt>
                <c:pt idx="20">
                  <c:v>2.99</c:v>
                </c:pt>
                <c:pt idx="21">
                  <c:v>3.09</c:v>
                </c:pt>
                <c:pt idx="22">
                  <c:v>3.01</c:v>
                </c:pt>
                <c:pt idx="23">
                  <c:v>3.39</c:v>
                </c:pt>
                <c:pt idx="24">
                  <c:v>3.12</c:v>
                </c:pt>
                <c:pt idx="25">
                  <c:v>2.72</c:v>
                </c:pt>
                <c:pt idx="26">
                  <c:v>2.86</c:v>
                </c:pt>
                <c:pt idx="27">
                  <c:v>3.03</c:v>
                </c:pt>
                <c:pt idx="28">
                  <c:v>2.96</c:v>
                </c:pt>
                <c:pt idx="29">
                  <c:v>2.6</c:v>
                </c:pt>
                <c:pt idx="30">
                  <c:v>2.81</c:v>
                </c:pt>
                <c:pt idx="31">
                  <c:v>2.59</c:v>
                </c:pt>
                <c:pt idx="32">
                  <c:v>2.56</c:v>
                </c:pt>
                <c:pt idx="33">
                  <c:v>2.5299999999999998</c:v>
                </c:pt>
                <c:pt idx="34">
                  <c:v>2.48</c:v>
                </c:pt>
                <c:pt idx="35">
                  <c:v>2.68</c:v>
                </c:pt>
                <c:pt idx="36">
                  <c:v>2.83</c:v>
                </c:pt>
                <c:pt idx="37">
                  <c:v>2.61</c:v>
                </c:pt>
                <c:pt idx="38">
                  <c:v>2.57</c:v>
                </c:pt>
                <c:pt idx="39">
                  <c:v>2.29</c:v>
                </c:pt>
                <c:pt idx="40">
                  <c:v>2.25</c:v>
                </c:pt>
                <c:pt idx="41">
                  <c:v>2.19</c:v>
                </c:pt>
                <c:pt idx="42">
                  <c:v>1.98</c:v>
                </c:pt>
                <c:pt idx="43">
                  <c:v>1.75</c:v>
                </c:pt>
                <c:pt idx="44">
                  <c:v>1.57</c:v>
                </c:pt>
                <c:pt idx="45">
                  <c:v>1.66</c:v>
                </c:pt>
                <c:pt idx="46">
                  <c:v>1.0900000000000001</c:v>
                </c:pt>
                <c:pt idx="47">
                  <c:v>0.85</c:v>
                </c:pt>
                <c:pt idx="48">
                  <c:v>0.39</c:v>
                </c:pt>
                <c:pt idx="49">
                  <c:v>0.22</c:v>
                </c:pt>
                <c:pt idx="50">
                  <c:v>0.2</c:v>
                </c:pt>
                <c:pt idx="51">
                  <c:v>0.14000000000000001</c:v>
                </c:pt>
                <c:pt idx="52">
                  <c:v>0.03</c:v>
                </c:pt>
                <c:pt idx="53">
                  <c:v>0.04</c:v>
                </c:pt>
                <c:pt idx="54">
                  <c:v>0.02</c:v>
                </c:pt>
                <c:pt idx="5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9-4194-94E8-A5A68052D651}"/>
            </c:ext>
          </c:extLst>
        </c:ser>
        <c:ser>
          <c:idx val="1"/>
          <c:order val="1"/>
          <c:tx>
            <c:strRef>
              <c:f>'Figure 6'!$W$5</c:f>
              <c:strCache>
                <c:ptCount val="1"/>
                <c:pt idx="0">
                  <c:v>Contractuels</c:v>
                </c:pt>
              </c:strCache>
            </c:strRef>
          </c:tx>
          <c:spPr>
            <a:ln w="28575" cap="rnd">
              <a:solidFill>
                <a:srgbClr val="FF9575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6'!$W$6:$W$61</c:f>
              <c:numCache>
                <c:formatCode>0.00</c:formatCode>
                <c:ptCount val="56"/>
                <c:pt idx="0">
                  <c:v>0.01</c:v>
                </c:pt>
                <c:pt idx="1">
                  <c:v>0.3</c:v>
                </c:pt>
                <c:pt idx="2">
                  <c:v>1.08</c:v>
                </c:pt>
                <c:pt idx="3">
                  <c:v>2.89</c:v>
                </c:pt>
                <c:pt idx="4">
                  <c:v>4.13</c:v>
                </c:pt>
                <c:pt idx="5">
                  <c:v>4.0999999999999996</c:v>
                </c:pt>
                <c:pt idx="6">
                  <c:v>3.89</c:v>
                </c:pt>
                <c:pt idx="7">
                  <c:v>3.54</c:v>
                </c:pt>
                <c:pt idx="8">
                  <c:v>3.62</c:v>
                </c:pt>
                <c:pt idx="9">
                  <c:v>3.68</c:v>
                </c:pt>
                <c:pt idx="10">
                  <c:v>3.25</c:v>
                </c:pt>
                <c:pt idx="11">
                  <c:v>2.91</c:v>
                </c:pt>
                <c:pt idx="12">
                  <c:v>2.67</c:v>
                </c:pt>
                <c:pt idx="13">
                  <c:v>2.56</c:v>
                </c:pt>
                <c:pt idx="14">
                  <c:v>2.41</c:v>
                </c:pt>
                <c:pt idx="15">
                  <c:v>2.3199999999999998</c:v>
                </c:pt>
                <c:pt idx="16">
                  <c:v>2.2999999999999998</c:v>
                </c:pt>
                <c:pt idx="17">
                  <c:v>2.33</c:v>
                </c:pt>
                <c:pt idx="18">
                  <c:v>2.41</c:v>
                </c:pt>
                <c:pt idx="19">
                  <c:v>2.38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2.23</c:v>
                </c:pt>
                <c:pt idx="23">
                  <c:v>2.17</c:v>
                </c:pt>
                <c:pt idx="24">
                  <c:v>2.14</c:v>
                </c:pt>
                <c:pt idx="25">
                  <c:v>2.15</c:v>
                </c:pt>
                <c:pt idx="26">
                  <c:v>2.02</c:v>
                </c:pt>
                <c:pt idx="27">
                  <c:v>2.0299999999999998</c:v>
                </c:pt>
                <c:pt idx="28">
                  <c:v>2</c:v>
                </c:pt>
                <c:pt idx="29">
                  <c:v>1.98</c:v>
                </c:pt>
                <c:pt idx="30">
                  <c:v>1.8</c:v>
                </c:pt>
                <c:pt idx="31">
                  <c:v>1.65</c:v>
                </c:pt>
                <c:pt idx="32">
                  <c:v>1.64</c:v>
                </c:pt>
                <c:pt idx="33">
                  <c:v>1.56</c:v>
                </c:pt>
                <c:pt idx="34">
                  <c:v>1.58</c:v>
                </c:pt>
                <c:pt idx="35">
                  <c:v>1.59</c:v>
                </c:pt>
                <c:pt idx="36">
                  <c:v>1.63</c:v>
                </c:pt>
                <c:pt idx="37">
                  <c:v>1.61</c:v>
                </c:pt>
                <c:pt idx="38">
                  <c:v>1.54</c:v>
                </c:pt>
                <c:pt idx="39">
                  <c:v>1.35</c:v>
                </c:pt>
                <c:pt idx="40">
                  <c:v>1.35</c:v>
                </c:pt>
                <c:pt idx="41">
                  <c:v>1.27</c:v>
                </c:pt>
                <c:pt idx="42">
                  <c:v>1.18</c:v>
                </c:pt>
                <c:pt idx="43">
                  <c:v>1.17</c:v>
                </c:pt>
                <c:pt idx="44">
                  <c:v>1.06</c:v>
                </c:pt>
                <c:pt idx="45">
                  <c:v>0.86</c:v>
                </c:pt>
                <c:pt idx="46">
                  <c:v>0.73</c:v>
                </c:pt>
                <c:pt idx="47">
                  <c:v>0.5</c:v>
                </c:pt>
                <c:pt idx="48">
                  <c:v>0.43</c:v>
                </c:pt>
                <c:pt idx="49">
                  <c:v>0.38</c:v>
                </c:pt>
                <c:pt idx="50">
                  <c:v>0.32</c:v>
                </c:pt>
                <c:pt idx="51">
                  <c:v>0.24</c:v>
                </c:pt>
                <c:pt idx="52">
                  <c:v>0.16</c:v>
                </c:pt>
                <c:pt idx="53">
                  <c:v>0.15</c:v>
                </c:pt>
                <c:pt idx="54">
                  <c:v>0.11</c:v>
                </c:pt>
                <c:pt idx="5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9-4194-94E8-A5A68052D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002623"/>
        <c:axId val="622982239"/>
      </c:lineChart>
      <c:catAx>
        <c:axId val="6230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82239"/>
        <c:crosses val="autoZero"/>
        <c:auto val="1"/>
        <c:lblAlgn val="ctr"/>
        <c:lblOffset val="100"/>
        <c:noMultiLvlLbl val="0"/>
      </c:catAx>
      <c:valAx>
        <c:axId val="622982239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00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Sortants de la FPT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6'!$Z$5</c:f>
              <c:strCache>
                <c:ptCount val="1"/>
                <c:pt idx="0">
                  <c:v>Fonctionnaires</c:v>
                </c:pt>
              </c:strCache>
            </c:strRef>
          </c:tx>
          <c:spPr>
            <a:ln w="28575" cap="rnd">
              <a:solidFill>
                <a:srgbClr val="37635F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6'!$Z$6:$Z$61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0.05</c:v>
                </c:pt>
                <c:pt idx="7">
                  <c:v>0.12</c:v>
                </c:pt>
                <c:pt idx="8">
                  <c:v>0.2</c:v>
                </c:pt>
                <c:pt idx="9">
                  <c:v>0.31</c:v>
                </c:pt>
                <c:pt idx="10">
                  <c:v>0.34</c:v>
                </c:pt>
                <c:pt idx="11">
                  <c:v>0.47</c:v>
                </c:pt>
                <c:pt idx="12">
                  <c:v>0.57999999999999996</c:v>
                </c:pt>
                <c:pt idx="13">
                  <c:v>0.66</c:v>
                </c:pt>
                <c:pt idx="14">
                  <c:v>0.77</c:v>
                </c:pt>
                <c:pt idx="15">
                  <c:v>0.84</c:v>
                </c:pt>
                <c:pt idx="16">
                  <c:v>0.91</c:v>
                </c:pt>
                <c:pt idx="17">
                  <c:v>1.01</c:v>
                </c:pt>
                <c:pt idx="18">
                  <c:v>1.1299999999999999</c:v>
                </c:pt>
                <c:pt idx="19">
                  <c:v>1.05</c:v>
                </c:pt>
                <c:pt idx="20">
                  <c:v>1.1399999999999999</c:v>
                </c:pt>
                <c:pt idx="21">
                  <c:v>1.18</c:v>
                </c:pt>
                <c:pt idx="22">
                  <c:v>1.18</c:v>
                </c:pt>
                <c:pt idx="23">
                  <c:v>1.22</c:v>
                </c:pt>
                <c:pt idx="24">
                  <c:v>1.1100000000000001</c:v>
                </c:pt>
                <c:pt idx="25">
                  <c:v>1.18</c:v>
                </c:pt>
                <c:pt idx="26">
                  <c:v>1.1499999999999999</c:v>
                </c:pt>
                <c:pt idx="27">
                  <c:v>1.21</c:v>
                </c:pt>
                <c:pt idx="28">
                  <c:v>1.24</c:v>
                </c:pt>
                <c:pt idx="29">
                  <c:v>1.1599999999999999</c:v>
                </c:pt>
                <c:pt idx="30">
                  <c:v>1.1399999999999999</c:v>
                </c:pt>
                <c:pt idx="31">
                  <c:v>1.0900000000000001</c:v>
                </c:pt>
                <c:pt idx="32">
                  <c:v>1.0900000000000001</c:v>
                </c:pt>
                <c:pt idx="33">
                  <c:v>1.1200000000000001</c:v>
                </c:pt>
                <c:pt idx="34">
                  <c:v>1.19</c:v>
                </c:pt>
                <c:pt idx="35">
                  <c:v>1.32</c:v>
                </c:pt>
                <c:pt idx="36">
                  <c:v>1.44</c:v>
                </c:pt>
                <c:pt idx="37">
                  <c:v>1.4</c:v>
                </c:pt>
                <c:pt idx="38">
                  <c:v>1.49</c:v>
                </c:pt>
                <c:pt idx="39">
                  <c:v>1.46</c:v>
                </c:pt>
                <c:pt idx="40">
                  <c:v>1.47</c:v>
                </c:pt>
                <c:pt idx="41">
                  <c:v>1.41</c:v>
                </c:pt>
                <c:pt idx="42">
                  <c:v>1.62</c:v>
                </c:pt>
                <c:pt idx="43">
                  <c:v>1.9</c:v>
                </c:pt>
                <c:pt idx="44">
                  <c:v>1.95</c:v>
                </c:pt>
                <c:pt idx="45">
                  <c:v>4.92</c:v>
                </c:pt>
                <c:pt idx="46">
                  <c:v>7.54</c:v>
                </c:pt>
                <c:pt idx="47">
                  <c:v>11.84</c:v>
                </c:pt>
                <c:pt idx="48">
                  <c:v>14.02</c:v>
                </c:pt>
                <c:pt idx="49">
                  <c:v>6.67</c:v>
                </c:pt>
                <c:pt idx="50">
                  <c:v>4.74</c:v>
                </c:pt>
                <c:pt idx="51">
                  <c:v>2.93</c:v>
                </c:pt>
                <c:pt idx="52">
                  <c:v>4.71</c:v>
                </c:pt>
                <c:pt idx="53">
                  <c:v>0.96</c:v>
                </c:pt>
                <c:pt idx="54">
                  <c:v>0.23</c:v>
                </c:pt>
                <c:pt idx="5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4-4759-82FD-FB653B52F5CE}"/>
            </c:ext>
          </c:extLst>
        </c:ser>
        <c:ser>
          <c:idx val="1"/>
          <c:order val="1"/>
          <c:tx>
            <c:strRef>
              <c:f>'Figure 6'!$AA$5</c:f>
              <c:strCache>
                <c:ptCount val="1"/>
                <c:pt idx="0">
                  <c:v>Contractuels</c:v>
                </c:pt>
              </c:strCache>
            </c:strRef>
          </c:tx>
          <c:spPr>
            <a:ln w="28575" cap="rnd">
              <a:solidFill>
                <a:srgbClr val="FF9575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6'!$AA$6:$AA$61</c:f>
              <c:numCache>
                <c:formatCode>0.00</c:formatCode>
                <c:ptCount val="56"/>
                <c:pt idx="0">
                  <c:v>0.01</c:v>
                </c:pt>
                <c:pt idx="1">
                  <c:v>0.02</c:v>
                </c:pt>
                <c:pt idx="2">
                  <c:v>0.33</c:v>
                </c:pt>
                <c:pt idx="3">
                  <c:v>1.25</c:v>
                </c:pt>
                <c:pt idx="4">
                  <c:v>2.76</c:v>
                </c:pt>
                <c:pt idx="5">
                  <c:v>4.4000000000000004</c:v>
                </c:pt>
                <c:pt idx="6">
                  <c:v>4.8499999999999996</c:v>
                </c:pt>
                <c:pt idx="7">
                  <c:v>4.57</c:v>
                </c:pt>
                <c:pt idx="8">
                  <c:v>4.1399999999999997</c:v>
                </c:pt>
                <c:pt idx="9">
                  <c:v>4</c:v>
                </c:pt>
                <c:pt idx="10">
                  <c:v>3.57</c:v>
                </c:pt>
                <c:pt idx="11">
                  <c:v>3.23</c:v>
                </c:pt>
                <c:pt idx="12">
                  <c:v>3.07</c:v>
                </c:pt>
                <c:pt idx="13">
                  <c:v>2.72</c:v>
                </c:pt>
                <c:pt idx="14">
                  <c:v>2.56</c:v>
                </c:pt>
                <c:pt idx="15">
                  <c:v>2.35</c:v>
                </c:pt>
                <c:pt idx="16">
                  <c:v>2.27</c:v>
                </c:pt>
                <c:pt idx="17">
                  <c:v>2.23</c:v>
                </c:pt>
                <c:pt idx="18">
                  <c:v>2.19</c:v>
                </c:pt>
                <c:pt idx="19">
                  <c:v>2</c:v>
                </c:pt>
                <c:pt idx="20">
                  <c:v>2.0499999999999998</c:v>
                </c:pt>
                <c:pt idx="21">
                  <c:v>1.99</c:v>
                </c:pt>
                <c:pt idx="22">
                  <c:v>1.88</c:v>
                </c:pt>
                <c:pt idx="23">
                  <c:v>1.87</c:v>
                </c:pt>
                <c:pt idx="24">
                  <c:v>1.83</c:v>
                </c:pt>
                <c:pt idx="25">
                  <c:v>1.77</c:v>
                </c:pt>
                <c:pt idx="26">
                  <c:v>1.69</c:v>
                </c:pt>
                <c:pt idx="27">
                  <c:v>1.67</c:v>
                </c:pt>
                <c:pt idx="28">
                  <c:v>1.6</c:v>
                </c:pt>
                <c:pt idx="29">
                  <c:v>1.53</c:v>
                </c:pt>
                <c:pt idx="30">
                  <c:v>1.44</c:v>
                </c:pt>
                <c:pt idx="31">
                  <c:v>1.38</c:v>
                </c:pt>
                <c:pt idx="32">
                  <c:v>1.35</c:v>
                </c:pt>
                <c:pt idx="33">
                  <c:v>1.29</c:v>
                </c:pt>
                <c:pt idx="34">
                  <c:v>1.37</c:v>
                </c:pt>
                <c:pt idx="35">
                  <c:v>1.37</c:v>
                </c:pt>
                <c:pt idx="36">
                  <c:v>1.43</c:v>
                </c:pt>
                <c:pt idx="37">
                  <c:v>1.38</c:v>
                </c:pt>
                <c:pt idx="38">
                  <c:v>1.31</c:v>
                </c:pt>
                <c:pt idx="39">
                  <c:v>1.28</c:v>
                </c:pt>
                <c:pt idx="40">
                  <c:v>1.24</c:v>
                </c:pt>
                <c:pt idx="41">
                  <c:v>1.17</c:v>
                </c:pt>
                <c:pt idx="42">
                  <c:v>1.1399999999999999</c:v>
                </c:pt>
                <c:pt idx="43">
                  <c:v>1.1399999999999999</c:v>
                </c:pt>
                <c:pt idx="44">
                  <c:v>1.08</c:v>
                </c:pt>
                <c:pt idx="45">
                  <c:v>1.24</c:v>
                </c:pt>
                <c:pt idx="46">
                  <c:v>1.33</c:v>
                </c:pt>
                <c:pt idx="47">
                  <c:v>1.59</c:v>
                </c:pt>
                <c:pt idx="48">
                  <c:v>1.43</c:v>
                </c:pt>
                <c:pt idx="49">
                  <c:v>1.04</c:v>
                </c:pt>
                <c:pt idx="50">
                  <c:v>0.93</c:v>
                </c:pt>
                <c:pt idx="51">
                  <c:v>0.71</c:v>
                </c:pt>
                <c:pt idx="52">
                  <c:v>0.99</c:v>
                </c:pt>
                <c:pt idx="53">
                  <c:v>0.48</c:v>
                </c:pt>
                <c:pt idx="54">
                  <c:v>0.28000000000000003</c:v>
                </c:pt>
                <c:pt idx="55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04-4759-82FD-FB653B52F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002623"/>
        <c:axId val="622982239"/>
      </c:lineChart>
      <c:catAx>
        <c:axId val="6230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82239"/>
        <c:crosses val="autoZero"/>
        <c:auto val="1"/>
        <c:lblAlgn val="ctr"/>
        <c:lblOffset val="100"/>
        <c:noMultiLvlLbl val="0"/>
      </c:catAx>
      <c:valAx>
        <c:axId val="622982239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00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Entrants dans la FPH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6'!$AD$5</c:f>
              <c:strCache>
                <c:ptCount val="1"/>
                <c:pt idx="0">
                  <c:v>Fonctionnaires</c:v>
                </c:pt>
              </c:strCache>
            </c:strRef>
          </c:tx>
          <c:spPr>
            <a:ln w="28575" cap="rnd">
              <a:solidFill>
                <a:srgbClr val="37635F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6'!$AD$6:$AD$61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0.06</c:v>
                </c:pt>
                <c:pt idx="5">
                  <c:v>0.34</c:v>
                </c:pt>
                <c:pt idx="6">
                  <c:v>7.23</c:v>
                </c:pt>
                <c:pt idx="7">
                  <c:v>7.7</c:v>
                </c:pt>
                <c:pt idx="8">
                  <c:v>5.85</c:v>
                </c:pt>
                <c:pt idx="9">
                  <c:v>4.03</c:v>
                </c:pt>
                <c:pt idx="10">
                  <c:v>3.35</c:v>
                </c:pt>
                <c:pt idx="11">
                  <c:v>2.64</c:v>
                </c:pt>
                <c:pt idx="12">
                  <c:v>2.37</c:v>
                </c:pt>
                <c:pt idx="13">
                  <c:v>2.4</c:v>
                </c:pt>
                <c:pt idx="14">
                  <c:v>2.37</c:v>
                </c:pt>
                <c:pt idx="15">
                  <c:v>2.34</c:v>
                </c:pt>
                <c:pt idx="16">
                  <c:v>2.67</c:v>
                </c:pt>
                <c:pt idx="17">
                  <c:v>2.62</c:v>
                </c:pt>
                <c:pt idx="18">
                  <c:v>2.5499999999999998</c:v>
                </c:pt>
                <c:pt idx="19">
                  <c:v>2.94</c:v>
                </c:pt>
                <c:pt idx="20">
                  <c:v>3.02</c:v>
                </c:pt>
                <c:pt idx="21">
                  <c:v>3.11</c:v>
                </c:pt>
                <c:pt idx="22">
                  <c:v>2.66</c:v>
                </c:pt>
                <c:pt idx="23">
                  <c:v>2.77</c:v>
                </c:pt>
                <c:pt idx="24">
                  <c:v>2.59</c:v>
                </c:pt>
                <c:pt idx="25">
                  <c:v>2.5499999999999998</c:v>
                </c:pt>
                <c:pt idx="26">
                  <c:v>2.29</c:v>
                </c:pt>
                <c:pt idx="27">
                  <c:v>2.31</c:v>
                </c:pt>
                <c:pt idx="28">
                  <c:v>2.0499999999999998</c:v>
                </c:pt>
                <c:pt idx="29">
                  <c:v>2.1</c:v>
                </c:pt>
                <c:pt idx="30">
                  <c:v>2.02</c:v>
                </c:pt>
                <c:pt idx="31">
                  <c:v>1.77</c:v>
                </c:pt>
                <c:pt idx="32">
                  <c:v>1.68</c:v>
                </c:pt>
                <c:pt idx="33">
                  <c:v>1.56</c:v>
                </c:pt>
                <c:pt idx="34">
                  <c:v>1.43</c:v>
                </c:pt>
                <c:pt idx="35">
                  <c:v>1.44</c:v>
                </c:pt>
                <c:pt idx="36">
                  <c:v>1.57</c:v>
                </c:pt>
                <c:pt idx="37">
                  <c:v>1.71</c:v>
                </c:pt>
                <c:pt idx="38">
                  <c:v>1.32</c:v>
                </c:pt>
                <c:pt idx="39">
                  <c:v>1.28</c:v>
                </c:pt>
                <c:pt idx="40">
                  <c:v>1.23</c:v>
                </c:pt>
                <c:pt idx="41">
                  <c:v>0.91</c:v>
                </c:pt>
                <c:pt idx="42">
                  <c:v>1.01</c:v>
                </c:pt>
                <c:pt idx="43">
                  <c:v>0.87</c:v>
                </c:pt>
                <c:pt idx="44">
                  <c:v>0.87</c:v>
                </c:pt>
                <c:pt idx="45">
                  <c:v>0.59</c:v>
                </c:pt>
                <c:pt idx="46">
                  <c:v>0.54</c:v>
                </c:pt>
                <c:pt idx="47">
                  <c:v>0.45</c:v>
                </c:pt>
                <c:pt idx="48">
                  <c:v>0.33</c:v>
                </c:pt>
                <c:pt idx="49">
                  <c:v>0.28000000000000003</c:v>
                </c:pt>
                <c:pt idx="50">
                  <c:v>0.08</c:v>
                </c:pt>
                <c:pt idx="51">
                  <c:v>0.09</c:v>
                </c:pt>
                <c:pt idx="52">
                  <c:v>0.02</c:v>
                </c:pt>
                <c:pt idx="53">
                  <c:v>0.04</c:v>
                </c:pt>
                <c:pt idx="54">
                  <c:v>0</c:v>
                </c:pt>
                <c:pt idx="55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C-4ADA-83C3-928BBA93BD23}"/>
            </c:ext>
          </c:extLst>
        </c:ser>
        <c:ser>
          <c:idx val="1"/>
          <c:order val="1"/>
          <c:tx>
            <c:strRef>
              <c:f>'Figure 6'!$AE$5</c:f>
              <c:strCache>
                <c:ptCount val="1"/>
                <c:pt idx="0">
                  <c:v>Contractuels</c:v>
                </c:pt>
              </c:strCache>
            </c:strRef>
          </c:tx>
          <c:spPr>
            <a:ln w="28575" cap="rnd">
              <a:solidFill>
                <a:srgbClr val="FF9575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6'!$AE$6:$AE$61</c:f>
              <c:numCache>
                <c:formatCode>0.00</c:formatCode>
                <c:ptCount val="56"/>
                <c:pt idx="0">
                  <c:v>0</c:v>
                </c:pt>
                <c:pt idx="1">
                  <c:v>0.01</c:v>
                </c:pt>
                <c:pt idx="2">
                  <c:v>0.05</c:v>
                </c:pt>
                <c:pt idx="3">
                  <c:v>1.1499999999999999</c:v>
                </c:pt>
                <c:pt idx="4">
                  <c:v>2.4700000000000002</c:v>
                </c:pt>
                <c:pt idx="5">
                  <c:v>3.15</c:v>
                </c:pt>
                <c:pt idx="6">
                  <c:v>6.73</c:v>
                </c:pt>
                <c:pt idx="7">
                  <c:v>6</c:v>
                </c:pt>
                <c:pt idx="8">
                  <c:v>5.46</c:v>
                </c:pt>
                <c:pt idx="9">
                  <c:v>5.05</c:v>
                </c:pt>
                <c:pt idx="10">
                  <c:v>4.09</c:v>
                </c:pt>
                <c:pt idx="11">
                  <c:v>3.61</c:v>
                </c:pt>
                <c:pt idx="12">
                  <c:v>3.16</c:v>
                </c:pt>
                <c:pt idx="13">
                  <c:v>2.94</c:v>
                </c:pt>
                <c:pt idx="14">
                  <c:v>2.7</c:v>
                </c:pt>
                <c:pt idx="15">
                  <c:v>2.65</c:v>
                </c:pt>
                <c:pt idx="16">
                  <c:v>2.56</c:v>
                </c:pt>
                <c:pt idx="17">
                  <c:v>2.46</c:v>
                </c:pt>
                <c:pt idx="18">
                  <c:v>2.6</c:v>
                </c:pt>
                <c:pt idx="19">
                  <c:v>2.42</c:v>
                </c:pt>
                <c:pt idx="20">
                  <c:v>2.35</c:v>
                </c:pt>
                <c:pt idx="21">
                  <c:v>2.34</c:v>
                </c:pt>
                <c:pt idx="22">
                  <c:v>2.2400000000000002</c:v>
                </c:pt>
                <c:pt idx="23">
                  <c:v>2.2000000000000002</c:v>
                </c:pt>
                <c:pt idx="24">
                  <c:v>2.09</c:v>
                </c:pt>
                <c:pt idx="25">
                  <c:v>1.96</c:v>
                </c:pt>
                <c:pt idx="26">
                  <c:v>2.0099999999999998</c:v>
                </c:pt>
                <c:pt idx="27">
                  <c:v>1.92</c:v>
                </c:pt>
                <c:pt idx="28">
                  <c:v>1.85</c:v>
                </c:pt>
                <c:pt idx="29">
                  <c:v>1.87</c:v>
                </c:pt>
                <c:pt idx="30">
                  <c:v>1.62</c:v>
                </c:pt>
                <c:pt idx="31">
                  <c:v>1.51</c:v>
                </c:pt>
                <c:pt idx="32">
                  <c:v>1.53</c:v>
                </c:pt>
                <c:pt idx="33">
                  <c:v>1.36</c:v>
                </c:pt>
                <c:pt idx="34">
                  <c:v>1.43</c:v>
                </c:pt>
                <c:pt idx="35">
                  <c:v>1.31</c:v>
                </c:pt>
                <c:pt idx="36">
                  <c:v>1.36</c:v>
                </c:pt>
                <c:pt idx="37">
                  <c:v>1.45</c:v>
                </c:pt>
                <c:pt idx="38">
                  <c:v>1.18</c:v>
                </c:pt>
                <c:pt idx="39">
                  <c:v>1.1100000000000001</c:v>
                </c:pt>
                <c:pt idx="40">
                  <c:v>0.96</c:v>
                </c:pt>
                <c:pt idx="41">
                  <c:v>0.85</c:v>
                </c:pt>
                <c:pt idx="42">
                  <c:v>0.8</c:v>
                </c:pt>
                <c:pt idx="43">
                  <c:v>0.73</c:v>
                </c:pt>
                <c:pt idx="44">
                  <c:v>0.57999999999999996</c:v>
                </c:pt>
                <c:pt idx="45">
                  <c:v>0.49</c:v>
                </c:pt>
                <c:pt idx="46">
                  <c:v>0.41</c:v>
                </c:pt>
                <c:pt idx="47">
                  <c:v>0.27</c:v>
                </c:pt>
                <c:pt idx="48">
                  <c:v>0.21</c:v>
                </c:pt>
                <c:pt idx="49">
                  <c:v>0.2</c:v>
                </c:pt>
                <c:pt idx="50">
                  <c:v>0.18</c:v>
                </c:pt>
                <c:pt idx="51">
                  <c:v>0.12</c:v>
                </c:pt>
                <c:pt idx="52">
                  <c:v>0.08</c:v>
                </c:pt>
                <c:pt idx="53">
                  <c:v>7.0000000000000007E-2</c:v>
                </c:pt>
                <c:pt idx="54">
                  <c:v>0.05</c:v>
                </c:pt>
                <c:pt idx="55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C-4ADA-83C3-928BBA93B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002623"/>
        <c:axId val="622982239"/>
      </c:lineChart>
      <c:catAx>
        <c:axId val="6230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82239"/>
        <c:crosses val="autoZero"/>
        <c:auto val="1"/>
        <c:lblAlgn val="ctr"/>
        <c:lblOffset val="100"/>
        <c:noMultiLvlLbl val="0"/>
      </c:catAx>
      <c:valAx>
        <c:axId val="62298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00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Sortants de la FPH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6'!$AH$5</c:f>
              <c:strCache>
                <c:ptCount val="1"/>
                <c:pt idx="0">
                  <c:v>Fonctionnaires</c:v>
                </c:pt>
              </c:strCache>
            </c:strRef>
          </c:tx>
          <c:spPr>
            <a:ln w="28575" cap="rnd">
              <a:solidFill>
                <a:srgbClr val="37635F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6'!$AH$6:$AH$61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0.13</c:v>
                </c:pt>
                <c:pt idx="8">
                  <c:v>0.43</c:v>
                </c:pt>
                <c:pt idx="9">
                  <c:v>0.85</c:v>
                </c:pt>
                <c:pt idx="10">
                  <c:v>1.23</c:v>
                </c:pt>
                <c:pt idx="11">
                  <c:v>1.67</c:v>
                </c:pt>
                <c:pt idx="12">
                  <c:v>2.06</c:v>
                </c:pt>
                <c:pt idx="13">
                  <c:v>1.99</c:v>
                </c:pt>
                <c:pt idx="14">
                  <c:v>2.12</c:v>
                </c:pt>
                <c:pt idx="15">
                  <c:v>2.0299999999999998</c:v>
                </c:pt>
                <c:pt idx="16">
                  <c:v>2.04</c:v>
                </c:pt>
                <c:pt idx="17">
                  <c:v>2</c:v>
                </c:pt>
                <c:pt idx="18">
                  <c:v>2.02</c:v>
                </c:pt>
                <c:pt idx="19">
                  <c:v>2.06</c:v>
                </c:pt>
                <c:pt idx="20">
                  <c:v>2.0499999999999998</c:v>
                </c:pt>
                <c:pt idx="21">
                  <c:v>1.93</c:v>
                </c:pt>
                <c:pt idx="22">
                  <c:v>1.96</c:v>
                </c:pt>
                <c:pt idx="23">
                  <c:v>1.87</c:v>
                </c:pt>
                <c:pt idx="24">
                  <c:v>1.69</c:v>
                </c:pt>
                <c:pt idx="25">
                  <c:v>1.66</c:v>
                </c:pt>
                <c:pt idx="26">
                  <c:v>1.5</c:v>
                </c:pt>
                <c:pt idx="27">
                  <c:v>1.66</c:v>
                </c:pt>
                <c:pt idx="28">
                  <c:v>1.43</c:v>
                </c:pt>
                <c:pt idx="29">
                  <c:v>1.43</c:v>
                </c:pt>
                <c:pt idx="30">
                  <c:v>1.24</c:v>
                </c:pt>
                <c:pt idx="31">
                  <c:v>1.3</c:v>
                </c:pt>
                <c:pt idx="32">
                  <c:v>1.26</c:v>
                </c:pt>
                <c:pt idx="33">
                  <c:v>1.1399999999999999</c:v>
                </c:pt>
                <c:pt idx="34">
                  <c:v>1.17</c:v>
                </c:pt>
                <c:pt idx="35">
                  <c:v>1.22</c:v>
                </c:pt>
                <c:pt idx="36">
                  <c:v>1.32</c:v>
                </c:pt>
                <c:pt idx="37">
                  <c:v>1.29</c:v>
                </c:pt>
                <c:pt idx="38">
                  <c:v>1.21</c:v>
                </c:pt>
                <c:pt idx="39">
                  <c:v>1.22</c:v>
                </c:pt>
                <c:pt idx="40">
                  <c:v>1.1499999999999999</c:v>
                </c:pt>
                <c:pt idx="41">
                  <c:v>1.0900000000000001</c:v>
                </c:pt>
                <c:pt idx="42">
                  <c:v>2.09</c:v>
                </c:pt>
                <c:pt idx="43">
                  <c:v>4.22</c:v>
                </c:pt>
                <c:pt idx="44">
                  <c:v>3.22</c:v>
                </c:pt>
                <c:pt idx="45">
                  <c:v>4.42</c:v>
                </c:pt>
                <c:pt idx="46">
                  <c:v>6.19</c:v>
                </c:pt>
                <c:pt idx="47">
                  <c:v>9.44</c:v>
                </c:pt>
                <c:pt idx="48">
                  <c:v>9.1300000000000008</c:v>
                </c:pt>
                <c:pt idx="49">
                  <c:v>3.63</c:v>
                </c:pt>
                <c:pt idx="50">
                  <c:v>2.19</c:v>
                </c:pt>
                <c:pt idx="51">
                  <c:v>1.24</c:v>
                </c:pt>
                <c:pt idx="52">
                  <c:v>1.33</c:v>
                </c:pt>
                <c:pt idx="53">
                  <c:v>0.32</c:v>
                </c:pt>
                <c:pt idx="54">
                  <c:v>0.08</c:v>
                </c:pt>
                <c:pt idx="5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50-455F-B0CB-F1A8F4327ECB}"/>
            </c:ext>
          </c:extLst>
        </c:ser>
        <c:ser>
          <c:idx val="1"/>
          <c:order val="1"/>
          <c:tx>
            <c:strRef>
              <c:f>'Figure 6'!$AI$5</c:f>
              <c:strCache>
                <c:ptCount val="1"/>
                <c:pt idx="0">
                  <c:v>Contractuels</c:v>
                </c:pt>
              </c:strCache>
            </c:strRef>
          </c:tx>
          <c:spPr>
            <a:ln w="28575" cap="rnd">
              <a:solidFill>
                <a:srgbClr val="FF9575"/>
              </a:solidFill>
              <a:round/>
            </a:ln>
            <a:effectLst/>
          </c:spPr>
          <c:marker>
            <c:symbol val="none"/>
          </c:marker>
          <c:cat>
            <c:numRef>
              <c:f>'Figure 6'!$M$6:$M$61</c:f>
              <c:numCache>
                <c:formatCode>General</c:formatCode>
                <c:ptCount val="5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</c:numCache>
            </c:numRef>
          </c:cat>
          <c:val>
            <c:numRef>
              <c:f>'Figure 6'!$AI$6:$AI$61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0.08</c:v>
                </c:pt>
                <c:pt idx="4">
                  <c:v>1.19</c:v>
                </c:pt>
                <c:pt idx="5">
                  <c:v>2.44</c:v>
                </c:pt>
                <c:pt idx="6">
                  <c:v>3.33</c:v>
                </c:pt>
                <c:pt idx="7">
                  <c:v>4.21</c:v>
                </c:pt>
                <c:pt idx="8">
                  <c:v>4.59</c:v>
                </c:pt>
                <c:pt idx="9">
                  <c:v>4.62</c:v>
                </c:pt>
                <c:pt idx="10">
                  <c:v>4.5599999999999996</c:v>
                </c:pt>
                <c:pt idx="11">
                  <c:v>4.03</c:v>
                </c:pt>
                <c:pt idx="12">
                  <c:v>3.83</c:v>
                </c:pt>
                <c:pt idx="13">
                  <c:v>3.38</c:v>
                </c:pt>
                <c:pt idx="14">
                  <c:v>3.2</c:v>
                </c:pt>
                <c:pt idx="15">
                  <c:v>2.78</c:v>
                </c:pt>
                <c:pt idx="16">
                  <c:v>2.69</c:v>
                </c:pt>
                <c:pt idx="17">
                  <c:v>2.71</c:v>
                </c:pt>
                <c:pt idx="18">
                  <c:v>2.41</c:v>
                </c:pt>
                <c:pt idx="19">
                  <c:v>2.46</c:v>
                </c:pt>
                <c:pt idx="20">
                  <c:v>2.2200000000000002</c:v>
                </c:pt>
                <c:pt idx="21">
                  <c:v>2.23</c:v>
                </c:pt>
                <c:pt idx="22">
                  <c:v>2.12</c:v>
                </c:pt>
                <c:pt idx="23">
                  <c:v>2.0299999999999998</c:v>
                </c:pt>
                <c:pt idx="24">
                  <c:v>1.94</c:v>
                </c:pt>
                <c:pt idx="25">
                  <c:v>1.83</c:v>
                </c:pt>
                <c:pt idx="26">
                  <c:v>1.71</c:v>
                </c:pt>
                <c:pt idx="27">
                  <c:v>1.84</c:v>
                </c:pt>
                <c:pt idx="28">
                  <c:v>1.71</c:v>
                </c:pt>
                <c:pt idx="29">
                  <c:v>1.72</c:v>
                </c:pt>
                <c:pt idx="30">
                  <c:v>1.57</c:v>
                </c:pt>
                <c:pt idx="31">
                  <c:v>1.49</c:v>
                </c:pt>
                <c:pt idx="32">
                  <c:v>1.49</c:v>
                </c:pt>
                <c:pt idx="33">
                  <c:v>1.42</c:v>
                </c:pt>
                <c:pt idx="34">
                  <c:v>1.4</c:v>
                </c:pt>
                <c:pt idx="35">
                  <c:v>1.44</c:v>
                </c:pt>
                <c:pt idx="36">
                  <c:v>1.44</c:v>
                </c:pt>
                <c:pt idx="37">
                  <c:v>1.39</c:v>
                </c:pt>
                <c:pt idx="38">
                  <c:v>1.45</c:v>
                </c:pt>
                <c:pt idx="39">
                  <c:v>1.3</c:v>
                </c:pt>
                <c:pt idx="40">
                  <c:v>1.1100000000000001</c:v>
                </c:pt>
                <c:pt idx="41">
                  <c:v>1.1000000000000001</c:v>
                </c:pt>
                <c:pt idx="42">
                  <c:v>1.01</c:v>
                </c:pt>
                <c:pt idx="43">
                  <c:v>0.95</c:v>
                </c:pt>
                <c:pt idx="44">
                  <c:v>1.04</c:v>
                </c:pt>
                <c:pt idx="45">
                  <c:v>1.1000000000000001</c:v>
                </c:pt>
                <c:pt idx="46">
                  <c:v>1.1499999999999999</c:v>
                </c:pt>
                <c:pt idx="47">
                  <c:v>1.39</c:v>
                </c:pt>
                <c:pt idx="48">
                  <c:v>1.39</c:v>
                </c:pt>
                <c:pt idx="49">
                  <c:v>0.91</c:v>
                </c:pt>
                <c:pt idx="50">
                  <c:v>0.68</c:v>
                </c:pt>
                <c:pt idx="51">
                  <c:v>0.57999999999999996</c:v>
                </c:pt>
                <c:pt idx="52">
                  <c:v>0.56999999999999995</c:v>
                </c:pt>
                <c:pt idx="53">
                  <c:v>0.39</c:v>
                </c:pt>
                <c:pt idx="54">
                  <c:v>0.22</c:v>
                </c:pt>
                <c:pt idx="5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50-455F-B0CB-F1A8F4327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002623"/>
        <c:axId val="622982239"/>
      </c:lineChart>
      <c:catAx>
        <c:axId val="6230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82239"/>
        <c:crosses val="autoZero"/>
        <c:auto val="1"/>
        <c:lblAlgn val="ctr"/>
        <c:lblOffset val="100"/>
        <c:noMultiLvlLbl val="0"/>
      </c:catAx>
      <c:valAx>
        <c:axId val="622982239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00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1</xdr:row>
      <xdr:rowOff>57150</xdr:rowOff>
    </xdr:from>
    <xdr:to>
      <xdr:col>5</xdr:col>
      <xdr:colOff>609600</xdr:colOff>
      <xdr:row>13</xdr:row>
      <xdr:rowOff>133350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9DFA22D-6166-4E03-A9AF-62446711D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</xdr:colOff>
      <xdr:row>1</xdr:row>
      <xdr:rowOff>52388</xdr:rowOff>
    </xdr:from>
    <xdr:to>
      <xdr:col>11</xdr:col>
      <xdr:colOff>542925</xdr:colOff>
      <xdr:row>13</xdr:row>
      <xdr:rowOff>128588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E489AD8-2D48-4B2D-893B-B54CD0C3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13</xdr:row>
      <xdr:rowOff>176213</xdr:rowOff>
    </xdr:from>
    <xdr:to>
      <xdr:col>5</xdr:col>
      <xdr:colOff>609600</xdr:colOff>
      <xdr:row>27</xdr:row>
      <xdr:rowOff>119063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EFFCB90C-4F0E-40F6-B433-3D44AE43F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</xdr:colOff>
      <xdr:row>14</xdr:row>
      <xdr:rowOff>23813</xdr:rowOff>
    </xdr:from>
    <xdr:to>
      <xdr:col>11</xdr:col>
      <xdr:colOff>571500</xdr:colOff>
      <xdr:row>27</xdr:row>
      <xdr:rowOff>166688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8F2CD0BE-5025-45E3-9B6A-3BD10C7D0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28</xdr:row>
      <xdr:rowOff>4763</xdr:rowOff>
    </xdr:from>
    <xdr:to>
      <xdr:col>5</xdr:col>
      <xdr:colOff>628650</xdr:colOff>
      <xdr:row>41</xdr:row>
      <xdr:rowOff>147638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CCCBEEE7-909E-4DA8-B159-7D4C6EFDF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76200</xdr:colOff>
      <xdr:row>28</xdr:row>
      <xdr:rowOff>42863</xdr:rowOff>
    </xdr:from>
    <xdr:to>
      <xdr:col>11</xdr:col>
      <xdr:colOff>600075</xdr:colOff>
      <xdr:row>41</xdr:row>
      <xdr:rowOff>185738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D99CA573-236A-4D9C-94DA-AC1BB99C6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0.14236</cdr:x>
      <cdr:y>0.11006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52E99180-6511-4456-A31C-CFCF2A5B02E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00065" cy="2511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/>
            <a:t>en 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0.14236</cdr:x>
      <cdr:y>0.11006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52E99180-6511-4456-A31C-CFCF2A5B02E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00065" cy="2511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/>
            <a:t>en 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0.14236</cdr:x>
      <cdr:y>0.11006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52E99180-6511-4456-A31C-CFCF2A5B02E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00065" cy="2511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/>
            <a:t>en %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0.14236</cdr:x>
      <cdr:y>0.11006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52E99180-6511-4456-A31C-CFCF2A5B02E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00065" cy="2511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/>
            <a:t>en %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0.14236</cdr:x>
      <cdr:y>0.11006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52E99180-6511-4456-A31C-CFCF2A5B02E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00065" cy="2511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/>
            <a:t>en %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0.14236</cdr:x>
      <cdr:y>0.11006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52E99180-6511-4456-A31C-CFCF2A5B02E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00065" cy="2511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/>
            <a:t>en %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onction-publique.gouv.fr/files/files/publications/stats-rapides/les-recrutements-dapprentis-dans-la-fonction-publique-diminuent-fortement-en-2025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/>
  </sheetViews>
  <sheetFormatPr baseColWidth="10" defaultRowHeight="12.75" x14ac:dyDescent="0.2"/>
  <cols>
    <col min="1" max="1" width="116.140625" style="32" customWidth="1"/>
    <col min="2" max="2" width="15" style="32" customWidth="1"/>
    <col min="3" max="3" width="27" style="32" customWidth="1"/>
    <col min="4" max="16384" width="11.42578125" style="32"/>
  </cols>
  <sheetData>
    <row r="1" spans="1:4" s="6" customFormat="1" x14ac:dyDescent="0.2">
      <c r="A1" s="34" t="s">
        <v>20</v>
      </c>
    </row>
    <row r="2" spans="1:4" ht="38.25" x14ac:dyDescent="0.2">
      <c r="A2" s="66"/>
      <c r="B2" s="62" t="s">
        <v>32</v>
      </c>
      <c r="C2" s="60" t="s">
        <v>26</v>
      </c>
    </row>
    <row r="3" spans="1:4" ht="19.5" customHeight="1" x14ac:dyDescent="0.2">
      <c r="A3" s="67" t="s">
        <v>33</v>
      </c>
      <c r="B3" s="33" t="s">
        <v>12</v>
      </c>
      <c r="C3" s="61" t="s">
        <v>27</v>
      </c>
    </row>
    <row r="4" spans="1:4" ht="19.5" customHeight="1" x14ac:dyDescent="0.2">
      <c r="A4" s="67" t="s">
        <v>35</v>
      </c>
      <c r="B4" s="33" t="s">
        <v>13</v>
      </c>
      <c r="C4" s="61" t="s">
        <v>27</v>
      </c>
    </row>
    <row r="5" spans="1:4" ht="19.5" customHeight="1" x14ac:dyDescent="0.2">
      <c r="A5" s="67" t="s">
        <v>34</v>
      </c>
      <c r="B5" s="33" t="s">
        <v>14</v>
      </c>
      <c r="C5" s="61" t="s">
        <v>27</v>
      </c>
    </row>
    <row r="6" spans="1:4" ht="19.5" customHeight="1" x14ac:dyDescent="0.2">
      <c r="A6" s="67" t="s">
        <v>61</v>
      </c>
      <c r="B6" s="33" t="s">
        <v>42</v>
      </c>
      <c r="C6" s="61" t="s">
        <v>27</v>
      </c>
    </row>
    <row r="7" spans="1:4" ht="19.5" customHeight="1" x14ac:dyDescent="0.2">
      <c r="A7" s="67" t="s">
        <v>60</v>
      </c>
      <c r="B7" s="88" t="s">
        <v>59</v>
      </c>
      <c r="C7" s="61" t="s">
        <v>27</v>
      </c>
    </row>
    <row r="8" spans="1:4" ht="19.5" customHeight="1" x14ac:dyDescent="0.2">
      <c r="A8" s="67" t="s">
        <v>80</v>
      </c>
      <c r="B8" s="88" t="s">
        <v>79</v>
      </c>
      <c r="C8" s="89" t="s">
        <v>27</v>
      </c>
      <c r="D8" s="90"/>
    </row>
    <row r="9" spans="1:4" ht="19.5" customHeight="1" x14ac:dyDescent="0.2">
      <c r="A9" s="67" t="s">
        <v>102</v>
      </c>
      <c r="B9" s="88" t="s">
        <v>110</v>
      </c>
      <c r="C9" s="61" t="s">
        <v>27</v>
      </c>
      <c r="D9" s="138"/>
    </row>
    <row r="10" spans="1:4" ht="19.5" customHeight="1" x14ac:dyDescent="0.2">
      <c r="A10" s="67" t="s">
        <v>109</v>
      </c>
      <c r="B10" s="88" t="s">
        <v>111</v>
      </c>
      <c r="C10" s="139" t="s">
        <v>27</v>
      </c>
      <c r="D10" s="138"/>
    </row>
    <row r="12" spans="1:4" x14ac:dyDescent="0.2">
      <c r="A12" s="34" t="s">
        <v>21</v>
      </c>
      <c r="B12" s="6"/>
    </row>
    <row r="13" spans="1:4" x14ac:dyDescent="0.2">
      <c r="A13" s="32" t="s">
        <v>31</v>
      </c>
    </row>
    <row r="14" spans="1:4" ht="15" x14ac:dyDescent="0.2">
      <c r="A14" s="114" t="s">
        <v>30</v>
      </c>
      <c r="B14" s="113"/>
    </row>
  </sheetData>
  <hyperlinks>
    <hyperlink ref="A3" location="'Figure 1'!A1" display="Taux d'entrée, sortie et rotation par versant, statut, sexe depuis 2016" xr:uid="{00000000-0004-0000-0000-000000000000}"/>
    <hyperlink ref="A4" location="'Figure 2'!A1" display="Nombre d'entrants et sortants par versant, statut, sexe depuis 2016" xr:uid="{00000000-0004-0000-0000-000001000000}"/>
    <hyperlink ref="A5" location="'Figure 3'!A1" display="Nombre d'entrants-sortants par versant, statut, sexe depuis 2016" xr:uid="{00000000-0004-0000-0000-000002000000}"/>
    <hyperlink ref="A14" r:id="rId1" tooltip="Cliquer ici" xr:uid="{00000000-0004-0000-0000-000003000000}"/>
    <hyperlink ref="A6" location="'Figure 4'!A1" display="Taux de sortie à 5 ans des contractuels" xr:uid="{72384748-D2BB-4720-9E33-75FF45C68074}"/>
    <hyperlink ref="A8" location="'Figure 6'!A1" display="Profil par âge, de 15 à 70 ans, des entrants et des sortants de la fonction publique civile en 2024" xr:uid="{4C2CECBB-EBBD-4E1E-B24F-D5297206E6BC}"/>
    <hyperlink ref="A7" location="'Figure 5'!A1" display="Taux de sortie à 5 ans des apprentis" xr:uid="{5A05F440-2E3E-4E28-8FA7-255AF5BD25DC}"/>
    <hyperlink ref="A10" location="'Figure 8'!A1" display="Le poids des entrées et des sorties depuis et vers le salariat privé" xr:uid="{54DD64F7-73AD-4E4A-B23B-7EC2512278FC}"/>
    <hyperlink ref="A9" location="'Figure 7'!A1" display="Entrées et sorties depuis et vers le salariat privé " xr:uid="{B09F1A6C-ABEF-4C61-ADA1-EB9E511B7FA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showGridLines="0" workbookViewId="0"/>
  </sheetViews>
  <sheetFormatPr baseColWidth="10" defaultRowHeight="15" x14ac:dyDescent="0.25"/>
  <cols>
    <col min="1" max="1" width="109.28515625" customWidth="1"/>
  </cols>
  <sheetData>
    <row r="1" spans="1:1" ht="18" x14ac:dyDescent="0.25">
      <c r="A1" s="69" t="s">
        <v>37</v>
      </c>
    </row>
    <row r="2" spans="1:1" ht="120" x14ac:dyDescent="0.25">
      <c r="A2" s="70" t="s">
        <v>41</v>
      </c>
    </row>
    <row r="3" spans="1:1" ht="60" x14ac:dyDescent="0.25">
      <c r="A3" s="70" t="s">
        <v>40</v>
      </c>
    </row>
    <row r="4" spans="1:1" x14ac:dyDescent="0.25">
      <c r="A4" t="s">
        <v>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1"/>
  <sheetViews>
    <sheetView showGridLines="0" zoomScaleNormal="100" workbookViewId="0"/>
  </sheetViews>
  <sheetFormatPr baseColWidth="10" defaultRowHeight="12.75" x14ac:dyDescent="0.2"/>
  <cols>
    <col min="1" max="1" width="30.7109375" style="2" customWidth="1"/>
    <col min="2" max="2" width="12.42578125" style="2" customWidth="1"/>
    <col min="3" max="7" width="7.7109375" style="2" customWidth="1"/>
    <col min="8" max="8" width="9.42578125" style="2" customWidth="1"/>
    <col min="9" max="10" width="7.7109375" style="2" customWidth="1"/>
    <col min="11" max="11" width="9.42578125" style="2" customWidth="1"/>
    <col min="12" max="16" width="7.7109375" style="2" customWidth="1"/>
    <col min="17" max="17" width="7.7109375" style="1" customWidth="1"/>
    <col min="18" max="19" width="7.7109375" style="2" customWidth="1"/>
    <col min="20" max="20" width="7.7109375" style="1" customWidth="1"/>
    <col min="21" max="21" width="8" style="2" customWidth="1"/>
    <col min="22" max="22" width="9.140625" style="2" customWidth="1"/>
    <col min="23" max="23" width="8.85546875" style="2" customWidth="1"/>
    <col min="24" max="25" width="9.5703125" style="2" customWidth="1"/>
    <col min="26" max="27" width="8.7109375" style="2" customWidth="1"/>
    <col min="28" max="28" width="7.5703125" style="2" bestFit="1" customWidth="1"/>
    <col min="29" max="29" width="9.5703125" style="2" customWidth="1"/>
    <col min="30" max="16384" width="11.42578125" style="2"/>
  </cols>
  <sheetData>
    <row r="1" spans="1:29" s="28" customFormat="1" x14ac:dyDescent="0.25">
      <c r="A1" s="35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"/>
      <c r="R1" s="35"/>
      <c r="S1" s="35"/>
      <c r="T1" s="3"/>
    </row>
    <row r="2" spans="1:29" s="28" customFormat="1" x14ac:dyDescent="0.25">
      <c r="A2" s="36" t="s">
        <v>25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"/>
      <c r="R2" s="35"/>
      <c r="S2" s="35"/>
      <c r="T2" s="3"/>
    </row>
    <row r="3" spans="1:29" s="28" customFormat="1" ht="15" customHeight="1" x14ac:dyDescent="0.25">
      <c r="A3" s="55"/>
      <c r="B3" s="22"/>
      <c r="C3" s="202">
        <v>2016</v>
      </c>
      <c r="D3" s="203"/>
      <c r="E3" s="204"/>
      <c r="F3" s="202">
        <v>2017</v>
      </c>
      <c r="G3" s="203"/>
      <c r="H3" s="204"/>
      <c r="I3" s="202">
        <v>2018</v>
      </c>
      <c r="J3" s="203"/>
      <c r="K3" s="204"/>
      <c r="L3" s="202">
        <v>2019</v>
      </c>
      <c r="M3" s="203"/>
      <c r="N3" s="204"/>
      <c r="O3" s="202">
        <v>2020</v>
      </c>
      <c r="P3" s="203"/>
      <c r="Q3" s="204"/>
      <c r="R3" s="202">
        <v>2021</v>
      </c>
      <c r="S3" s="203"/>
      <c r="T3" s="204"/>
      <c r="U3" s="202">
        <v>2022</v>
      </c>
      <c r="V3" s="203"/>
      <c r="W3" s="204"/>
      <c r="X3" s="202">
        <v>2023</v>
      </c>
      <c r="Y3" s="203"/>
      <c r="Z3" s="204"/>
      <c r="AA3" s="202">
        <v>2024</v>
      </c>
      <c r="AB3" s="203"/>
      <c r="AC3" s="204"/>
    </row>
    <row r="4" spans="1:29" s="28" customFormat="1" ht="36" customHeight="1" x14ac:dyDescent="0.25">
      <c r="A4" s="55"/>
      <c r="B4" s="22"/>
      <c r="C4" s="39" t="s">
        <v>18</v>
      </c>
      <c r="D4" s="40" t="s">
        <v>19</v>
      </c>
      <c r="E4" s="41" t="s">
        <v>16</v>
      </c>
      <c r="F4" s="39" t="s">
        <v>18</v>
      </c>
      <c r="G4" s="40" t="s">
        <v>19</v>
      </c>
      <c r="H4" s="41" t="s">
        <v>16</v>
      </c>
      <c r="I4" s="39" t="s">
        <v>18</v>
      </c>
      <c r="J4" s="40" t="s">
        <v>19</v>
      </c>
      <c r="K4" s="41" t="s">
        <v>16</v>
      </c>
      <c r="L4" s="39" t="s">
        <v>18</v>
      </c>
      <c r="M4" s="40" t="s">
        <v>19</v>
      </c>
      <c r="N4" s="41" t="s">
        <v>16</v>
      </c>
      <c r="O4" s="39" t="s">
        <v>18</v>
      </c>
      <c r="P4" s="40" t="s">
        <v>19</v>
      </c>
      <c r="Q4" s="41" t="s">
        <v>16</v>
      </c>
      <c r="R4" s="39" t="s">
        <v>18</v>
      </c>
      <c r="S4" s="40" t="s">
        <v>19</v>
      </c>
      <c r="T4" s="41" t="s">
        <v>16</v>
      </c>
      <c r="U4" s="39" t="s">
        <v>18</v>
      </c>
      <c r="V4" s="40" t="s">
        <v>19</v>
      </c>
      <c r="W4" s="41" t="s">
        <v>16</v>
      </c>
      <c r="X4" s="39" t="s">
        <v>18</v>
      </c>
      <c r="Y4" s="40" t="s">
        <v>19</v>
      </c>
      <c r="Z4" s="41" t="s">
        <v>16</v>
      </c>
      <c r="AA4" s="39" t="s">
        <v>18</v>
      </c>
      <c r="AB4" s="40" t="s">
        <v>19</v>
      </c>
      <c r="AC4" s="41" t="s">
        <v>16</v>
      </c>
    </row>
    <row r="5" spans="1:29" s="28" customFormat="1" x14ac:dyDescent="0.25">
      <c r="A5" s="208" t="s">
        <v>17</v>
      </c>
      <c r="B5" s="22" t="s">
        <v>8</v>
      </c>
      <c r="C5" s="42">
        <v>8</v>
      </c>
      <c r="D5" s="43">
        <v>7.4</v>
      </c>
      <c r="E5" s="44">
        <v>7.7</v>
      </c>
      <c r="F5" s="42">
        <v>8.8000000000000007</v>
      </c>
      <c r="G5" s="43">
        <v>7.7</v>
      </c>
      <c r="H5" s="44">
        <v>8.1999999999999993</v>
      </c>
      <c r="I5" s="42">
        <v>9</v>
      </c>
      <c r="J5" s="43">
        <v>8.1</v>
      </c>
      <c r="K5" s="44">
        <v>8.6</v>
      </c>
      <c r="L5" s="42">
        <v>9.1999999999999993</v>
      </c>
      <c r="M5" s="43">
        <v>8</v>
      </c>
      <c r="N5" s="44">
        <v>8.6</v>
      </c>
      <c r="O5" s="42">
        <v>9.1999999999999993</v>
      </c>
      <c r="P5" s="43">
        <v>7.9</v>
      </c>
      <c r="Q5" s="44">
        <v>8.5</v>
      </c>
      <c r="R5" s="42">
        <v>9.2770571960238808</v>
      </c>
      <c r="S5" s="43">
        <v>8.9639597105303697</v>
      </c>
      <c r="T5" s="44">
        <v>9.1205084532771199</v>
      </c>
      <c r="U5" s="42">
        <v>10.175698240297898</v>
      </c>
      <c r="V5" s="43">
        <v>9.2751378122625567</v>
      </c>
      <c r="W5" s="44">
        <v>9.7254180262802272</v>
      </c>
      <c r="X5" s="42">
        <v>9.9569087204946332</v>
      </c>
      <c r="Y5" s="43">
        <v>8.534978184394781</v>
      </c>
      <c r="Z5" s="44">
        <v>9.2459434524447062</v>
      </c>
      <c r="AA5" s="42">
        <v>9.3955747288678637</v>
      </c>
      <c r="AB5" s="43">
        <v>8.7388552838219695</v>
      </c>
      <c r="AC5" s="44">
        <v>9.0672150063449166</v>
      </c>
    </row>
    <row r="6" spans="1:29" s="28" customFormat="1" x14ac:dyDescent="0.25">
      <c r="A6" s="209"/>
      <c r="B6" s="24" t="s">
        <v>9</v>
      </c>
      <c r="C6" s="42">
        <v>7.4</v>
      </c>
      <c r="D6" s="43">
        <v>7.5</v>
      </c>
      <c r="E6" s="44">
        <v>7.4</v>
      </c>
      <c r="F6" s="42">
        <v>7.9</v>
      </c>
      <c r="G6" s="43">
        <v>7.8</v>
      </c>
      <c r="H6" s="44">
        <v>7.9</v>
      </c>
      <c r="I6" s="42">
        <v>8.1999999999999993</v>
      </c>
      <c r="J6" s="43">
        <v>8.1</v>
      </c>
      <c r="K6" s="44">
        <v>8.1999999999999993</v>
      </c>
      <c r="L6" s="42">
        <v>8.1</v>
      </c>
      <c r="M6" s="43">
        <v>8</v>
      </c>
      <c r="N6" s="44">
        <v>8</v>
      </c>
      <c r="O6" s="42">
        <v>8</v>
      </c>
      <c r="P6" s="43">
        <v>7.8</v>
      </c>
      <c r="Q6" s="44">
        <v>7.9</v>
      </c>
      <c r="R6" s="42">
        <v>8.8995847772555496</v>
      </c>
      <c r="S6" s="43">
        <v>8.6207164397954301</v>
      </c>
      <c r="T6" s="44">
        <v>8.7601506085254908</v>
      </c>
      <c r="U6" s="42">
        <v>9.5986965935177828</v>
      </c>
      <c r="V6" s="43">
        <v>9.2301984567467237</v>
      </c>
      <c r="W6" s="44">
        <v>9.4144475251322532</v>
      </c>
      <c r="X6" s="42">
        <v>9.4333136114442997</v>
      </c>
      <c r="Y6" s="43">
        <v>8.6574243212922042</v>
      </c>
      <c r="Z6" s="44">
        <v>9.0453689663682511</v>
      </c>
      <c r="AA6" s="42">
        <v>9.32594367884961</v>
      </c>
      <c r="AB6" s="43">
        <v>8.7067213044594709</v>
      </c>
      <c r="AC6" s="44">
        <v>9.0163324916545413</v>
      </c>
    </row>
    <row r="7" spans="1:29" s="68" customFormat="1" x14ac:dyDescent="0.25">
      <c r="A7" s="210"/>
      <c r="B7" s="29" t="s">
        <v>1</v>
      </c>
      <c r="C7" s="45">
        <v>7.8</v>
      </c>
      <c r="D7" s="46">
        <v>7.4</v>
      </c>
      <c r="E7" s="47">
        <v>7.6</v>
      </c>
      <c r="F7" s="45">
        <v>8.5</v>
      </c>
      <c r="G7" s="46">
        <v>7.7</v>
      </c>
      <c r="H7" s="47">
        <v>8.1</v>
      </c>
      <c r="I7" s="45">
        <v>8.6999999999999993</v>
      </c>
      <c r="J7" s="46">
        <v>8.1</v>
      </c>
      <c r="K7" s="47">
        <v>8.4</v>
      </c>
      <c r="L7" s="45">
        <v>8.8000000000000007</v>
      </c>
      <c r="M7" s="46">
        <v>8</v>
      </c>
      <c r="N7" s="47">
        <v>8.4</v>
      </c>
      <c r="O7" s="45">
        <v>8.8000000000000007</v>
      </c>
      <c r="P7" s="46">
        <v>7.9</v>
      </c>
      <c r="Q7" s="47">
        <v>8.3000000000000007</v>
      </c>
      <c r="R7" s="45">
        <v>9.1477596822151597</v>
      </c>
      <c r="S7" s="46">
        <v>8.8463868778386097</v>
      </c>
      <c r="T7" s="47">
        <v>8.9970732800268909</v>
      </c>
      <c r="U7" s="45">
        <v>9.9781075553896361</v>
      </c>
      <c r="V7" s="46">
        <v>9.2597486075746342</v>
      </c>
      <c r="W7" s="47">
        <v>9.6189280814821352</v>
      </c>
      <c r="X7" s="45">
        <v>9.7788833194489211</v>
      </c>
      <c r="Y7" s="46">
        <v>8.5766105912827566</v>
      </c>
      <c r="Z7" s="47">
        <v>9.1777469553658388</v>
      </c>
      <c r="AA7" s="45">
        <v>9.3719859293531744</v>
      </c>
      <c r="AB7" s="46">
        <v>8.7279693069970836</v>
      </c>
      <c r="AC7" s="47">
        <v>9.049977618175129</v>
      </c>
    </row>
    <row r="8" spans="1:29" s="28" customFormat="1" x14ac:dyDescent="0.25">
      <c r="A8" s="205" t="s">
        <v>7</v>
      </c>
      <c r="B8" s="24" t="s">
        <v>8</v>
      </c>
      <c r="C8" s="48">
        <v>8.1</v>
      </c>
      <c r="D8" s="49">
        <v>6.5</v>
      </c>
      <c r="E8" s="50">
        <v>7.3</v>
      </c>
      <c r="F8" s="48">
        <v>8.3000000000000007</v>
      </c>
      <c r="G8" s="49">
        <v>7</v>
      </c>
      <c r="H8" s="50">
        <v>7.7</v>
      </c>
      <c r="I8" s="48">
        <v>8.6</v>
      </c>
      <c r="J8" s="49">
        <v>7.2</v>
      </c>
      <c r="K8" s="50">
        <v>7.9</v>
      </c>
      <c r="L8" s="48">
        <v>9.1</v>
      </c>
      <c r="M8" s="49">
        <v>7.3</v>
      </c>
      <c r="N8" s="50">
        <v>8.1999999999999993</v>
      </c>
      <c r="O8" s="48">
        <v>8.6999999999999993</v>
      </c>
      <c r="P8" s="49">
        <v>6.8</v>
      </c>
      <c r="Q8" s="50">
        <v>7.7</v>
      </c>
      <c r="R8" s="48">
        <v>8.2845136464705806</v>
      </c>
      <c r="S8" s="49">
        <v>8.1812578485927308</v>
      </c>
      <c r="T8" s="50">
        <v>8.2328857475316504</v>
      </c>
      <c r="U8" s="48">
        <v>9.4606369086208471</v>
      </c>
      <c r="V8" s="49">
        <v>7.9836230441038465</v>
      </c>
      <c r="W8" s="50">
        <v>8.7221299763623463</v>
      </c>
      <c r="X8" s="48">
        <v>8.8807428855481074</v>
      </c>
      <c r="Y8" s="49">
        <v>7.641593951768046</v>
      </c>
      <c r="Z8" s="50">
        <v>8.2611684186580767</v>
      </c>
      <c r="AA8" s="48">
        <v>8.0867029667984571</v>
      </c>
      <c r="AB8" s="49">
        <v>7.2906783598721239</v>
      </c>
      <c r="AC8" s="50">
        <v>7.6886906633352901</v>
      </c>
    </row>
    <row r="9" spans="1:29" s="28" customFormat="1" x14ac:dyDescent="0.25">
      <c r="A9" s="206"/>
      <c r="B9" s="24" t="s">
        <v>9</v>
      </c>
      <c r="C9" s="42">
        <v>7.5</v>
      </c>
      <c r="D9" s="43">
        <v>7.4</v>
      </c>
      <c r="E9" s="51">
        <v>7.4</v>
      </c>
      <c r="F9" s="42">
        <v>7.6</v>
      </c>
      <c r="G9" s="43">
        <v>7.9</v>
      </c>
      <c r="H9" s="51">
        <v>7.8</v>
      </c>
      <c r="I9" s="42">
        <v>7.7</v>
      </c>
      <c r="J9" s="43">
        <v>7.8</v>
      </c>
      <c r="K9" s="51">
        <v>7.7</v>
      </c>
      <c r="L9" s="42">
        <v>7.4</v>
      </c>
      <c r="M9" s="43">
        <v>7.9</v>
      </c>
      <c r="N9" s="51">
        <v>7.6</v>
      </c>
      <c r="O9" s="42">
        <v>7.6</v>
      </c>
      <c r="P9" s="43">
        <v>7.3</v>
      </c>
      <c r="Q9" s="51">
        <v>7.4</v>
      </c>
      <c r="R9" s="42">
        <v>7.9079170033387696</v>
      </c>
      <c r="S9" s="43">
        <v>8.4161419663683592</v>
      </c>
      <c r="T9" s="51">
        <v>8.1620294848535693</v>
      </c>
      <c r="U9" s="42">
        <v>9.2027367065891621</v>
      </c>
      <c r="V9" s="43">
        <v>8.794937190340578</v>
      </c>
      <c r="W9" s="51">
        <v>8.99883694846487</v>
      </c>
      <c r="X9" s="42">
        <v>8.7104637376288068</v>
      </c>
      <c r="Y9" s="43">
        <v>8.2639479900403874</v>
      </c>
      <c r="Z9" s="51">
        <v>8.4872058638345962</v>
      </c>
      <c r="AA9" s="42">
        <v>8.4467434740495211</v>
      </c>
      <c r="AB9" s="43">
        <v>7.9300702364090352</v>
      </c>
      <c r="AC9" s="51">
        <v>8.1884068552292781</v>
      </c>
    </row>
    <row r="10" spans="1:29" s="68" customFormat="1" x14ac:dyDescent="0.25">
      <c r="A10" s="207"/>
      <c r="B10" s="29" t="s">
        <v>1</v>
      </c>
      <c r="C10" s="45">
        <v>7.9</v>
      </c>
      <c r="D10" s="46">
        <v>6.8</v>
      </c>
      <c r="E10" s="63">
        <v>7.3</v>
      </c>
      <c r="F10" s="45">
        <v>8</v>
      </c>
      <c r="G10" s="46">
        <v>7.4</v>
      </c>
      <c r="H10" s="63">
        <v>7.7</v>
      </c>
      <c r="I10" s="45">
        <v>8.3000000000000007</v>
      </c>
      <c r="J10" s="46">
        <v>7.4</v>
      </c>
      <c r="K10" s="63">
        <v>7.8</v>
      </c>
      <c r="L10" s="45">
        <v>8.4</v>
      </c>
      <c r="M10" s="46">
        <v>7.5</v>
      </c>
      <c r="N10" s="63">
        <v>8</v>
      </c>
      <c r="O10" s="45">
        <v>8.3000000000000007</v>
      </c>
      <c r="P10" s="46">
        <v>7</v>
      </c>
      <c r="Q10" s="63">
        <v>7.6</v>
      </c>
      <c r="R10" s="45">
        <v>8.1447134090174895</v>
      </c>
      <c r="S10" s="46">
        <v>8.2684515504959606</v>
      </c>
      <c r="T10" s="63">
        <v>8.2065824797567295</v>
      </c>
      <c r="U10" s="45">
        <v>9.3653164631110322</v>
      </c>
      <c r="V10" s="46">
        <v>8.2834864224900251</v>
      </c>
      <c r="W10" s="63">
        <v>8.8244014428005286</v>
      </c>
      <c r="X10" s="45">
        <v>8.81843519520827</v>
      </c>
      <c r="Y10" s="46">
        <v>7.8693226148031554</v>
      </c>
      <c r="Z10" s="63">
        <v>8.3438789050057132</v>
      </c>
      <c r="AA10" s="45">
        <v>8.2176557022979146</v>
      </c>
      <c r="AB10" s="46">
        <v>7.5232358460503486</v>
      </c>
      <c r="AC10" s="63">
        <v>7.8704457741741312</v>
      </c>
    </row>
    <row r="11" spans="1:29" s="28" customFormat="1" x14ac:dyDescent="0.25">
      <c r="A11" s="205" t="s">
        <v>6</v>
      </c>
      <c r="B11" s="22" t="s">
        <v>8</v>
      </c>
      <c r="C11" s="48">
        <v>8.1</v>
      </c>
      <c r="D11" s="49">
        <v>8.4</v>
      </c>
      <c r="E11" s="64">
        <v>8.1999999999999993</v>
      </c>
      <c r="F11" s="48">
        <v>9.5</v>
      </c>
      <c r="G11" s="49">
        <v>8.3000000000000007</v>
      </c>
      <c r="H11" s="64">
        <v>8.9</v>
      </c>
      <c r="I11" s="48">
        <v>9.5</v>
      </c>
      <c r="J11" s="49">
        <v>9</v>
      </c>
      <c r="K11" s="64">
        <v>9.3000000000000007</v>
      </c>
      <c r="L11" s="48">
        <v>9.5</v>
      </c>
      <c r="M11" s="49">
        <v>8.6</v>
      </c>
      <c r="N11" s="64">
        <v>9</v>
      </c>
      <c r="O11" s="48">
        <v>9.1</v>
      </c>
      <c r="P11" s="49">
        <v>9</v>
      </c>
      <c r="Q11" s="64">
        <v>9</v>
      </c>
      <c r="R11" s="48">
        <v>10.3403394178415</v>
      </c>
      <c r="S11" s="49">
        <v>9.9483959310930192</v>
      </c>
      <c r="T11" s="64">
        <v>10.144367674467199</v>
      </c>
      <c r="U11" s="48">
        <v>11.009296462086075</v>
      </c>
      <c r="V11" s="49">
        <v>10.384785217344406</v>
      </c>
      <c r="W11" s="64">
        <v>10.697040839715241</v>
      </c>
      <c r="X11" s="48">
        <v>11.305436790353166</v>
      </c>
      <c r="Y11" s="49">
        <v>10.155131455566384</v>
      </c>
      <c r="Z11" s="64">
        <v>10.730284122959775</v>
      </c>
      <c r="AA11" s="48">
        <v>11.017662715516371</v>
      </c>
      <c r="AB11" s="49">
        <v>10.504306492797754</v>
      </c>
      <c r="AC11" s="64">
        <v>10.760984604157063</v>
      </c>
    </row>
    <row r="12" spans="1:29" s="28" customFormat="1" x14ac:dyDescent="0.25">
      <c r="A12" s="206"/>
      <c r="B12" s="24" t="s">
        <v>9</v>
      </c>
      <c r="C12" s="42">
        <v>6.9</v>
      </c>
      <c r="D12" s="43">
        <v>7.4</v>
      </c>
      <c r="E12" s="44">
        <v>7.2</v>
      </c>
      <c r="F12" s="42">
        <v>8</v>
      </c>
      <c r="G12" s="43">
        <v>7.5</v>
      </c>
      <c r="H12" s="44">
        <v>7.8</v>
      </c>
      <c r="I12" s="42">
        <v>8.5</v>
      </c>
      <c r="J12" s="43">
        <v>8.1</v>
      </c>
      <c r="K12" s="44">
        <v>8.3000000000000007</v>
      </c>
      <c r="L12" s="42">
        <v>8.4</v>
      </c>
      <c r="M12" s="43">
        <v>7.7</v>
      </c>
      <c r="N12" s="44">
        <v>8.1</v>
      </c>
      <c r="O12" s="42">
        <v>7.6</v>
      </c>
      <c r="P12" s="43">
        <v>8.1999999999999993</v>
      </c>
      <c r="Q12" s="44">
        <v>7.9</v>
      </c>
      <c r="R12" s="42">
        <v>9.52160338268191</v>
      </c>
      <c r="S12" s="43">
        <v>8.5003634887712405</v>
      </c>
      <c r="T12" s="44">
        <v>9.0109834357265708</v>
      </c>
      <c r="U12" s="42">
        <v>9.6645824523114232</v>
      </c>
      <c r="V12" s="43">
        <v>9.2459608619495945</v>
      </c>
      <c r="W12" s="44">
        <v>9.4552716571305098</v>
      </c>
      <c r="X12" s="42">
        <v>9.8504846501806842</v>
      </c>
      <c r="Y12" s="43">
        <v>9.0098003472960855</v>
      </c>
      <c r="Z12" s="44">
        <v>9.4301424987383839</v>
      </c>
      <c r="AA12" s="42">
        <v>10.051673578007724</v>
      </c>
      <c r="AB12" s="43">
        <v>9.2252838817191805</v>
      </c>
      <c r="AC12" s="44">
        <v>9.6384787298634524</v>
      </c>
    </row>
    <row r="13" spans="1:29" s="68" customFormat="1" x14ac:dyDescent="0.25">
      <c r="A13" s="207"/>
      <c r="B13" s="29" t="s">
        <v>1</v>
      </c>
      <c r="C13" s="45">
        <v>7.6</v>
      </c>
      <c r="D13" s="46">
        <v>8</v>
      </c>
      <c r="E13" s="47">
        <v>7.8</v>
      </c>
      <c r="F13" s="45">
        <v>8.9</v>
      </c>
      <c r="G13" s="46">
        <v>8</v>
      </c>
      <c r="H13" s="47">
        <v>8.5</v>
      </c>
      <c r="I13" s="45">
        <v>9.1</v>
      </c>
      <c r="J13" s="46">
        <v>8.6999999999999993</v>
      </c>
      <c r="K13" s="47">
        <v>8.9</v>
      </c>
      <c r="L13" s="45">
        <v>9.1</v>
      </c>
      <c r="M13" s="46">
        <v>8.3000000000000007</v>
      </c>
      <c r="N13" s="47">
        <v>8.6999999999999993</v>
      </c>
      <c r="O13" s="45">
        <v>8.5</v>
      </c>
      <c r="P13" s="46">
        <v>8.6999999999999993</v>
      </c>
      <c r="Q13" s="47">
        <v>8.6</v>
      </c>
      <c r="R13" s="45">
        <v>10.0237820783172</v>
      </c>
      <c r="S13" s="46">
        <v>9.3885264764685505</v>
      </c>
      <c r="T13" s="47">
        <v>9.7061542773928799</v>
      </c>
      <c r="U13" s="45">
        <v>10.488712698659446</v>
      </c>
      <c r="V13" s="46">
        <v>9.9439082245385642</v>
      </c>
      <c r="W13" s="47">
        <v>10.216310461599004</v>
      </c>
      <c r="X13" s="45">
        <v>10.745361302166296</v>
      </c>
      <c r="Y13" s="46">
        <v>9.7142428092057891</v>
      </c>
      <c r="Z13" s="47">
        <v>10.229802055686044</v>
      </c>
      <c r="AA13" s="45">
        <v>10.646159257671275</v>
      </c>
      <c r="AB13" s="46">
        <v>10.01241553437225</v>
      </c>
      <c r="AC13" s="47">
        <v>10.329287396021762</v>
      </c>
    </row>
    <row r="14" spans="1:29" s="28" customFormat="1" x14ac:dyDescent="0.25">
      <c r="A14" s="206" t="s">
        <v>5</v>
      </c>
      <c r="B14" s="24" t="s">
        <v>8</v>
      </c>
      <c r="C14" s="42">
        <v>8</v>
      </c>
      <c r="D14" s="43">
        <v>7.4</v>
      </c>
      <c r="E14" s="44">
        <v>7.7</v>
      </c>
      <c r="F14" s="42">
        <v>8.6</v>
      </c>
      <c r="G14" s="43">
        <v>7.7</v>
      </c>
      <c r="H14" s="44">
        <v>8.1999999999999993</v>
      </c>
      <c r="I14" s="42">
        <v>9</v>
      </c>
      <c r="J14" s="43">
        <v>8.3000000000000007</v>
      </c>
      <c r="K14" s="44">
        <v>8.6</v>
      </c>
      <c r="L14" s="42">
        <v>9.1</v>
      </c>
      <c r="M14" s="43">
        <v>8.4</v>
      </c>
      <c r="N14" s="44">
        <v>8.8000000000000007</v>
      </c>
      <c r="O14" s="42">
        <v>10.1</v>
      </c>
      <c r="P14" s="43">
        <v>8.1</v>
      </c>
      <c r="Q14" s="44">
        <v>9.1</v>
      </c>
      <c r="R14" s="42">
        <v>9.3988999282009402</v>
      </c>
      <c r="S14" s="43">
        <v>8.8763975931428707</v>
      </c>
      <c r="T14" s="44">
        <v>9.1376487606718992</v>
      </c>
      <c r="U14" s="42">
        <v>10.187538066361252</v>
      </c>
      <c r="V14" s="43">
        <v>9.7942430421311872</v>
      </c>
      <c r="W14" s="44">
        <v>9.9908905542462207</v>
      </c>
      <c r="X14" s="42">
        <v>9.8387192788058346</v>
      </c>
      <c r="Y14" s="43">
        <v>7.7986638441060947</v>
      </c>
      <c r="Z14" s="44">
        <v>8.8186915614559638</v>
      </c>
      <c r="AA14" s="42">
        <v>9.2643239545994547</v>
      </c>
      <c r="AB14" s="43">
        <v>8.6309379933863735</v>
      </c>
      <c r="AC14" s="44">
        <v>8.947630973992915</v>
      </c>
    </row>
    <row r="15" spans="1:29" s="28" customFormat="1" x14ac:dyDescent="0.25">
      <c r="A15" s="206"/>
      <c r="B15" s="24" t="s">
        <v>9</v>
      </c>
      <c r="C15" s="42">
        <v>8.1999999999999993</v>
      </c>
      <c r="D15" s="43">
        <v>8.1</v>
      </c>
      <c r="E15" s="44">
        <v>8.1</v>
      </c>
      <c r="F15" s="42">
        <v>8.6</v>
      </c>
      <c r="G15" s="43">
        <v>8.3000000000000007</v>
      </c>
      <c r="H15" s="44">
        <v>8.5</v>
      </c>
      <c r="I15" s="42">
        <v>9</v>
      </c>
      <c r="J15" s="43">
        <v>9.1</v>
      </c>
      <c r="K15" s="44">
        <v>9.1</v>
      </c>
      <c r="L15" s="42">
        <v>9.4</v>
      </c>
      <c r="M15" s="43">
        <v>9</v>
      </c>
      <c r="N15" s="44">
        <v>9.1999999999999993</v>
      </c>
      <c r="O15" s="42">
        <v>10.4</v>
      </c>
      <c r="P15" s="43">
        <v>8.5</v>
      </c>
      <c r="Q15" s="44">
        <v>9.5</v>
      </c>
      <c r="R15" s="42">
        <v>10.206528428949699</v>
      </c>
      <c r="S15" s="43">
        <v>9.5914414829844095</v>
      </c>
      <c r="T15" s="44">
        <v>9.8989849559670802</v>
      </c>
      <c r="U15" s="42">
        <v>10.624793918044118</v>
      </c>
      <c r="V15" s="43">
        <v>10.51637385176257</v>
      </c>
      <c r="W15" s="44">
        <v>10.570583884903343</v>
      </c>
      <c r="X15" s="42">
        <v>10.453543715391596</v>
      </c>
      <c r="Y15" s="43">
        <v>8.8582699038835493</v>
      </c>
      <c r="Z15" s="44">
        <v>9.6559068096375729</v>
      </c>
      <c r="AA15" s="42">
        <v>9.9138971594109595</v>
      </c>
      <c r="AB15" s="43">
        <v>9.5729972128137408</v>
      </c>
      <c r="AC15" s="44">
        <v>9.7434471861123502</v>
      </c>
    </row>
    <row r="16" spans="1:29" s="68" customFormat="1" x14ac:dyDescent="0.25">
      <c r="A16" s="206"/>
      <c r="B16" s="29" t="s">
        <v>1</v>
      </c>
      <c r="C16" s="45">
        <v>8</v>
      </c>
      <c r="D16" s="46">
        <v>7.6</v>
      </c>
      <c r="E16" s="47">
        <v>7.8</v>
      </c>
      <c r="F16" s="45">
        <v>8.6</v>
      </c>
      <c r="G16" s="46">
        <v>7.9</v>
      </c>
      <c r="H16" s="47">
        <v>8.1999999999999993</v>
      </c>
      <c r="I16" s="45">
        <v>9</v>
      </c>
      <c r="J16" s="46">
        <v>8.4</v>
      </c>
      <c r="K16" s="47">
        <v>8.6999999999999993</v>
      </c>
      <c r="L16" s="45">
        <v>9.1999999999999993</v>
      </c>
      <c r="M16" s="46">
        <v>8.5</v>
      </c>
      <c r="N16" s="47">
        <v>8.8000000000000007</v>
      </c>
      <c r="O16" s="45">
        <v>10.199999999999999</v>
      </c>
      <c r="P16" s="46">
        <v>8.1999999999999993</v>
      </c>
      <c r="Q16" s="47">
        <v>9.1999999999999993</v>
      </c>
      <c r="R16" s="45">
        <v>9.5762199518907902</v>
      </c>
      <c r="S16" s="46">
        <v>9.0333900709571608</v>
      </c>
      <c r="T16" s="47">
        <v>9.3048050114239693</v>
      </c>
      <c r="U16" s="45">
        <v>10.284331518451301</v>
      </c>
      <c r="V16" s="46">
        <v>9.9540980415686757</v>
      </c>
      <c r="W16" s="47">
        <v>10.119214780009989</v>
      </c>
      <c r="X16" s="45">
        <v>9.9739472166372849</v>
      </c>
      <c r="Y16" s="46">
        <v>8.03171954887463</v>
      </c>
      <c r="Z16" s="47">
        <v>9.0028333827559575</v>
      </c>
      <c r="AA16" s="45">
        <v>9.4068940270337311</v>
      </c>
      <c r="AB16" s="46">
        <v>8.8377036822360431</v>
      </c>
      <c r="AC16" s="47">
        <v>9.122298854634888</v>
      </c>
    </row>
    <row r="17" spans="1:29" s="28" customFormat="1" x14ac:dyDescent="0.25">
      <c r="A17" s="205" t="s">
        <v>4</v>
      </c>
      <c r="B17" s="24" t="s">
        <v>8</v>
      </c>
      <c r="C17" s="42">
        <v>2.1</v>
      </c>
      <c r="D17" s="43">
        <v>4.2</v>
      </c>
      <c r="E17" s="44">
        <v>3.2</v>
      </c>
      <c r="F17" s="42">
        <v>2.2999999999999998</v>
      </c>
      <c r="G17" s="43">
        <v>4.5</v>
      </c>
      <c r="H17" s="44">
        <v>3.4</v>
      </c>
      <c r="I17" s="42">
        <v>2.2000000000000002</v>
      </c>
      <c r="J17" s="43">
        <v>4.7</v>
      </c>
      <c r="K17" s="44">
        <v>3.4</v>
      </c>
      <c r="L17" s="42">
        <v>2</v>
      </c>
      <c r="M17" s="43">
        <v>4.7</v>
      </c>
      <c r="N17" s="44">
        <v>3.3</v>
      </c>
      <c r="O17" s="42">
        <v>2.1</v>
      </c>
      <c r="P17" s="43">
        <v>4.8</v>
      </c>
      <c r="Q17" s="44">
        <v>3.4</v>
      </c>
      <c r="R17" s="42">
        <v>2.1435305856458799</v>
      </c>
      <c r="S17" s="43">
        <v>5.1200455202360899</v>
      </c>
      <c r="T17" s="44">
        <v>3.6317880529409798</v>
      </c>
      <c r="U17" s="42">
        <v>2.4665184098147872</v>
      </c>
      <c r="V17" s="43">
        <v>5.4006150679946625</v>
      </c>
      <c r="W17" s="44">
        <v>3.9335667389047249</v>
      </c>
      <c r="X17" s="42">
        <v>1.9097049226846505</v>
      </c>
      <c r="Y17" s="43">
        <v>4.7669836864591826</v>
      </c>
      <c r="Z17" s="44">
        <v>3.3383443045719163</v>
      </c>
      <c r="AA17" s="42">
        <v>1.8396527982689093</v>
      </c>
      <c r="AB17" s="43">
        <v>4.6930838333169405</v>
      </c>
      <c r="AC17" s="44">
        <v>3.2663683157929251</v>
      </c>
    </row>
    <row r="18" spans="1:29" s="28" customFormat="1" x14ac:dyDescent="0.25">
      <c r="A18" s="206"/>
      <c r="B18" s="24" t="s">
        <v>9</v>
      </c>
      <c r="C18" s="42">
        <v>2</v>
      </c>
      <c r="D18" s="43">
        <v>4.2</v>
      </c>
      <c r="E18" s="44">
        <v>3.1</v>
      </c>
      <c r="F18" s="42">
        <v>2.2000000000000002</v>
      </c>
      <c r="G18" s="43">
        <v>4.5999999999999996</v>
      </c>
      <c r="H18" s="44">
        <v>3.4</v>
      </c>
      <c r="I18" s="42">
        <v>2.2000000000000002</v>
      </c>
      <c r="J18" s="43">
        <v>4.7</v>
      </c>
      <c r="K18" s="44">
        <v>3.4</v>
      </c>
      <c r="L18" s="42">
        <v>2</v>
      </c>
      <c r="M18" s="43">
        <v>4.5</v>
      </c>
      <c r="N18" s="44">
        <v>3.3</v>
      </c>
      <c r="O18" s="42">
        <v>2</v>
      </c>
      <c r="P18" s="43">
        <v>4.5999999999999996</v>
      </c>
      <c r="Q18" s="44">
        <v>3.3</v>
      </c>
      <c r="R18" s="42">
        <v>2.3324875031961598</v>
      </c>
      <c r="S18" s="43">
        <v>4.82190465794719</v>
      </c>
      <c r="T18" s="44">
        <v>3.5771960805716798</v>
      </c>
      <c r="U18" s="42">
        <v>2.5011105923095975</v>
      </c>
      <c r="V18" s="43">
        <v>5.1599536481303288</v>
      </c>
      <c r="W18" s="44">
        <v>3.8305321202199631</v>
      </c>
      <c r="X18" s="42">
        <v>1.9858138782036179</v>
      </c>
      <c r="Y18" s="43">
        <v>4.7731117214085206</v>
      </c>
      <c r="Z18" s="44">
        <v>3.3794627998060691</v>
      </c>
      <c r="AA18" s="42">
        <v>2.0407391259990577</v>
      </c>
      <c r="AB18" s="43">
        <v>4.5959425942773864</v>
      </c>
      <c r="AC18" s="44">
        <v>3.318340860138222</v>
      </c>
    </row>
    <row r="19" spans="1:29" s="68" customFormat="1" x14ac:dyDescent="0.25">
      <c r="A19" s="206"/>
      <c r="B19" s="30" t="s">
        <v>1</v>
      </c>
      <c r="C19" s="52">
        <v>2.1</v>
      </c>
      <c r="D19" s="53">
        <v>4.2</v>
      </c>
      <c r="E19" s="54">
        <v>3.2</v>
      </c>
      <c r="F19" s="52">
        <v>2.2999999999999998</v>
      </c>
      <c r="G19" s="53">
        <v>4.5</v>
      </c>
      <c r="H19" s="54">
        <v>3.4</v>
      </c>
      <c r="I19" s="52">
        <v>2.2000000000000002</v>
      </c>
      <c r="J19" s="53">
        <v>4.7</v>
      </c>
      <c r="K19" s="54">
        <v>3.4</v>
      </c>
      <c r="L19" s="52">
        <v>2</v>
      </c>
      <c r="M19" s="53">
        <v>4.5999999999999996</v>
      </c>
      <c r="N19" s="54">
        <v>3.3</v>
      </c>
      <c r="O19" s="52">
        <v>2</v>
      </c>
      <c r="P19" s="53">
        <v>4.7</v>
      </c>
      <c r="Q19" s="54">
        <v>3.4</v>
      </c>
      <c r="R19" s="52">
        <v>2.2103230599220098</v>
      </c>
      <c r="S19" s="53">
        <v>5.01465871496183</v>
      </c>
      <c r="T19" s="54">
        <v>3.6124908874419202</v>
      </c>
      <c r="U19" s="52">
        <v>2.4786987450617457</v>
      </c>
      <c r="V19" s="53">
        <v>5.3158752058770737</v>
      </c>
      <c r="W19" s="54">
        <v>3.8972869754694095</v>
      </c>
      <c r="X19" s="52">
        <v>1.9363801519369794</v>
      </c>
      <c r="Y19" s="53">
        <v>4.7691314854405933</v>
      </c>
      <c r="Z19" s="54">
        <v>3.3527558186887862</v>
      </c>
      <c r="AA19" s="52">
        <v>1.9098466891397925</v>
      </c>
      <c r="AB19" s="53">
        <v>4.6591744093935228</v>
      </c>
      <c r="AC19" s="54">
        <v>3.2845105492666575</v>
      </c>
    </row>
    <row r="20" spans="1:29" s="28" customFormat="1" x14ac:dyDescent="0.25">
      <c r="A20" s="205" t="s">
        <v>3</v>
      </c>
      <c r="B20" s="22" t="s">
        <v>8</v>
      </c>
      <c r="C20" s="48">
        <v>30.1</v>
      </c>
      <c r="D20" s="49">
        <v>19.2</v>
      </c>
      <c r="E20" s="64">
        <v>24.6</v>
      </c>
      <c r="F20" s="48">
        <v>32</v>
      </c>
      <c r="G20" s="49">
        <v>18.8</v>
      </c>
      <c r="H20" s="64">
        <v>25.4</v>
      </c>
      <c r="I20" s="48">
        <v>32.6</v>
      </c>
      <c r="J20" s="49">
        <v>19.5</v>
      </c>
      <c r="K20" s="64">
        <v>26.1</v>
      </c>
      <c r="L20" s="48">
        <v>32.700000000000003</v>
      </c>
      <c r="M20" s="49">
        <v>18.600000000000001</v>
      </c>
      <c r="N20" s="64">
        <v>25.6</v>
      </c>
      <c r="O20" s="48">
        <v>30.7</v>
      </c>
      <c r="P20" s="49">
        <v>16.7</v>
      </c>
      <c r="Q20" s="64">
        <v>23.7</v>
      </c>
      <c r="R20" s="48">
        <v>29.181512767104099</v>
      </c>
      <c r="S20" s="49">
        <v>19.5665047127927</v>
      </c>
      <c r="T20" s="64">
        <v>24.374008739948401</v>
      </c>
      <c r="U20" s="48">
        <v>31.07319253158753</v>
      </c>
      <c r="V20" s="49">
        <v>19.57631791246612</v>
      </c>
      <c r="W20" s="64">
        <v>25.324755222026823</v>
      </c>
      <c r="X20" s="48">
        <v>30.319150377484156</v>
      </c>
      <c r="Y20" s="49">
        <v>17.83569968833373</v>
      </c>
      <c r="Z20" s="64">
        <v>24.077425032908941</v>
      </c>
      <c r="AA20" s="48">
        <v>27.5515670348139</v>
      </c>
      <c r="AB20" s="49">
        <v>18.313589326735073</v>
      </c>
      <c r="AC20" s="64">
        <v>22.932578180774485</v>
      </c>
    </row>
    <row r="21" spans="1:29" s="28" customFormat="1" x14ac:dyDescent="0.25">
      <c r="A21" s="206"/>
      <c r="B21" s="24" t="s">
        <v>9</v>
      </c>
      <c r="C21" s="42">
        <v>29.9</v>
      </c>
      <c r="D21" s="43">
        <v>20.8</v>
      </c>
      <c r="E21" s="44">
        <v>25.3</v>
      </c>
      <c r="F21" s="42">
        <v>31.1</v>
      </c>
      <c r="G21" s="43">
        <v>20.6</v>
      </c>
      <c r="H21" s="44">
        <v>25.9</v>
      </c>
      <c r="I21" s="42">
        <v>31.7</v>
      </c>
      <c r="J21" s="43">
        <v>21.1</v>
      </c>
      <c r="K21" s="44">
        <v>26.4</v>
      </c>
      <c r="L21" s="42">
        <v>30.1</v>
      </c>
      <c r="M21" s="43">
        <v>19.899999999999999</v>
      </c>
      <c r="N21" s="44">
        <v>25</v>
      </c>
      <c r="O21" s="42">
        <v>29.2</v>
      </c>
      <c r="P21" s="43">
        <v>18.7</v>
      </c>
      <c r="Q21" s="44">
        <v>23.9</v>
      </c>
      <c r="R21" s="42">
        <v>30.740770901194399</v>
      </c>
      <c r="S21" s="43">
        <v>20.920466883821899</v>
      </c>
      <c r="T21" s="44">
        <v>25.830618892508099</v>
      </c>
      <c r="U21" s="42">
        <v>32.109679824814755</v>
      </c>
      <c r="V21" s="43">
        <v>20.852610186580687</v>
      </c>
      <c r="W21" s="44">
        <v>26.481145005697719</v>
      </c>
      <c r="X21" s="42">
        <v>31.690460551137367</v>
      </c>
      <c r="Y21" s="43">
        <v>19.707051327249719</v>
      </c>
      <c r="Z21" s="44">
        <v>25.698755939193543</v>
      </c>
      <c r="AA21" s="42">
        <v>30.042327418499088</v>
      </c>
      <c r="AB21" s="43">
        <v>19.910157401403055</v>
      </c>
      <c r="AC21" s="44">
        <v>24.97624240995107</v>
      </c>
    </row>
    <row r="22" spans="1:29" s="68" customFormat="1" x14ac:dyDescent="0.25">
      <c r="A22" s="207"/>
      <c r="B22" s="29" t="s">
        <v>1</v>
      </c>
      <c r="C22" s="45">
        <v>30</v>
      </c>
      <c r="D22" s="46">
        <v>19.7</v>
      </c>
      <c r="E22" s="47">
        <v>24.9</v>
      </c>
      <c r="F22" s="45">
        <v>31.7</v>
      </c>
      <c r="G22" s="46">
        <v>19.399999999999999</v>
      </c>
      <c r="H22" s="47">
        <v>25.5</v>
      </c>
      <c r="I22" s="45">
        <v>32.4</v>
      </c>
      <c r="J22" s="46">
        <v>20</v>
      </c>
      <c r="K22" s="47">
        <v>26.2</v>
      </c>
      <c r="L22" s="45">
        <v>31.8</v>
      </c>
      <c r="M22" s="46">
        <v>19</v>
      </c>
      <c r="N22" s="47">
        <v>25.4</v>
      </c>
      <c r="O22" s="45">
        <v>30.2</v>
      </c>
      <c r="P22" s="46">
        <v>17.3</v>
      </c>
      <c r="Q22" s="47">
        <v>23.8</v>
      </c>
      <c r="R22" s="45">
        <v>29.6548408268131</v>
      </c>
      <c r="S22" s="46">
        <v>19.977513174651101</v>
      </c>
      <c r="T22" s="47">
        <v>24.8161770007321</v>
      </c>
      <c r="U22" s="45">
        <v>31.390937651175317</v>
      </c>
      <c r="V22" s="46">
        <v>19.96757754865984</v>
      </c>
      <c r="W22" s="47">
        <v>25.679257599917577</v>
      </c>
      <c r="X22" s="45">
        <v>30.736903669067893</v>
      </c>
      <c r="Y22" s="46">
        <v>18.405784649335029</v>
      </c>
      <c r="Z22" s="47">
        <v>24.571344159201459</v>
      </c>
      <c r="AA22" s="45">
        <v>28.311922590193628</v>
      </c>
      <c r="AB22" s="46">
        <v>18.800974389171149</v>
      </c>
      <c r="AC22" s="47">
        <v>23.556448489682388</v>
      </c>
    </row>
    <row r="23" spans="1:29" s="28" customFormat="1" x14ac:dyDescent="0.25">
      <c r="A23" s="205" t="s">
        <v>2</v>
      </c>
      <c r="B23" s="24" t="s">
        <v>8</v>
      </c>
      <c r="C23" s="42">
        <v>10.1</v>
      </c>
      <c r="D23" s="43">
        <v>8.8000000000000007</v>
      </c>
      <c r="E23" s="44">
        <v>9.4</v>
      </c>
      <c r="F23" s="42">
        <v>10.6</v>
      </c>
      <c r="G23" s="43">
        <v>9.1999999999999993</v>
      </c>
      <c r="H23" s="44">
        <v>9.9</v>
      </c>
      <c r="I23" s="42">
        <v>10</v>
      </c>
      <c r="J23" s="43">
        <v>9.9</v>
      </c>
      <c r="K23" s="44">
        <v>10</v>
      </c>
      <c r="L23" s="42">
        <v>10.4</v>
      </c>
      <c r="M23" s="43">
        <v>9.9</v>
      </c>
      <c r="N23" s="44">
        <v>10.199999999999999</v>
      </c>
      <c r="O23" s="42">
        <v>10.6</v>
      </c>
      <c r="P23" s="43">
        <v>10.199999999999999</v>
      </c>
      <c r="Q23" s="44">
        <v>10.4</v>
      </c>
      <c r="R23" s="42">
        <v>12.0117465991244</v>
      </c>
      <c r="S23" s="43">
        <v>10.890203257961501</v>
      </c>
      <c r="T23" s="44">
        <v>11.450974928542999</v>
      </c>
      <c r="U23" s="42">
        <v>13.395340917556165</v>
      </c>
      <c r="V23" s="43">
        <v>11.632594421445829</v>
      </c>
      <c r="W23" s="44">
        <v>12.513967669500996</v>
      </c>
      <c r="X23" s="42">
        <v>13.431529521075817</v>
      </c>
      <c r="Y23" s="43">
        <v>11.055989248471475</v>
      </c>
      <c r="Z23" s="44">
        <v>12.243759384773647</v>
      </c>
      <c r="AA23" s="42">
        <v>13.153278254117589</v>
      </c>
      <c r="AB23" s="43">
        <v>11.332870459764921</v>
      </c>
      <c r="AC23" s="44">
        <v>12.243074356941255</v>
      </c>
    </row>
    <row r="24" spans="1:29" s="28" customFormat="1" x14ac:dyDescent="0.25">
      <c r="A24" s="206"/>
      <c r="B24" s="24" t="s">
        <v>9</v>
      </c>
      <c r="C24" s="42">
        <v>11.3</v>
      </c>
      <c r="D24" s="43">
        <v>10.6</v>
      </c>
      <c r="E24" s="44">
        <v>11</v>
      </c>
      <c r="F24" s="42">
        <v>11.7</v>
      </c>
      <c r="G24" s="43">
        <v>11.3</v>
      </c>
      <c r="H24" s="44">
        <v>11.5</v>
      </c>
      <c r="I24" s="42">
        <v>11.9</v>
      </c>
      <c r="J24" s="43">
        <v>11.6</v>
      </c>
      <c r="K24" s="44">
        <v>11.7</v>
      </c>
      <c r="L24" s="42">
        <v>12.3</v>
      </c>
      <c r="M24" s="43">
        <v>12</v>
      </c>
      <c r="N24" s="44">
        <v>12.2</v>
      </c>
      <c r="O24" s="42">
        <v>12.5</v>
      </c>
      <c r="P24" s="43">
        <v>12.1</v>
      </c>
      <c r="Q24" s="44">
        <v>12.3</v>
      </c>
      <c r="R24" s="42">
        <v>14.6335395034036</v>
      </c>
      <c r="S24" s="43">
        <v>12.895801827929001</v>
      </c>
      <c r="T24" s="44">
        <v>13.7646706656663</v>
      </c>
      <c r="U24" s="42">
        <v>15.625625403037514</v>
      </c>
      <c r="V24" s="43">
        <v>16.319405839318669</v>
      </c>
      <c r="W24" s="44">
        <v>15.972515621178092</v>
      </c>
      <c r="X24" s="42">
        <v>15.359895040594376</v>
      </c>
      <c r="Y24" s="43">
        <v>13.413281345013505</v>
      </c>
      <c r="Z24" s="44">
        <v>14.386588192803941</v>
      </c>
      <c r="AA24" s="42">
        <v>14.797361325045093</v>
      </c>
      <c r="AB24" s="43">
        <v>13.302404882207238</v>
      </c>
      <c r="AC24" s="44">
        <v>14.049883103626165</v>
      </c>
    </row>
    <row r="25" spans="1:29" s="68" customFormat="1" x14ac:dyDescent="0.25">
      <c r="A25" s="207"/>
      <c r="B25" s="29" t="s">
        <v>1</v>
      </c>
      <c r="C25" s="45">
        <v>10.5</v>
      </c>
      <c r="D25" s="46">
        <v>9.5</v>
      </c>
      <c r="E25" s="47">
        <v>10</v>
      </c>
      <c r="F25" s="45">
        <v>11</v>
      </c>
      <c r="G25" s="46">
        <v>9.9</v>
      </c>
      <c r="H25" s="47">
        <v>10.5</v>
      </c>
      <c r="I25" s="45">
        <v>10.7</v>
      </c>
      <c r="J25" s="46">
        <v>10.5</v>
      </c>
      <c r="K25" s="47">
        <v>10.6</v>
      </c>
      <c r="L25" s="45">
        <v>11.1</v>
      </c>
      <c r="M25" s="46">
        <v>10.7</v>
      </c>
      <c r="N25" s="47">
        <v>10.9</v>
      </c>
      <c r="O25" s="45">
        <v>11.3</v>
      </c>
      <c r="P25" s="46">
        <v>10.8</v>
      </c>
      <c r="Q25" s="47">
        <v>11.1</v>
      </c>
      <c r="R25" s="45">
        <v>12.952868972561999</v>
      </c>
      <c r="S25" s="46">
        <v>11.6101356688129</v>
      </c>
      <c r="T25" s="47">
        <v>12.281502320687499</v>
      </c>
      <c r="U25" s="45">
        <v>14.208941663816264</v>
      </c>
      <c r="V25" s="46">
        <v>13.342328445057941</v>
      </c>
      <c r="W25" s="47">
        <v>13.775635054437103</v>
      </c>
      <c r="X25" s="45">
        <v>14.125947071493695</v>
      </c>
      <c r="Y25" s="46">
        <v>11.904866179079955</v>
      </c>
      <c r="Z25" s="47">
        <v>13.015406625286825</v>
      </c>
      <c r="AA25" s="45">
        <v>13.744436828818115</v>
      </c>
      <c r="AB25" s="46">
        <v>12.041050710862439</v>
      </c>
      <c r="AC25" s="47">
        <v>12.892743769840276</v>
      </c>
    </row>
    <row r="26" spans="1:29" x14ac:dyDescent="0.2">
      <c r="A26" s="189" t="s">
        <v>0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31"/>
      <c r="Q26" s="28"/>
      <c r="R26" s="188"/>
      <c r="S26" s="31"/>
      <c r="T26" s="28"/>
      <c r="U26" s="28"/>
      <c r="V26" s="28"/>
      <c r="W26" s="28"/>
    </row>
    <row r="27" spans="1:29" x14ac:dyDescent="0.2">
      <c r="A27" s="190" t="s">
        <v>71</v>
      </c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31"/>
      <c r="Q27" s="28"/>
      <c r="R27" s="191"/>
      <c r="S27" s="31"/>
      <c r="T27" s="28"/>
      <c r="U27" s="28"/>
      <c r="V27" s="28"/>
      <c r="W27" s="28"/>
    </row>
    <row r="28" spans="1:29" x14ac:dyDescent="0.2">
      <c r="A28" s="58" t="s">
        <v>22</v>
      </c>
      <c r="Q28" s="2"/>
      <c r="T28" s="2"/>
    </row>
    <row r="29" spans="1:29" x14ac:dyDescent="0.2">
      <c r="A29" s="58" t="s">
        <v>23</v>
      </c>
      <c r="Q29" s="2"/>
      <c r="T29" s="2"/>
    </row>
    <row r="30" spans="1:29" x14ac:dyDescent="0.2">
      <c r="A30" s="58" t="s">
        <v>24</v>
      </c>
      <c r="Q30" s="2"/>
      <c r="T30" s="2"/>
    </row>
    <row r="31" spans="1:29" x14ac:dyDescent="0.2">
      <c r="A31" s="58" t="s">
        <v>57</v>
      </c>
      <c r="Q31" s="2"/>
      <c r="T31" s="2"/>
    </row>
  </sheetData>
  <mergeCells count="16">
    <mergeCell ref="X3:Z3"/>
    <mergeCell ref="U3:W3"/>
    <mergeCell ref="AA3:AC3"/>
    <mergeCell ref="A23:A25"/>
    <mergeCell ref="R3:T3"/>
    <mergeCell ref="A8:A10"/>
    <mergeCell ref="A11:A13"/>
    <mergeCell ref="A17:A19"/>
    <mergeCell ref="A20:A22"/>
    <mergeCell ref="A5:A7"/>
    <mergeCell ref="O3:Q3"/>
    <mergeCell ref="C3:E3"/>
    <mergeCell ref="F3:H3"/>
    <mergeCell ref="I3:K3"/>
    <mergeCell ref="L3:N3"/>
    <mergeCell ref="A14:A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zoomScaleNormal="100" workbookViewId="0"/>
  </sheetViews>
  <sheetFormatPr baseColWidth="10" defaultRowHeight="12.75" x14ac:dyDescent="0.2"/>
  <cols>
    <col min="1" max="1" width="30.42578125" style="5" customWidth="1"/>
    <col min="2" max="13" width="9.28515625" style="5" customWidth="1"/>
    <col min="14" max="17" width="11.42578125" style="5" customWidth="1"/>
    <col min="18" max="16384" width="11.42578125" style="5"/>
  </cols>
  <sheetData>
    <row r="1" spans="1:21" x14ac:dyDescent="0.2">
      <c r="A1" s="6" t="s">
        <v>35</v>
      </c>
    </row>
    <row r="2" spans="1:21" x14ac:dyDescent="0.2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21" x14ac:dyDescent="0.2">
      <c r="A3" s="7"/>
      <c r="B3" s="211">
        <v>2016</v>
      </c>
      <c r="C3" s="204"/>
      <c r="D3" s="211">
        <v>2017</v>
      </c>
      <c r="E3" s="204"/>
      <c r="F3" s="211">
        <v>2018</v>
      </c>
      <c r="G3" s="204"/>
      <c r="H3" s="211">
        <v>2019</v>
      </c>
      <c r="I3" s="204"/>
      <c r="J3" s="211">
        <v>2020</v>
      </c>
      <c r="K3" s="204"/>
      <c r="L3" s="211">
        <v>2021</v>
      </c>
      <c r="M3" s="204"/>
      <c r="N3" s="211">
        <v>2022</v>
      </c>
      <c r="O3" s="204"/>
      <c r="P3" s="211">
        <v>2023</v>
      </c>
      <c r="Q3" s="204"/>
      <c r="R3" s="211">
        <v>2024</v>
      </c>
      <c r="S3" s="204"/>
    </row>
    <row r="4" spans="1:21" x14ac:dyDescent="0.2">
      <c r="A4" s="8"/>
      <c r="B4" s="184" t="s">
        <v>10</v>
      </c>
      <c r="C4" s="9" t="s">
        <v>11</v>
      </c>
      <c r="D4" s="184" t="s">
        <v>10</v>
      </c>
      <c r="E4" s="9" t="s">
        <v>11</v>
      </c>
      <c r="F4" s="184" t="s">
        <v>10</v>
      </c>
      <c r="G4" s="9" t="s">
        <v>11</v>
      </c>
      <c r="H4" s="184" t="s">
        <v>10</v>
      </c>
      <c r="I4" s="9" t="s">
        <v>11</v>
      </c>
      <c r="J4" s="184" t="s">
        <v>10</v>
      </c>
      <c r="K4" s="9" t="s">
        <v>11</v>
      </c>
      <c r="L4" s="184" t="s">
        <v>10</v>
      </c>
      <c r="M4" s="9" t="s">
        <v>11</v>
      </c>
      <c r="N4" s="184" t="s">
        <v>10</v>
      </c>
      <c r="O4" s="9" t="s">
        <v>11</v>
      </c>
      <c r="P4" s="184" t="s">
        <v>10</v>
      </c>
      <c r="Q4" s="9" t="s">
        <v>11</v>
      </c>
      <c r="R4" s="184" t="s">
        <v>10</v>
      </c>
      <c r="S4" s="9" t="s">
        <v>11</v>
      </c>
    </row>
    <row r="5" spans="1:21" x14ac:dyDescent="0.2">
      <c r="A5" s="187" t="s">
        <v>17</v>
      </c>
      <c r="B5" s="10">
        <v>401.5</v>
      </c>
      <c r="C5" s="11">
        <v>383.2</v>
      </c>
      <c r="D5" s="10">
        <v>439</v>
      </c>
      <c r="E5" s="11">
        <v>399.8</v>
      </c>
      <c r="F5" s="10">
        <v>455.8</v>
      </c>
      <c r="G5" s="11">
        <v>423</v>
      </c>
      <c r="H5" s="10">
        <v>465.8</v>
      </c>
      <c r="I5" s="11">
        <v>423.2</v>
      </c>
      <c r="J5" s="10">
        <v>468.3</v>
      </c>
      <c r="K5" s="11">
        <v>419.2</v>
      </c>
      <c r="L5" s="10">
        <v>489.93799999999999</v>
      </c>
      <c r="M5" s="11">
        <v>473.79700000000003</v>
      </c>
      <c r="N5" s="10">
        <v>535.63099999999997</v>
      </c>
      <c r="O5" s="11">
        <v>497.06900000000002</v>
      </c>
      <c r="P5" s="10">
        <v>533.74699999999996</v>
      </c>
      <c r="Q5" s="11">
        <v>468.125</v>
      </c>
      <c r="R5" s="10">
        <v>517.13400000000001</v>
      </c>
      <c r="S5" s="11">
        <v>481.59800000000001</v>
      </c>
    </row>
    <row r="6" spans="1:21" x14ac:dyDescent="0.2">
      <c r="A6" s="185" t="s">
        <v>7</v>
      </c>
      <c r="B6" s="13">
        <v>164.9</v>
      </c>
      <c r="C6" s="14">
        <v>143.69999999999999</v>
      </c>
      <c r="D6" s="13">
        <v>170.6</v>
      </c>
      <c r="E6" s="14">
        <v>156.30000000000001</v>
      </c>
      <c r="F6" s="13">
        <v>176.8</v>
      </c>
      <c r="G6" s="14">
        <v>158.69999999999999</v>
      </c>
      <c r="H6" s="13">
        <v>183</v>
      </c>
      <c r="I6" s="14">
        <v>163.19999999999999</v>
      </c>
      <c r="J6" s="13">
        <v>181.6</v>
      </c>
      <c r="K6" s="14">
        <v>153.19999999999999</v>
      </c>
      <c r="L6" s="13">
        <v>179.892</v>
      </c>
      <c r="M6" s="14">
        <v>182.625</v>
      </c>
      <c r="N6" s="13">
        <v>207.84399999999999</v>
      </c>
      <c r="O6" s="14">
        <v>183.83500000000001</v>
      </c>
      <c r="P6" s="13">
        <v>198.08</v>
      </c>
      <c r="Q6" s="14">
        <v>176.761</v>
      </c>
      <c r="R6" s="13">
        <v>185.673</v>
      </c>
      <c r="S6" s="14">
        <v>169.983</v>
      </c>
    </row>
    <row r="7" spans="1:21" x14ac:dyDescent="0.2">
      <c r="A7" s="186" t="s">
        <v>6</v>
      </c>
      <c r="B7" s="16">
        <v>143.4</v>
      </c>
      <c r="C7" s="17">
        <v>151.30000000000001</v>
      </c>
      <c r="D7" s="16">
        <v>168.3</v>
      </c>
      <c r="E7" s="17">
        <v>151.5</v>
      </c>
      <c r="F7" s="16">
        <v>173.5</v>
      </c>
      <c r="G7" s="17">
        <v>165.1</v>
      </c>
      <c r="H7" s="16">
        <v>174.5</v>
      </c>
      <c r="I7" s="17">
        <v>159.19999999999999</v>
      </c>
      <c r="J7" s="16">
        <v>164.8</v>
      </c>
      <c r="K7" s="17">
        <v>168</v>
      </c>
      <c r="L7" s="16">
        <v>194.178</v>
      </c>
      <c r="M7" s="17">
        <v>181.87200000000001</v>
      </c>
      <c r="N7" s="16">
        <v>203.09200000000001</v>
      </c>
      <c r="O7" s="17">
        <v>192.54300000000001</v>
      </c>
      <c r="P7" s="16">
        <v>213.23599999999999</v>
      </c>
      <c r="Q7" s="17">
        <v>192.774</v>
      </c>
      <c r="R7" s="16">
        <v>214.286</v>
      </c>
      <c r="S7" s="17">
        <v>201.53</v>
      </c>
    </row>
    <row r="8" spans="1:21" x14ac:dyDescent="0.2">
      <c r="A8" s="186" t="s">
        <v>5</v>
      </c>
      <c r="B8" s="18">
        <v>93.3</v>
      </c>
      <c r="C8" s="19">
        <v>88.1</v>
      </c>
      <c r="D8" s="18">
        <v>100.1</v>
      </c>
      <c r="E8" s="19">
        <v>92</v>
      </c>
      <c r="F8" s="18">
        <v>105.5</v>
      </c>
      <c r="G8" s="19">
        <v>99.2</v>
      </c>
      <c r="H8" s="18">
        <v>108.3</v>
      </c>
      <c r="I8" s="19">
        <v>100.8</v>
      </c>
      <c r="J8" s="18">
        <v>121.9</v>
      </c>
      <c r="K8" s="19">
        <v>98.1</v>
      </c>
      <c r="L8" s="18">
        <v>115.86799999999999</v>
      </c>
      <c r="M8" s="19">
        <v>109.3</v>
      </c>
      <c r="N8" s="18">
        <v>124.69499999999999</v>
      </c>
      <c r="O8" s="19">
        <v>120.691</v>
      </c>
      <c r="P8" s="18">
        <v>122.431</v>
      </c>
      <c r="Q8" s="19">
        <v>98.59</v>
      </c>
      <c r="R8" s="18">
        <v>117.175</v>
      </c>
      <c r="S8" s="19">
        <v>110.08499999999999</v>
      </c>
    </row>
    <row r="9" spans="1:21" x14ac:dyDescent="0.2">
      <c r="A9" s="185" t="s">
        <v>4</v>
      </c>
      <c r="B9" s="13">
        <v>80.8</v>
      </c>
      <c r="C9" s="14">
        <v>163.1</v>
      </c>
      <c r="D9" s="13">
        <v>88.4</v>
      </c>
      <c r="E9" s="14">
        <v>174</v>
      </c>
      <c r="F9" s="13">
        <v>83.7</v>
      </c>
      <c r="G9" s="14">
        <v>179.1</v>
      </c>
      <c r="H9" s="13">
        <v>76.599999999999994</v>
      </c>
      <c r="I9" s="14">
        <v>176</v>
      </c>
      <c r="J9" s="13">
        <v>77.2</v>
      </c>
      <c r="K9" s="14">
        <v>179.3</v>
      </c>
      <c r="L9" s="13">
        <v>83.637</v>
      </c>
      <c r="M9" s="14">
        <v>189.751</v>
      </c>
      <c r="N9" s="13">
        <v>93.096999999999994</v>
      </c>
      <c r="O9" s="14">
        <v>199.65799999999999</v>
      </c>
      <c r="P9" s="13">
        <v>72.703000000000003</v>
      </c>
      <c r="Q9" s="14">
        <v>179.06100000000001</v>
      </c>
      <c r="R9" s="13">
        <v>71.593000000000004</v>
      </c>
      <c r="S9" s="14">
        <v>174.655</v>
      </c>
    </row>
    <row r="10" spans="1:21" x14ac:dyDescent="0.2">
      <c r="A10" s="186" t="s">
        <v>3</v>
      </c>
      <c r="B10" s="16">
        <v>283.3</v>
      </c>
      <c r="C10" s="17">
        <v>186.3</v>
      </c>
      <c r="D10" s="16">
        <v>311.39999999999998</v>
      </c>
      <c r="E10" s="17">
        <v>190.5</v>
      </c>
      <c r="F10" s="16">
        <v>334</v>
      </c>
      <c r="G10" s="17">
        <v>206.5</v>
      </c>
      <c r="H10" s="16">
        <v>349.4</v>
      </c>
      <c r="I10" s="17">
        <v>208.9</v>
      </c>
      <c r="J10" s="16">
        <v>350.8</v>
      </c>
      <c r="K10" s="17">
        <v>201.2</v>
      </c>
      <c r="L10" s="16">
        <v>359.89100000000002</v>
      </c>
      <c r="M10" s="17">
        <v>242.447</v>
      </c>
      <c r="N10" s="16">
        <v>389.98500000000001</v>
      </c>
      <c r="O10" s="17">
        <v>248.06700000000001</v>
      </c>
      <c r="P10" s="16">
        <v>407.82400000000001</v>
      </c>
      <c r="Q10" s="17">
        <v>244.21199999999999</v>
      </c>
      <c r="R10" s="16">
        <v>393.303</v>
      </c>
      <c r="S10" s="17">
        <v>261.17899999999997</v>
      </c>
    </row>
    <row r="11" spans="1:21" x14ac:dyDescent="0.2">
      <c r="A11" s="20" t="s">
        <v>2</v>
      </c>
      <c r="B11" s="18">
        <v>37.5</v>
      </c>
      <c r="C11" s="19">
        <v>33.799999999999997</v>
      </c>
      <c r="D11" s="18">
        <v>39.200000000000003</v>
      </c>
      <c r="E11" s="19">
        <v>35.4</v>
      </c>
      <c r="F11" s="18">
        <v>38.1</v>
      </c>
      <c r="G11" s="19">
        <v>37.4</v>
      </c>
      <c r="H11" s="18">
        <v>39.799999999999997</v>
      </c>
      <c r="I11" s="19">
        <v>38.299999999999997</v>
      </c>
      <c r="J11" s="18">
        <v>40.4</v>
      </c>
      <c r="K11" s="19">
        <v>38.799999999999997</v>
      </c>
      <c r="L11" s="18">
        <v>46.41</v>
      </c>
      <c r="M11" s="19">
        <v>41.598999999999997</v>
      </c>
      <c r="N11" s="18">
        <v>52.548999999999999</v>
      </c>
      <c r="O11" s="19">
        <v>49.344000000000001</v>
      </c>
      <c r="P11" s="251">
        <v>53.22</v>
      </c>
      <c r="Q11" s="19">
        <v>44.851999999999997</v>
      </c>
      <c r="R11" s="18">
        <v>52.238</v>
      </c>
      <c r="S11" s="19">
        <v>45.763999999999996</v>
      </c>
    </row>
    <row r="12" spans="1:21" x14ac:dyDescent="0.2">
      <c r="A12" s="186" t="s">
        <v>8</v>
      </c>
      <c r="B12" s="13">
        <v>268.5</v>
      </c>
      <c r="C12" s="14">
        <v>248</v>
      </c>
      <c r="D12" s="13">
        <v>295.8</v>
      </c>
      <c r="E12" s="14">
        <v>258.10000000000002</v>
      </c>
      <c r="F12" s="13">
        <v>307</v>
      </c>
      <c r="G12" s="14">
        <v>275.89999999999998</v>
      </c>
      <c r="H12" s="13">
        <v>317.62099999999998</v>
      </c>
      <c r="I12" s="14">
        <v>277.10000000000002</v>
      </c>
      <c r="J12" s="13">
        <v>321.2</v>
      </c>
      <c r="K12" s="14">
        <v>275.3</v>
      </c>
      <c r="L12" s="13">
        <v>326.67</v>
      </c>
      <c r="M12" s="14">
        <v>315.64499999999998</v>
      </c>
      <c r="N12" s="13">
        <v>359.18200000000002</v>
      </c>
      <c r="O12" s="14">
        <v>327.39400000000001</v>
      </c>
      <c r="P12" s="13">
        <v>358.68299999999999</v>
      </c>
      <c r="Q12" s="14">
        <v>307.45999999999998</v>
      </c>
      <c r="R12" s="13">
        <v>342.80599999999998</v>
      </c>
      <c r="S12" s="14">
        <v>318.84500000000003</v>
      </c>
    </row>
    <row r="13" spans="1:21" x14ac:dyDescent="0.2">
      <c r="A13" s="20" t="s">
        <v>9</v>
      </c>
      <c r="B13" s="18">
        <v>133.1</v>
      </c>
      <c r="C13" s="19">
        <v>135.19999999999999</v>
      </c>
      <c r="D13" s="18">
        <v>143.19999999999999</v>
      </c>
      <c r="E13" s="19">
        <v>141.80000000000001</v>
      </c>
      <c r="F13" s="18">
        <v>148.80000000000001</v>
      </c>
      <c r="G13" s="19">
        <v>147.19999999999999</v>
      </c>
      <c r="H13" s="18">
        <v>148.155</v>
      </c>
      <c r="I13" s="19">
        <v>146.1</v>
      </c>
      <c r="J13" s="18">
        <v>147.1</v>
      </c>
      <c r="K13" s="19">
        <v>143.9</v>
      </c>
      <c r="L13" s="18">
        <v>163.268</v>
      </c>
      <c r="M13" s="19">
        <v>158.15199999999999</v>
      </c>
      <c r="N13" s="18">
        <v>176.44900000000001</v>
      </c>
      <c r="O13" s="19">
        <v>169.67500000000001</v>
      </c>
      <c r="P13" s="18">
        <v>175.06399999999999</v>
      </c>
      <c r="Q13" s="19">
        <v>160.66499999999999</v>
      </c>
      <c r="R13" s="18">
        <v>174.328</v>
      </c>
      <c r="S13" s="19">
        <v>162.75299999999999</v>
      </c>
    </row>
    <row r="14" spans="1:21" x14ac:dyDescent="0.2">
      <c r="A14" s="199" t="s">
        <v>0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</row>
    <row r="15" spans="1:21" x14ac:dyDescent="0.2">
      <c r="A15" s="201" t="s">
        <v>36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</row>
    <row r="16" spans="1:21" x14ac:dyDescent="0.2">
      <c r="A16" s="201" t="s">
        <v>28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</row>
    <row r="17" spans="1:21" x14ac:dyDescent="0.2">
      <c r="A17" s="201" t="s">
        <v>29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</row>
    <row r="18" spans="1:21" x14ac:dyDescent="0.2">
      <c r="A18" s="201" t="s">
        <v>58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</row>
    <row r="19" spans="1:21" x14ac:dyDescent="0.2">
      <c r="A19" s="200"/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</row>
    <row r="20" spans="1:21" x14ac:dyDescent="0.2">
      <c r="A20" s="200"/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</row>
    <row r="21" spans="1:21" x14ac:dyDescent="0.2">
      <c r="A21" s="200"/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</row>
    <row r="22" spans="1:21" x14ac:dyDescent="0.2">
      <c r="A22" s="200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</row>
    <row r="23" spans="1:21" x14ac:dyDescent="0.2">
      <c r="A23" s="200"/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</row>
    <row r="24" spans="1:21" x14ac:dyDescent="0.2">
      <c r="A24" s="200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</row>
    <row r="25" spans="1:21" x14ac:dyDescent="0.2">
      <c r="A25" s="200"/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</row>
    <row r="26" spans="1:21" x14ac:dyDescent="0.2">
      <c r="A26" s="200"/>
      <c r="B26" s="200"/>
      <c r="C26" s="200"/>
      <c r="D26" s="200"/>
      <c r="E26" s="200"/>
      <c r="F26" s="200"/>
      <c r="G26" s="200"/>
      <c r="H26" s="200"/>
      <c r="M26" s="200"/>
      <c r="N26" s="200"/>
      <c r="O26" s="200"/>
      <c r="P26" s="200"/>
      <c r="Q26" s="200"/>
      <c r="R26" s="200"/>
      <c r="S26" s="200"/>
      <c r="T26" s="200"/>
      <c r="U26" s="200"/>
    </row>
    <row r="27" spans="1:21" x14ac:dyDescent="0.2">
      <c r="A27" s="200"/>
      <c r="B27" s="200"/>
      <c r="C27" s="200"/>
      <c r="D27" s="200"/>
      <c r="E27" s="200"/>
      <c r="F27" s="200"/>
      <c r="G27" s="200"/>
      <c r="H27" s="200"/>
      <c r="M27" s="200"/>
      <c r="N27" s="200"/>
      <c r="O27" s="200"/>
      <c r="P27" s="200"/>
      <c r="Q27" s="200"/>
      <c r="R27" s="200"/>
      <c r="S27" s="200"/>
      <c r="T27" s="200"/>
      <c r="U27" s="200"/>
    </row>
    <row r="28" spans="1:21" x14ac:dyDescent="0.2">
      <c r="A28" s="200"/>
      <c r="B28" s="200"/>
      <c r="C28" s="200"/>
      <c r="D28" s="200"/>
      <c r="E28" s="200"/>
      <c r="F28" s="200"/>
      <c r="G28" s="200"/>
      <c r="H28" s="200"/>
      <c r="M28" s="200"/>
      <c r="N28" s="200"/>
      <c r="O28" s="200"/>
      <c r="P28" s="200"/>
      <c r="Q28" s="200"/>
      <c r="R28" s="200"/>
      <c r="S28" s="200"/>
      <c r="T28" s="200"/>
      <c r="U28" s="200"/>
    </row>
    <row r="29" spans="1:21" x14ac:dyDescent="0.2">
      <c r="A29" s="200"/>
      <c r="B29" s="200"/>
      <c r="C29" s="200"/>
      <c r="D29" s="200"/>
      <c r="E29" s="200"/>
      <c r="F29" s="200"/>
      <c r="G29" s="200"/>
      <c r="H29" s="200"/>
      <c r="M29" s="200"/>
      <c r="N29" s="200"/>
      <c r="O29" s="200"/>
      <c r="P29" s="200"/>
      <c r="Q29" s="200"/>
      <c r="R29" s="200"/>
      <c r="S29" s="200"/>
      <c r="T29" s="200"/>
      <c r="U29" s="200"/>
    </row>
    <row r="30" spans="1:21" x14ac:dyDescent="0.2">
      <c r="A30" s="200"/>
      <c r="B30" s="200"/>
      <c r="C30" s="200"/>
      <c r="D30" s="200"/>
      <c r="E30" s="200"/>
      <c r="F30" s="200"/>
      <c r="G30" s="200"/>
      <c r="H30" s="200"/>
      <c r="M30" s="200"/>
      <c r="N30" s="200"/>
      <c r="O30" s="200"/>
      <c r="P30" s="200"/>
      <c r="Q30" s="200"/>
      <c r="R30" s="200"/>
      <c r="S30" s="200"/>
      <c r="T30" s="200"/>
      <c r="U30" s="200"/>
    </row>
  </sheetData>
  <mergeCells count="9">
    <mergeCell ref="B3:C3"/>
    <mergeCell ref="D3:E3"/>
    <mergeCell ref="P3:Q3"/>
    <mergeCell ref="R3:S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/>
  </sheetViews>
  <sheetFormatPr baseColWidth="10" defaultRowHeight="12.75" x14ac:dyDescent="0.2"/>
  <cols>
    <col min="1" max="1" width="33.85546875" style="5" customWidth="1"/>
    <col min="2" max="16384" width="11.42578125" style="5"/>
  </cols>
  <sheetData>
    <row r="1" spans="1:10" x14ac:dyDescent="0.2">
      <c r="A1" s="6" t="s">
        <v>38</v>
      </c>
    </row>
    <row r="2" spans="1:10" x14ac:dyDescent="0.2">
      <c r="A2" s="4" t="s">
        <v>15</v>
      </c>
      <c r="B2" s="4"/>
      <c r="C2" s="4"/>
      <c r="D2" s="4"/>
      <c r="E2" s="4"/>
      <c r="F2" s="4"/>
      <c r="G2" s="4"/>
    </row>
    <row r="3" spans="1:10" ht="14.25" x14ac:dyDescent="0.2">
      <c r="A3" s="7"/>
      <c r="B3" s="37">
        <v>2016</v>
      </c>
      <c r="C3" s="37">
        <v>2017</v>
      </c>
      <c r="D3" s="37">
        <v>2018</v>
      </c>
      <c r="E3" s="37">
        <v>2019</v>
      </c>
      <c r="F3" s="38">
        <v>2020</v>
      </c>
      <c r="G3" s="38">
        <v>2021</v>
      </c>
      <c r="H3" s="38">
        <v>2022</v>
      </c>
      <c r="I3" s="38" t="s">
        <v>56</v>
      </c>
      <c r="J3" s="38" t="s">
        <v>72</v>
      </c>
    </row>
    <row r="4" spans="1:10" x14ac:dyDescent="0.2">
      <c r="A4" s="27" t="s">
        <v>17</v>
      </c>
      <c r="B4" s="10">
        <v>234.7</v>
      </c>
      <c r="C4" s="10">
        <v>243.7</v>
      </c>
      <c r="D4" s="10">
        <v>251.6</v>
      </c>
      <c r="E4" s="10">
        <v>269.10000000000002</v>
      </c>
      <c r="F4" s="21">
        <v>247.1</v>
      </c>
      <c r="G4" s="21">
        <v>306.423</v>
      </c>
      <c r="H4" s="21">
        <v>293.18900000000002</v>
      </c>
      <c r="I4" s="21">
        <v>341.53300000000002</v>
      </c>
      <c r="J4" s="21">
        <v>332.14400000000001</v>
      </c>
    </row>
    <row r="5" spans="1:10" x14ac:dyDescent="0.2">
      <c r="A5" s="12" t="s">
        <v>7</v>
      </c>
      <c r="B5" s="13">
        <v>75.3</v>
      </c>
      <c r="C5" s="13">
        <v>78.3</v>
      </c>
      <c r="D5" s="13">
        <v>78.900000000000006</v>
      </c>
      <c r="E5" s="13">
        <v>90.3</v>
      </c>
      <c r="F5" s="23">
        <v>69.3</v>
      </c>
      <c r="G5" s="23">
        <v>79.381</v>
      </c>
      <c r="H5" s="23">
        <v>87.575999999999993</v>
      </c>
      <c r="I5" s="23">
        <v>137.053</v>
      </c>
      <c r="J5" s="23">
        <v>123.44499999999999</v>
      </c>
    </row>
    <row r="6" spans="1:10" x14ac:dyDescent="0.2">
      <c r="A6" s="15" t="s">
        <v>6</v>
      </c>
      <c r="B6" s="16">
        <v>114.1</v>
      </c>
      <c r="C6" s="16">
        <v>119.8</v>
      </c>
      <c r="D6" s="16">
        <v>124.7</v>
      </c>
      <c r="E6" s="16">
        <v>128.4</v>
      </c>
      <c r="F6" s="25">
        <v>119.6</v>
      </c>
      <c r="G6" s="25">
        <v>170.05199999999999</v>
      </c>
      <c r="H6" s="25">
        <v>152.631</v>
      </c>
      <c r="I6" s="25">
        <v>145.506</v>
      </c>
      <c r="J6" s="25">
        <v>150.869</v>
      </c>
    </row>
    <row r="7" spans="1:10" x14ac:dyDescent="0.2">
      <c r="A7" s="15" t="s">
        <v>5</v>
      </c>
      <c r="B7" s="18">
        <v>45.3</v>
      </c>
      <c r="C7" s="18">
        <v>45.6</v>
      </c>
      <c r="D7" s="18">
        <v>48</v>
      </c>
      <c r="E7" s="18">
        <v>50.3</v>
      </c>
      <c r="F7" s="26">
        <v>58.2</v>
      </c>
      <c r="G7" s="26">
        <v>56.99</v>
      </c>
      <c r="H7" s="26">
        <v>52.981999999999999</v>
      </c>
      <c r="I7" s="26">
        <v>58.973999999999997</v>
      </c>
      <c r="J7" s="26">
        <v>57.83</v>
      </c>
    </row>
    <row r="8" spans="1:10" x14ac:dyDescent="0.2">
      <c r="A8" s="12" t="s">
        <v>4</v>
      </c>
      <c r="B8" s="13">
        <v>6.7</v>
      </c>
      <c r="C8" s="13">
        <v>7.6</v>
      </c>
      <c r="D8" s="13">
        <v>6.7</v>
      </c>
      <c r="E8" s="13">
        <v>7.6</v>
      </c>
      <c r="F8" s="23">
        <v>8.5</v>
      </c>
      <c r="G8" s="23">
        <v>10.688000000000001</v>
      </c>
      <c r="H8" s="23">
        <v>9.4260000000000002</v>
      </c>
      <c r="I8" s="23">
        <v>17.617000000000001</v>
      </c>
      <c r="J8" s="23">
        <v>12.34</v>
      </c>
    </row>
    <row r="9" spans="1:10" x14ac:dyDescent="0.2">
      <c r="A9" s="15" t="s">
        <v>3</v>
      </c>
      <c r="B9" s="16">
        <v>217.6</v>
      </c>
      <c r="C9" s="16">
        <v>225.2</v>
      </c>
      <c r="D9" s="16">
        <v>233.3</v>
      </c>
      <c r="E9" s="16">
        <v>248.8</v>
      </c>
      <c r="F9" s="25">
        <v>225.6</v>
      </c>
      <c r="G9" s="25">
        <v>279.39699999999999</v>
      </c>
      <c r="H9" s="25">
        <v>269.745</v>
      </c>
      <c r="I9" s="25">
        <v>309.14299999999997</v>
      </c>
      <c r="J9" s="25">
        <v>307.06900000000002</v>
      </c>
    </row>
    <row r="10" spans="1:10" x14ac:dyDescent="0.2">
      <c r="A10" s="20" t="s">
        <v>2</v>
      </c>
      <c r="B10" s="18">
        <v>10.4</v>
      </c>
      <c r="C10" s="18">
        <v>10.9</v>
      </c>
      <c r="D10" s="18">
        <v>11.6</v>
      </c>
      <c r="E10" s="18">
        <v>12.7</v>
      </c>
      <c r="F10" s="26">
        <v>13</v>
      </c>
      <c r="G10" s="26">
        <v>16.338000000000001</v>
      </c>
      <c r="H10" s="26">
        <v>14.018000000000001</v>
      </c>
      <c r="I10" s="26">
        <v>14.773</v>
      </c>
      <c r="J10" s="26">
        <v>12.734999999999999</v>
      </c>
    </row>
    <row r="11" spans="1:10" x14ac:dyDescent="0.2">
      <c r="A11" s="15" t="s">
        <v>8</v>
      </c>
      <c r="B11" s="13">
        <v>139.69999999999999</v>
      </c>
      <c r="C11" s="13">
        <v>146.19999999999999</v>
      </c>
      <c r="D11" s="13">
        <v>152.6</v>
      </c>
      <c r="E11" s="13">
        <v>164.4</v>
      </c>
      <c r="F11" s="23">
        <v>154</v>
      </c>
      <c r="G11" s="23">
        <v>191.102</v>
      </c>
      <c r="H11" s="23">
        <v>181.81200000000001</v>
      </c>
      <c r="I11" s="23">
        <v>211.15600000000001</v>
      </c>
      <c r="J11" s="23">
        <v>201.2</v>
      </c>
    </row>
    <row r="12" spans="1:10" x14ac:dyDescent="0.2">
      <c r="A12" s="20" t="s">
        <v>9</v>
      </c>
      <c r="B12" s="18">
        <v>95</v>
      </c>
      <c r="C12" s="18">
        <v>97.5</v>
      </c>
      <c r="D12" s="18">
        <v>99.1</v>
      </c>
      <c r="E12" s="18">
        <v>104.7</v>
      </c>
      <c r="F12" s="26">
        <v>93.1</v>
      </c>
      <c r="G12" s="26">
        <v>115.321</v>
      </c>
      <c r="H12" s="26">
        <v>111.377</v>
      </c>
      <c r="I12" s="26">
        <v>130.37700000000001</v>
      </c>
      <c r="J12" s="26">
        <v>130.94399999999999</v>
      </c>
    </row>
    <row r="13" spans="1:10" x14ac:dyDescent="0.2">
      <c r="A13" s="56" t="s">
        <v>0</v>
      </c>
    </row>
    <row r="14" spans="1:10" x14ac:dyDescent="0.2">
      <c r="A14" s="57" t="s">
        <v>39</v>
      </c>
    </row>
    <row r="15" spans="1:10" x14ac:dyDescent="0.2">
      <c r="A15" s="57" t="s">
        <v>74</v>
      </c>
    </row>
    <row r="16" spans="1:10" x14ac:dyDescent="0.2">
      <c r="A16" s="59" t="s">
        <v>81</v>
      </c>
    </row>
    <row r="19" spans="2:14" x14ac:dyDescent="0.2">
      <c r="B19" s="65"/>
      <c r="C19" s="93"/>
      <c r="D19" s="65"/>
      <c r="E19" s="65"/>
      <c r="F19" s="65"/>
      <c r="G19" s="65"/>
      <c r="H19" s="65"/>
      <c r="I19" s="65"/>
    </row>
    <row r="20" spans="2:14" x14ac:dyDescent="0.2">
      <c r="B20" s="65"/>
      <c r="C20" s="93"/>
      <c r="D20" s="65"/>
      <c r="E20" s="65"/>
      <c r="F20" s="65"/>
      <c r="G20" s="65"/>
      <c r="H20" s="65"/>
      <c r="I20" s="65"/>
    </row>
    <row r="21" spans="2:14" x14ac:dyDescent="0.2">
      <c r="C21" s="96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</row>
    <row r="22" spans="2:14" x14ac:dyDescent="0.2">
      <c r="C22" s="96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</row>
    <row r="23" spans="2:14" x14ac:dyDescent="0.2">
      <c r="C23" s="96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</row>
    <row r="24" spans="2:14" x14ac:dyDescent="0.2">
      <c r="C24" s="96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</row>
    <row r="25" spans="2:14" x14ac:dyDescent="0.2">
      <c r="C25" s="96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</row>
    <row r="26" spans="2:14" x14ac:dyDescent="0.2">
      <c r="C26" s="96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</row>
    <row r="27" spans="2:14" x14ac:dyDescent="0.2">
      <c r="C27" s="96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</row>
    <row r="28" spans="2:14" x14ac:dyDescent="0.2">
      <c r="C28" s="96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</row>
    <row r="29" spans="2:14" x14ac:dyDescent="0.2">
      <c r="C29" s="96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</row>
    <row r="30" spans="2:14" x14ac:dyDescent="0.2"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</row>
    <row r="31" spans="2:14" ht="57" customHeight="1" x14ac:dyDescent="0.25">
      <c r="C31" s="212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</row>
  </sheetData>
  <mergeCells count="1">
    <mergeCell ref="C31:N3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5C79-63E2-4B0D-BA49-73707DED21CF}">
  <dimension ref="A1:M21"/>
  <sheetViews>
    <sheetView showGridLines="0" workbookViewId="0"/>
  </sheetViews>
  <sheetFormatPr baseColWidth="10" defaultRowHeight="15" x14ac:dyDescent="0.25"/>
  <cols>
    <col min="1" max="1" width="25.85546875" customWidth="1"/>
    <col min="2" max="2" width="34.140625" customWidth="1"/>
    <col min="3" max="10" width="12.7109375" customWidth="1"/>
  </cols>
  <sheetData>
    <row r="1" spans="1:13" x14ac:dyDescent="0.25">
      <c r="A1" s="71" t="s">
        <v>61</v>
      </c>
      <c r="B1" s="72"/>
      <c r="C1" s="72"/>
      <c r="D1" s="72"/>
      <c r="E1" s="72"/>
      <c r="F1" s="72"/>
      <c r="G1" s="72"/>
      <c r="H1" s="72"/>
      <c r="I1" s="72"/>
      <c r="J1" s="72"/>
    </row>
    <row r="2" spans="1:13" x14ac:dyDescent="0.25">
      <c r="A2" s="73" t="s">
        <v>25</v>
      </c>
      <c r="B2" s="74"/>
      <c r="C2" s="74"/>
      <c r="D2" s="74"/>
      <c r="E2" s="74"/>
      <c r="F2" s="74"/>
      <c r="G2" s="74"/>
      <c r="H2" s="74"/>
      <c r="I2" s="74"/>
      <c r="J2" s="74"/>
    </row>
    <row r="3" spans="1:13" x14ac:dyDescent="0.25">
      <c r="A3" s="214" t="s">
        <v>66</v>
      </c>
      <c r="B3" s="215"/>
      <c r="C3" s="75">
        <f t="shared" ref="C3:H3" si="0">D3-1</f>
        <v>2016</v>
      </c>
      <c r="D3" s="75">
        <f t="shared" si="0"/>
        <v>2017</v>
      </c>
      <c r="E3" s="75">
        <f t="shared" si="0"/>
        <v>2018</v>
      </c>
      <c r="F3" s="75">
        <f t="shared" si="0"/>
        <v>2019</v>
      </c>
      <c r="G3" s="75">
        <f t="shared" si="0"/>
        <v>2020</v>
      </c>
      <c r="H3" s="75">
        <f t="shared" si="0"/>
        <v>2021</v>
      </c>
      <c r="I3" s="75">
        <f>J3-1</f>
        <v>2022</v>
      </c>
      <c r="J3" s="75">
        <v>2023</v>
      </c>
      <c r="K3" s="75">
        <v>2024</v>
      </c>
    </row>
    <row r="4" spans="1:13" x14ac:dyDescent="0.25">
      <c r="A4" s="216" t="s">
        <v>43</v>
      </c>
      <c r="B4" s="76" t="s">
        <v>8</v>
      </c>
      <c r="C4" s="77">
        <v>35.027230600000003</v>
      </c>
      <c r="D4" s="77">
        <v>35.755793300000001</v>
      </c>
      <c r="E4" s="77">
        <v>35.766695499999997</v>
      </c>
      <c r="F4" s="77">
        <v>37.1102767</v>
      </c>
      <c r="G4" s="77">
        <v>36.955217500000003</v>
      </c>
      <c r="H4" s="77">
        <v>37.435271800000002</v>
      </c>
      <c r="I4" s="77">
        <v>39.204056999999999</v>
      </c>
      <c r="J4" s="77">
        <v>38.881406499999997</v>
      </c>
      <c r="K4" s="77">
        <v>35.883780000000002</v>
      </c>
      <c r="L4" s="91"/>
      <c r="M4" s="91"/>
    </row>
    <row r="5" spans="1:13" x14ac:dyDescent="0.25">
      <c r="A5" s="217"/>
      <c r="B5" s="78" t="s">
        <v>9</v>
      </c>
      <c r="C5" s="77">
        <v>39.872219999999999</v>
      </c>
      <c r="D5" s="77">
        <v>40.696480399999999</v>
      </c>
      <c r="E5" s="77">
        <v>41.386041300000002</v>
      </c>
      <c r="F5" s="77">
        <v>42.3660122</v>
      </c>
      <c r="G5" s="77">
        <v>42.317641000000002</v>
      </c>
      <c r="H5" s="77">
        <v>42.618151099999999</v>
      </c>
      <c r="I5" s="77">
        <v>44.0911556</v>
      </c>
      <c r="J5" s="77">
        <v>44.185056400000001</v>
      </c>
      <c r="K5" s="77">
        <v>41.556710000000002</v>
      </c>
      <c r="L5" s="91"/>
      <c r="M5" s="91"/>
    </row>
    <row r="6" spans="1:13" x14ac:dyDescent="0.25">
      <c r="A6" s="218" t="s">
        <v>44</v>
      </c>
      <c r="B6" s="76" t="s">
        <v>45</v>
      </c>
      <c r="C6" s="79">
        <v>47.811726399999998</v>
      </c>
      <c r="D6" s="79">
        <v>47.7624669</v>
      </c>
      <c r="E6" s="79">
        <v>47.938273700000003</v>
      </c>
      <c r="F6" s="79">
        <v>50.7946703</v>
      </c>
      <c r="G6" s="79">
        <v>49.957295100000003</v>
      </c>
      <c r="H6" s="79">
        <v>50.356058900000001</v>
      </c>
      <c r="I6" s="79">
        <v>51.881603400000003</v>
      </c>
      <c r="J6" s="79">
        <v>51.412661700000001</v>
      </c>
      <c r="K6" s="79">
        <v>47.63015</v>
      </c>
      <c r="L6" s="91"/>
      <c r="M6" s="91"/>
    </row>
    <row r="7" spans="1:13" x14ac:dyDescent="0.25">
      <c r="A7" s="219"/>
      <c r="B7" s="76" t="s">
        <v>46</v>
      </c>
      <c r="C7" s="77">
        <v>42.264457200000003</v>
      </c>
      <c r="D7" s="77">
        <v>42.579348899999999</v>
      </c>
      <c r="E7" s="77">
        <v>42.564779999999999</v>
      </c>
      <c r="F7" s="77">
        <v>44.275074600000003</v>
      </c>
      <c r="G7" s="77">
        <v>44.155722400000002</v>
      </c>
      <c r="H7" s="77">
        <v>44.571563099999999</v>
      </c>
      <c r="I7" s="77">
        <v>46.078447799999999</v>
      </c>
      <c r="J7" s="77">
        <v>46.074281200000001</v>
      </c>
      <c r="K7" s="77">
        <v>42.114339999999999</v>
      </c>
      <c r="L7" s="91"/>
      <c r="M7" s="91"/>
    </row>
    <row r="8" spans="1:13" x14ac:dyDescent="0.25">
      <c r="A8" s="219"/>
      <c r="B8" s="76" t="s">
        <v>47</v>
      </c>
      <c r="C8" s="77">
        <v>29.589628999999999</v>
      </c>
      <c r="D8" s="77">
        <v>30.701174200000001</v>
      </c>
      <c r="E8" s="77">
        <v>31.0314789</v>
      </c>
      <c r="F8" s="77">
        <v>32.511378000000001</v>
      </c>
      <c r="G8" s="77">
        <v>32.596702100000002</v>
      </c>
      <c r="H8" s="77">
        <v>33.363025800000003</v>
      </c>
      <c r="I8" s="77">
        <v>35.218360099999998</v>
      </c>
      <c r="J8" s="77">
        <v>35.389512400000001</v>
      </c>
      <c r="K8" s="77">
        <v>31.90663</v>
      </c>
      <c r="L8" s="91"/>
      <c r="M8" s="91"/>
    </row>
    <row r="9" spans="1:13" x14ac:dyDescent="0.25">
      <c r="A9" s="219"/>
      <c r="B9" s="76" t="s">
        <v>48</v>
      </c>
      <c r="C9" s="77">
        <v>22.7101644</v>
      </c>
      <c r="D9" s="77">
        <v>23.515683299999999</v>
      </c>
      <c r="E9" s="77">
        <v>23.633026099999999</v>
      </c>
      <c r="F9" s="77">
        <v>24.319752399999999</v>
      </c>
      <c r="G9" s="77">
        <v>24.3346895</v>
      </c>
      <c r="H9" s="77">
        <v>24.958467899999999</v>
      </c>
      <c r="I9" s="77">
        <v>26.947286500000001</v>
      </c>
      <c r="J9" s="77">
        <v>26.950657799999998</v>
      </c>
      <c r="K9" s="77">
        <v>24.85239</v>
      </c>
      <c r="L9" s="91"/>
      <c r="M9" s="91"/>
    </row>
    <row r="10" spans="1:13" x14ac:dyDescent="0.25">
      <c r="A10" s="219"/>
      <c r="B10" s="76" t="s">
        <v>49</v>
      </c>
      <c r="C10" s="77">
        <v>37.457091800000001</v>
      </c>
      <c r="D10" s="77">
        <v>38.445362500000002</v>
      </c>
      <c r="E10" s="77">
        <v>38.008249900000003</v>
      </c>
      <c r="F10" s="77">
        <v>37.3253038</v>
      </c>
      <c r="G10" s="77">
        <v>37.147337499999999</v>
      </c>
      <c r="H10" s="77">
        <v>36.871598300000002</v>
      </c>
      <c r="I10" s="77">
        <v>38.6400972</v>
      </c>
      <c r="J10" s="77">
        <v>37.784829199999997</v>
      </c>
      <c r="K10" s="77">
        <v>35.400590000000001</v>
      </c>
      <c r="L10" s="91"/>
      <c r="M10" s="91"/>
    </row>
    <row r="11" spans="1:13" x14ac:dyDescent="0.25">
      <c r="A11" s="219"/>
      <c r="B11" s="78" t="s">
        <v>50</v>
      </c>
      <c r="C11" s="80">
        <v>85.840149100000005</v>
      </c>
      <c r="D11" s="80">
        <v>85.096882199999996</v>
      </c>
      <c r="E11" s="80">
        <v>84.870309899999995</v>
      </c>
      <c r="F11" s="80">
        <v>84.360979999999998</v>
      </c>
      <c r="G11" s="80">
        <v>84.577925699999994</v>
      </c>
      <c r="H11" s="80">
        <v>84.241135600000007</v>
      </c>
      <c r="I11" s="80">
        <v>84.706701100000004</v>
      </c>
      <c r="J11" s="80">
        <v>84.075216699999999</v>
      </c>
      <c r="K11" s="80">
        <v>82.927660000000003</v>
      </c>
      <c r="L11" s="91"/>
      <c r="M11" s="91"/>
    </row>
    <row r="12" spans="1:13" x14ac:dyDescent="0.25">
      <c r="A12" s="220" t="s">
        <v>51</v>
      </c>
      <c r="B12" s="81" t="s">
        <v>52</v>
      </c>
      <c r="C12" s="77">
        <v>39.615916900000002</v>
      </c>
      <c r="D12" s="77">
        <v>40.710153200000001</v>
      </c>
      <c r="E12" s="77">
        <v>38.458977300000001</v>
      </c>
      <c r="F12" s="77">
        <v>39.998686999999997</v>
      </c>
      <c r="G12" s="77">
        <v>39.830001000000003</v>
      </c>
      <c r="H12" s="77">
        <v>40.613404099999997</v>
      </c>
      <c r="I12" s="77">
        <v>41.7138323</v>
      </c>
      <c r="J12" s="77">
        <v>41.167344499999999</v>
      </c>
      <c r="K12" s="77">
        <v>37.367649999999998</v>
      </c>
      <c r="L12" s="91"/>
      <c r="M12" s="91"/>
    </row>
    <row r="13" spans="1:13" x14ac:dyDescent="0.25">
      <c r="A13" s="221"/>
      <c r="B13" s="76" t="s">
        <v>53</v>
      </c>
      <c r="C13" s="77">
        <v>35.966338800000003</v>
      </c>
      <c r="D13" s="77">
        <v>36.867146900000002</v>
      </c>
      <c r="E13" s="77">
        <v>38.973493099999999</v>
      </c>
      <c r="F13" s="77">
        <v>40.514059400000001</v>
      </c>
      <c r="G13" s="77">
        <v>40.686075899999999</v>
      </c>
      <c r="H13" s="77">
        <v>40.544438800000002</v>
      </c>
      <c r="I13" s="77">
        <v>42.616233999999999</v>
      </c>
      <c r="J13" s="77">
        <v>42.4855892</v>
      </c>
      <c r="K13" s="77">
        <v>40.01688</v>
      </c>
      <c r="L13" s="91"/>
      <c r="M13" s="91"/>
    </row>
    <row r="14" spans="1:13" x14ac:dyDescent="0.25">
      <c r="A14" s="221"/>
      <c r="B14" s="76" t="s">
        <v>54</v>
      </c>
      <c r="C14" s="77">
        <v>32.276321899999999</v>
      </c>
      <c r="D14" s="77">
        <v>32.081515500000002</v>
      </c>
      <c r="E14" s="77">
        <v>33.403882199999998</v>
      </c>
      <c r="F14" s="77">
        <v>33.605156600000001</v>
      </c>
      <c r="G14" s="77">
        <v>33.149540299999998</v>
      </c>
      <c r="H14" s="77">
        <v>33.912990299999997</v>
      </c>
      <c r="I14" s="77">
        <v>35.985431300000002</v>
      </c>
      <c r="J14" s="77">
        <v>36.286353300000002</v>
      </c>
      <c r="K14" s="77">
        <v>34.218710000000002</v>
      </c>
      <c r="L14" s="91"/>
      <c r="M14" s="91"/>
    </row>
    <row r="15" spans="1:13" x14ac:dyDescent="0.25">
      <c r="A15" s="222" t="s">
        <v>55</v>
      </c>
      <c r="B15" s="223"/>
      <c r="C15" s="82">
        <v>36.608910700000003</v>
      </c>
      <c r="D15" s="82">
        <v>37.369241799999998</v>
      </c>
      <c r="E15" s="82">
        <v>37.586800500000003</v>
      </c>
      <c r="F15" s="82">
        <v>38.810844000000003</v>
      </c>
      <c r="G15" s="82">
        <v>38.6834007</v>
      </c>
      <c r="H15" s="82">
        <v>39.101832199999997</v>
      </c>
      <c r="I15" s="82">
        <v>40.763723200000001</v>
      </c>
      <c r="J15" s="82">
        <v>40.553024999999998</v>
      </c>
      <c r="K15" s="82">
        <v>37.632289999999998</v>
      </c>
      <c r="L15" s="92"/>
      <c r="M15" s="92"/>
    </row>
    <row r="16" spans="1:13" x14ac:dyDescent="0.25">
      <c r="A16" s="83" t="s">
        <v>0</v>
      </c>
      <c r="B16" s="84"/>
      <c r="C16" s="84"/>
      <c r="D16" s="84"/>
      <c r="E16" s="84"/>
      <c r="F16" s="84"/>
      <c r="G16" s="84"/>
      <c r="H16" s="84"/>
      <c r="I16" s="84"/>
      <c r="J16" s="84"/>
      <c r="K16" s="91"/>
      <c r="L16" s="91"/>
      <c r="M16" s="91"/>
    </row>
    <row r="17" spans="1:13" x14ac:dyDescent="0.25">
      <c r="A17" s="85" t="s">
        <v>67</v>
      </c>
      <c r="B17" s="86"/>
      <c r="C17" s="86"/>
      <c r="D17" s="86"/>
      <c r="E17" s="86"/>
      <c r="F17" s="86"/>
      <c r="G17" s="86"/>
      <c r="H17" s="86"/>
      <c r="I17" s="86"/>
      <c r="J17" s="86"/>
      <c r="K17" s="91"/>
      <c r="L17" s="91"/>
      <c r="M17" s="91"/>
    </row>
    <row r="18" spans="1:13" x14ac:dyDescent="0.25">
      <c r="A18" s="85" t="s">
        <v>64</v>
      </c>
    </row>
    <row r="19" spans="1:13" x14ac:dyDescent="0.25">
      <c r="A19" s="87" t="s">
        <v>68</v>
      </c>
      <c r="B19" s="94"/>
    </row>
    <row r="20" spans="1:13" x14ac:dyDescent="0.25">
      <c r="B20" s="94"/>
    </row>
    <row r="21" spans="1:13" x14ac:dyDescent="0.25">
      <c r="B21" s="97"/>
    </row>
  </sheetData>
  <mergeCells count="5">
    <mergeCell ref="A3:B3"/>
    <mergeCell ref="A4:A5"/>
    <mergeCell ref="A6:A11"/>
    <mergeCell ref="A12:A14"/>
    <mergeCell ref="A15:B1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D3EC-0B81-4C33-9D15-7CD809D34060}">
  <dimension ref="A1:K14"/>
  <sheetViews>
    <sheetView showGridLines="0" workbookViewId="0"/>
  </sheetViews>
  <sheetFormatPr baseColWidth="10" defaultRowHeight="15" x14ac:dyDescent="0.25"/>
  <cols>
    <col min="2" max="2" width="25.85546875" customWidth="1"/>
  </cols>
  <sheetData>
    <row r="1" spans="1:11" x14ac:dyDescent="0.25">
      <c r="A1" s="71" t="s">
        <v>63</v>
      </c>
      <c r="B1" s="72"/>
      <c r="C1" s="72"/>
      <c r="D1" s="72"/>
      <c r="E1" s="72"/>
      <c r="F1" s="72"/>
      <c r="G1" s="72"/>
      <c r="H1" s="72"/>
      <c r="I1" s="72"/>
      <c r="J1" s="72"/>
    </row>
    <row r="2" spans="1:11" x14ac:dyDescent="0.25">
      <c r="A2" s="73" t="s">
        <v>25</v>
      </c>
      <c r="B2" s="74"/>
      <c r="C2" s="74"/>
      <c r="D2" s="74"/>
      <c r="E2" s="74"/>
      <c r="F2" s="74"/>
      <c r="G2" s="74"/>
      <c r="H2" s="74"/>
      <c r="I2" s="74"/>
      <c r="J2" s="74"/>
    </row>
    <row r="3" spans="1:11" x14ac:dyDescent="0.25">
      <c r="A3" s="214" t="s">
        <v>66</v>
      </c>
      <c r="B3" s="215"/>
      <c r="C3" s="75">
        <f t="shared" ref="C3:H3" si="0">D3-1</f>
        <v>2016</v>
      </c>
      <c r="D3" s="75">
        <f t="shared" si="0"/>
        <v>2017</v>
      </c>
      <c r="E3" s="75">
        <f t="shared" si="0"/>
        <v>2018</v>
      </c>
      <c r="F3" s="75">
        <f t="shared" si="0"/>
        <v>2019</v>
      </c>
      <c r="G3" s="75">
        <f t="shared" si="0"/>
        <v>2020</v>
      </c>
      <c r="H3" s="75">
        <f t="shared" si="0"/>
        <v>2021</v>
      </c>
      <c r="I3" s="75">
        <f>J3-1</f>
        <v>2022</v>
      </c>
      <c r="J3" s="75">
        <v>2023</v>
      </c>
      <c r="K3" s="75">
        <v>2024</v>
      </c>
    </row>
    <row r="4" spans="1:11" x14ac:dyDescent="0.25">
      <c r="A4" s="216" t="s">
        <v>43</v>
      </c>
      <c r="B4" s="76" t="s">
        <v>8</v>
      </c>
      <c r="C4" s="77">
        <v>61.881947099999998</v>
      </c>
      <c r="D4" s="77">
        <v>63.3657161</v>
      </c>
      <c r="E4" s="77">
        <v>65.922444200000001</v>
      </c>
      <c r="F4" s="77">
        <v>65.527620400000004</v>
      </c>
      <c r="G4" s="77">
        <v>67.110978000000003</v>
      </c>
      <c r="H4" s="77">
        <v>66.312997300000006</v>
      </c>
      <c r="I4" s="77">
        <v>69.710068500000006</v>
      </c>
      <c r="J4" s="77">
        <v>70.547550400000006</v>
      </c>
      <c r="K4" s="77">
        <v>63.990780000000001</v>
      </c>
    </row>
    <row r="5" spans="1:11" x14ac:dyDescent="0.25">
      <c r="A5" s="217"/>
      <c r="B5" s="78" t="s">
        <v>9</v>
      </c>
      <c r="C5" s="80">
        <v>73.973663799999997</v>
      </c>
      <c r="D5" s="80">
        <v>75.318268599999996</v>
      </c>
      <c r="E5" s="80">
        <v>77.122877099999997</v>
      </c>
      <c r="F5" s="80">
        <v>75.230296800000005</v>
      </c>
      <c r="G5" s="80">
        <v>75.062016600000007</v>
      </c>
      <c r="H5" s="80">
        <v>73.199350899999999</v>
      </c>
      <c r="I5" s="80">
        <v>75.324203100000005</v>
      </c>
      <c r="J5" s="80">
        <v>75.656349000000006</v>
      </c>
      <c r="K5" s="80">
        <v>70.709760000000003</v>
      </c>
    </row>
    <row r="6" spans="1:11" x14ac:dyDescent="0.25">
      <c r="A6" s="220" t="s">
        <v>51</v>
      </c>
      <c r="B6" s="81" t="s">
        <v>52</v>
      </c>
      <c r="C6" s="77">
        <v>76.217765</v>
      </c>
      <c r="D6" s="77">
        <v>75.586206899999993</v>
      </c>
      <c r="E6" s="77">
        <v>75.876577800000007</v>
      </c>
      <c r="F6" s="77">
        <v>77.439797200000001</v>
      </c>
      <c r="G6" s="77">
        <v>77.553837700000003</v>
      </c>
      <c r="H6" s="77">
        <v>72.985507200000001</v>
      </c>
      <c r="I6" s="77">
        <v>75.280618599999997</v>
      </c>
      <c r="J6" s="77">
        <v>75.466246400000003</v>
      </c>
      <c r="K6" s="77">
        <v>69.597070000000002</v>
      </c>
    </row>
    <row r="7" spans="1:11" x14ac:dyDescent="0.25">
      <c r="A7" s="221"/>
      <c r="B7" s="76" t="s">
        <v>53</v>
      </c>
      <c r="C7" s="77">
        <v>68.935076499999994</v>
      </c>
      <c r="D7" s="77">
        <v>70.628799599999994</v>
      </c>
      <c r="E7" s="77">
        <v>72.258003400000007</v>
      </c>
      <c r="F7" s="77">
        <v>70.806899299999998</v>
      </c>
      <c r="G7" s="77">
        <v>69.458180999999996</v>
      </c>
      <c r="H7" s="77">
        <v>67.804186700000002</v>
      </c>
      <c r="I7" s="77">
        <v>70.599911800000001</v>
      </c>
      <c r="J7" s="77">
        <v>72.368421100000006</v>
      </c>
      <c r="K7" s="77">
        <v>66.515649999999994</v>
      </c>
    </row>
    <row r="8" spans="1:11" x14ac:dyDescent="0.25">
      <c r="A8" s="221"/>
      <c r="B8" s="76" t="s">
        <v>54</v>
      </c>
      <c r="C8" s="77">
        <v>47.346938799999997</v>
      </c>
      <c r="D8" s="77">
        <v>48.369565199999997</v>
      </c>
      <c r="E8" s="77">
        <v>56.213872799999997</v>
      </c>
      <c r="F8" s="77">
        <v>56.3981043</v>
      </c>
      <c r="G8" s="77">
        <v>58.5808581</v>
      </c>
      <c r="H8" s="77">
        <v>58.852459000000003</v>
      </c>
      <c r="I8" s="77">
        <v>59.846153800000003</v>
      </c>
      <c r="J8" s="77">
        <v>61.546499500000003</v>
      </c>
      <c r="K8" s="77">
        <v>62.406019999999998</v>
      </c>
    </row>
    <row r="9" spans="1:11" x14ac:dyDescent="0.25">
      <c r="A9" s="222" t="s">
        <v>55</v>
      </c>
      <c r="B9" s="223"/>
      <c r="C9" s="82">
        <v>67.896359099999998</v>
      </c>
      <c r="D9" s="82">
        <v>69.295752399999998</v>
      </c>
      <c r="E9" s="82">
        <v>71.545598900000002</v>
      </c>
      <c r="F9" s="82">
        <v>70.469157300000006</v>
      </c>
      <c r="G9" s="82">
        <v>71.138211400000003</v>
      </c>
      <c r="H9" s="82">
        <v>69.619949599999998</v>
      </c>
      <c r="I9" s="82">
        <v>72.321831299999999</v>
      </c>
      <c r="J9" s="82">
        <v>73.023416999999995</v>
      </c>
      <c r="K9" s="82">
        <v>67.31626</v>
      </c>
    </row>
    <row r="10" spans="1:11" x14ac:dyDescent="0.25">
      <c r="A10" s="83" t="s">
        <v>0</v>
      </c>
      <c r="B10" s="84"/>
      <c r="C10" s="84"/>
      <c r="D10" s="84"/>
      <c r="E10" s="84"/>
      <c r="F10" s="84"/>
      <c r="G10" s="84"/>
      <c r="H10" s="84"/>
      <c r="I10" s="84"/>
      <c r="J10" s="84"/>
    </row>
    <row r="11" spans="1:11" x14ac:dyDescent="0.25">
      <c r="A11" s="85" t="s">
        <v>69</v>
      </c>
      <c r="B11" s="86"/>
      <c r="C11" s="86"/>
      <c r="D11" s="86"/>
      <c r="E11" s="86"/>
      <c r="F11" s="86"/>
      <c r="G11" s="86"/>
      <c r="H11" s="86"/>
      <c r="I11" s="86"/>
      <c r="J11" s="86"/>
    </row>
    <row r="12" spans="1:11" x14ac:dyDescent="0.25">
      <c r="A12" s="87" t="s">
        <v>65</v>
      </c>
    </row>
    <row r="13" spans="1:11" x14ac:dyDescent="0.25">
      <c r="A13" s="87" t="s">
        <v>70</v>
      </c>
    </row>
    <row r="14" spans="1:11" x14ac:dyDescent="0.25">
      <c r="C14" s="94"/>
    </row>
  </sheetData>
  <mergeCells count="4">
    <mergeCell ref="A3:B3"/>
    <mergeCell ref="A4:A5"/>
    <mergeCell ref="A6:A8"/>
    <mergeCell ref="A9:B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CF2-ED30-4FB9-AB99-E3AC76118CFE}">
  <dimension ref="A1:AK68"/>
  <sheetViews>
    <sheetView zoomScaleNormal="100" workbookViewId="0"/>
  </sheetViews>
  <sheetFormatPr baseColWidth="10" defaultRowHeight="15" x14ac:dyDescent="0.25"/>
  <cols>
    <col min="1" max="13" width="11.42578125" style="101"/>
    <col min="14" max="14" width="15.5703125" style="101" customWidth="1"/>
    <col min="15" max="15" width="14.7109375" style="101" customWidth="1"/>
    <col min="16" max="17" width="11.42578125" style="101"/>
    <col min="18" max="18" width="14.85546875" style="101" customWidth="1"/>
    <col min="19" max="19" width="12.28515625" style="101" bestFit="1" customWidth="1"/>
    <col min="20" max="21" width="11.42578125" style="101"/>
    <col min="22" max="22" width="14.7109375" style="101" customWidth="1"/>
    <col min="23" max="23" width="13.42578125" style="101" customWidth="1"/>
    <col min="24" max="25" width="11.42578125" style="101"/>
    <col min="26" max="26" width="14.5703125" style="101" customWidth="1"/>
    <col min="27" max="27" width="13.7109375" style="101" customWidth="1"/>
    <col min="28" max="29" width="11.42578125" style="101"/>
    <col min="30" max="30" width="15.85546875" style="101" customWidth="1"/>
    <col min="31" max="31" width="12.28515625" style="101" bestFit="1" customWidth="1"/>
    <col min="32" max="32" width="11.42578125" style="101"/>
    <col min="33" max="33" width="12.42578125" style="101" customWidth="1"/>
    <col min="34" max="34" width="14.85546875" style="101" customWidth="1"/>
    <col min="35" max="35" width="12.28515625" style="101" bestFit="1" customWidth="1"/>
    <col min="36" max="16384" width="11.42578125" style="101"/>
  </cols>
  <sheetData>
    <row r="1" spans="1:37" x14ac:dyDescent="0.25">
      <c r="A1" s="100" t="s">
        <v>80</v>
      </c>
      <c r="M1" s="100"/>
      <c r="N1" s="98"/>
      <c r="O1" s="98"/>
      <c r="P1" s="98"/>
      <c r="Q1" s="98"/>
      <c r="R1" s="98"/>
      <c r="S1" s="98"/>
      <c r="T1" s="98"/>
      <c r="U1" s="98"/>
    </row>
    <row r="2" spans="1:37" x14ac:dyDescent="0.25">
      <c r="M2" s="100"/>
      <c r="N2" s="98"/>
      <c r="O2" s="98"/>
      <c r="P2" s="98"/>
      <c r="Q2" s="98"/>
      <c r="R2" s="98"/>
      <c r="S2" s="98"/>
      <c r="T2" s="98"/>
      <c r="U2" s="98"/>
    </row>
    <row r="3" spans="1:37" x14ac:dyDescent="0.25">
      <c r="M3" s="98" t="s">
        <v>25</v>
      </c>
      <c r="N3" s="98"/>
      <c r="O3" s="98"/>
      <c r="P3" s="98"/>
      <c r="Q3" s="98"/>
      <c r="R3" s="98"/>
      <c r="S3" s="98"/>
      <c r="T3" s="98"/>
      <c r="U3" s="98"/>
    </row>
    <row r="4" spans="1:37" x14ac:dyDescent="0.25">
      <c r="M4" s="102"/>
      <c r="N4" s="224" t="s">
        <v>82</v>
      </c>
      <c r="O4" s="225"/>
      <c r="P4" s="225"/>
      <c r="Q4" s="225"/>
      <c r="R4" s="224" t="s">
        <v>83</v>
      </c>
      <c r="S4" s="225"/>
      <c r="T4" s="225"/>
      <c r="U4" s="226"/>
      <c r="V4" s="224" t="s">
        <v>84</v>
      </c>
      <c r="W4" s="225"/>
      <c r="X4" s="225"/>
      <c r="Y4" s="225"/>
      <c r="Z4" s="224" t="s">
        <v>85</v>
      </c>
      <c r="AA4" s="225"/>
      <c r="AB4" s="225"/>
      <c r="AC4" s="226"/>
      <c r="AD4" s="224" t="s">
        <v>86</v>
      </c>
      <c r="AE4" s="225"/>
      <c r="AF4" s="225"/>
      <c r="AG4" s="225"/>
      <c r="AH4" s="224" t="s">
        <v>87</v>
      </c>
      <c r="AI4" s="225"/>
      <c r="AJ4" s="225"/>
      <c r="AK4" s="226"/>
    </row>
    <row r="5" spans="1:37" x14ac:dyDescent="0.25">
      <c r="M5" s="99" t="s">
        <v>75</v>
      </c>
      <c r="N5" s="103" t="s">
        <v>4</v>
      </c>
      <c r="O5" s="103" t="s">
        <v>3</v>
      </c>
      <c r="P5" s="103" t="s">
        <v>8</v>
      </c>
      <c r="Q5" s="103" t="s">
        <v>9</v>
      </c>
      <c r="R5" s="103" t="s">
        <v>4</v>
      </c>
      <c r="S5" s="103" t="s">
        <v>3</v>
      </c>
      <c r="T5" s="103" t="s">
        <v>8</v>
      </c>
      <c r="U5" s="103" t="s">
        <v>9</v>
      </c>
      <c r="V5" s="103" t="s">
        <v>4</v>
      </c>
      <c r="W5" s="103" t="s">
        <v>3</v>
      </c>
      <c r="X5" s="103" t="s">
        <v>8</v>
      </c>
      <c r="Y5" s="103" t="s">
        <v>9</v>
      </c>
      <c r="Z5" s="103" t="s">
        <v>4</v>
      </c>
      <c r="AA5" s="103" t="s">
        <v>3</v>
      </c>
      <c r="AB5" s="103" t="s">
        <v>8</v>
      </c>
      <c r="AC5" s="103" t="s">
        <v>9</v>
      </c>
      <c r="AD5" s="103" t="s">
        <v>4</v>
      </c>
      <c r="AE5" s="103" t="s">
        <v>3</v>
      </c>
      <c r="AF5" s="103" t="s">
        <v>8</v>
      </c>
      <c r="AG5" s="103" t="s">
        <v>9</v>
      </c>
      <c r="AH5" s="103" t="s">
        <v>4</v>
      </c>
      <c r="AI5" s="103" t="s">
        <v>3</v>
      </c>
      <c r="AJ5" s="103" t="s">
        <v>8</v>
      </c>
      <c r="AK5" s="103" t="s">
        <v>9</v>
      </c>
    </row>
    <row r="6" spans="1:37" x14ac:dyDescent="0.25">
      <c r="M6" s="104">
        <v>15</v>
      </c>
      <c r="N6" s="105">
        <v>0</v>
      </c>
      <c r="O6" s="105">
        <v>0</v>
      </c>
      <c r="P6" s="105">
        <v>0.01</v>
      </c>
      <c r="Q6" s="105">
        <v>0.06</v>
      </c>
      <c r="R6" s="105">
        <v>0</v>
      </c>
      <c r="S6" s="105">
        <v>0</v>
      </c>
      <c r="T6" s="105">
        <v>0</v>
      </c>
      <c r="U6" s="105">
        <v>0</v>
      </c>
      <c r="V6" s="105">
        <v>0</v>
      </c>
      <c r="W6" s="105">
        <v>0.01</v>
      </c>
      <c r="X6" s="105">
        <v>0.09</v>
      </c>
      <c r="Y6" s="105">
        <v>0.42</v>
      </c>
      <c r="Z6" s="105">
        <v>0</v>
      </c>
      <c r="AA6" s="105">
        <v>0.01</v>
      </c>
      <c r="AB6" s="105">
        <v>0.01</v>
      </c>
      <c r="AC6" s="105">
        <v>0</v>
      </c>
      <c r="AD6" s="105">
        <v>0</v>
      </c>
      <c r="AE6" s="105">
        <v>0</v>
      </c>
      <c r="AF6" s="105">
        <v>0</v>
      </c>
      <c r="AG6" s="105">
        <v>0.04</v>
      </c>
      <c r="AH6" s="105">
        <v>0</v>
      </c>
      <c r="AI6" s="105">
        <v>0</v>
      </c>
      <c r="AJ6" s="105">
        <v>0</v>
      </c>
      <c r="AK6" s="105">
        <v>0</v>
      </c>
    </row>
    <row r="7" spans="1:37" x14ac:dyDescent="0.25">
      <c r="M7" s="104">
        <v>16</v>
      </c>
      <c r="N7" s="105">
        <v>0</v>
      </c>
      <c r="O7" s="105">
        <v>0</v>
      </c>
      <c r="P7" s="105">
        <v>0.03</v>
      </c>
      <c r="Q7" s="105">
        <v>0.11</v>
      </c>
      <c r="R7" s="105">
        <v>0</v>
      </c>
      <c r="S7" s="105">
        <v>0</v>
      </c>
      <c r="T7" s="105">
        <v>0.01</v>
      </c>
      <c r="U7" s="105">
        <v>0</v>
      </c>
      <c r="V7" s="105">
        <v>0</v>
      </c>
      <c r="W7" s="105">
        <v>0.3</v>
      </c>
      <c r="X7" s="105">
        <v>0.35</v>
      </c>
      <c r="Y7" s="105">
        <v>0.75</v>
      </c>
      <c r="Z7" s="105">
        <v>0</v>
      </c>
      <c r="AA7" s="105">
        <v>0.02</v>
      </c>
      <c r="AB7" s="105">
        <v>0.1</v>
      </c>
      <c r="AC7" s="105">
        <v>0.01</v>
      </c>
      <c r="AD7" s="105">
        <v>0</v>
      </c>
      <c r="AE7" s="105">
        <v>0.01</v>
      </c>
      <c r="AF7" s="105">
        <v>0.02</v>
      </c>
      <c r="AG7" s="105">
        <v>7.0000000000000007E-2</v>
      </c>
      <c r="AH7" s="105">
        <v>0</v>
      </c>
      <c r="AI7" s="105">
        <v>0</v>
      </c>
      <c r="AJ7" s="105">
        <v>0.02</v>
      </c>
      <c r="AK7" s="105">
        <v>0</v>
      </c>
    </row>
    <row r="8" spans="1:37" x14ac:dyDescent="0.25">
      <c r="M8" s="104">
        <v>17</v>
      </c>
      <c r="N8" s="105">
        <v>0</v>
      </c>
      <c r="O8" s="105">
        <v>0.01</v>
      </c>
      <c r="P8" s="105">
        <v>0.04</v>
      </c>
      <c r="Q8" s="105">
        <v>0.12</v>
      </c>
      <c r="R8" s="105">
        <v>0</v>
      </c>
      <c r="S8" s="105">
        <v>0.01</v>
      </c>
      <c r="T8" s="105">
        <v>0.04</v>
      </c>
      <c r="U8" s="105">
        <v>0</v>
      </c>
      <c r="V8" s="105">
        <v>0.04</v>
      </c>
      <c r="W8" s="105">
        <v>1.08</v>
      </c>
      <c r="X8" s="105">
        <v>1.1000000000000001</v>
      </c>
      <c r="Y8" s="105">
        <v>1.31</v>
      </c>
      <c r="Z8" s="105">
        <v>0</v>
      </c>
      <c r="AA8" s="105">
        <v>0.33</v>
      </c>
      <c r="AB8" s="105">
        <v>0.65</v>
      </c>
      <c r="AC8" s="105">
        <v>0.27</v>
      </c>
      <c r="AD8" s="105">
        <v>0</v>
      </c>
      <c r="AE8" s="105">
        <v>0.05</v>
      </c>
      <c r="AF8" s="105">
        <v>7.0000000000000007E-2</v>
      </c>
      <c r="AG8" s="105">
        <v>0.13</v>
      </c>
      <c r="AH8" s="105">
        <v>0</v>
      </c>
      <c r="AI8" s="105">
        <v>0.01</v>
      </c>
      <c r="AJ8" s="105">
        <v>0.03</v>
      </c>
      <c r="AK8" s="105">
        <v>0.01</v>
      </c>
    </row>
    <row r="9" spans="1:37" x14ac:dyDescent="0.25">
      <c r="M9" s="104">
        <v>18</v>
      </c>
      <c r="N9" s="105">
        <v>7.0000000000000007E-2</v>
      </c>
      <c r="O9" s="105">
        <v>0.53</v>
      </c>
      <c r="P9" s="105">
        <v>0.51</v>
      </c>
      <c r="Q9" s="105">
        <v>0.83</v>
      </c>
      <c r="R9" s="105">
        <v>0</v>
      </c>
      <c r="S9" s="105">
        <v>0.02</v>
      </c>
      <c r="T9" s="105">
        <v>0.11</v>
      </c>
      <c r="U9" s="105">
        <v>0.04</v>
      </c>
      <c r="V9" s="105">
        <v>0.11</v>
      </c>
      <c r="W9" s="105">
        <v>2.89</v>
      </c>
      <c r="X9" s="105">
        <v>2.79</v>
      </c>
      <c r="Y9" s="105">
        <v>3.3</v>
      </c>
      <c r="Z9" s="105">
        <v>0</v>
      </c>
      <c r="AA9" s="105">
        <v>1.25</v>
      </c>
      <c r="AB9" s="105">
        <v>1.2</v>
      </c>
      <c r="AC9" s="105">
        <v>0.89</v>
      </c>
      <c r="AD9" s="105">
        <v>0</v>
      </c>
      <c r="AE9" s="105">
        <v>1.1499999999999999</v>
      </c>
      <c r="AF9" s="105">
        <v>1.01</v>
      </c>
      <c r="AG9" s="105">
        <v>0.98</v>
      </c>
      <c r="AH9" s="105">
        <v>0</v>
      </c>
      <c r="AI9" s="105">
        <v>0.08</v>
      </c>
      <c r="AJ9" s="105">
        <v>7.0000000000000007E-2</v>
      </c>
      <c r="AK9" s="105">
        <v>0.06</v>
      </c>
    </row>
    <row r="10" spans="1:37" x14ac:dyDescent="0.25">
      <c r="M10" s="106">
        <v>19</v>
      </c>
      <c r="N10" s="105">
        <v>0.83</v>
      </c>
      <c r="O10" s="105">
        <v>1.88</v>
      </c>
      <c r="P10" s="105">
        <v>1.58</v>
      </c>
      <c r="Q10" s="105">
        <v>2.2200000000000002</v>
      </c>
      <c r="R10" s="105">
        <v>0</v>
      </c>
      <c r="S10" s="105">
        <v>0.4</v>
      </c>
      <c r="T10" s="105">
        <v>0.4</v>
      </c>
      <c r="U10" s="105">
        <v>0.28999999999999998</v>
      </c>
      <c r="V10" s="105">
        <v>0.37</v>
      </c>
      <c r="W10" s="105">
        <v>4.13</v>
      </c>
      <c r="X10" s="105">
        <v>3.85</v>
      </c>
      <c r="Y10" s="105">
        <v>4.24</v>
      </c>
      <c r="Z10" s="105">
        <v>0</v>
      </c>
      <c r="AA10" s="105">
        <v>2.76</v>
      </c>
      <c r="AB10" s="105">
        <v>2.2400000000000002</v>
      </c>
      <c r="AC10" s="105">
        <v>1.82</v>
      </c>
      <c r="AD10" s="105">
        <v>0.06</v>
      </c>
      <c r="AE10" s="105">
        <v>2.4700000000000002</v>
      </c>
      <c r="AF10" s="105">
        <v>1.95</v>
      </c>
      <c r="AG10" s="105">
        <v>2.02</v>
      </c>
      <c r="AH10" s="105">
        <v>0</v>
      </c>
      <c r="AI10" s="105">
        <v>1.19</v>
      </c>
      <c r="AJ10" s="105">
        <v>0.65</v>
      </c>
      <c r="AK10" s="105">
        <v>0.56999999999999995</v>
      </c>
    </row>
    <row r="11" spans="1:37" x14ac:dyDescent="0.25">
      <c r="M11" s="106">
        <v>20</v>
      </c>
      <c r="N11" s="105">
        <v>2.84</v>
      </c>
      <c r="O11" s="105">
        <v>2.9</v>
      </c>
      <c r="P11" s="105">
        <v>2.73</v>
      </c>
      <c r="Q11" s="105">
        <v>3.99</v>
      </c>
      <c r="R11" s="105">
        <v>0.02</v>
      </c>
      <c r="S11" s="105">
        <v>1.55</v>
      </c>
      <c r="T11" s="105">
        <v>1.26</v>
      </c>
      <c r="U11" s="105">
        <v>1.01</v>
      </c>
      <c r="V11" s="105">
        <v>0.81</v>
      </c>
      <c r="W11" s="105">
        <v>4.0999999999999996</v>
      </c>
      <c r="X11" s="105">
        <v>3.96</v>
      </c>
      <c r="Y11" s="105">
        <v>4.34</v>
      </c>
      <c r="Z11" s="105">
        <v>0.02</v>
      </c>
      <c r="AA11" s="105">
        <v>4.4000000000000004</v>
      </c>
      <c r="AB11" s="105">
        <v>3.32</v>
      </c>
      <c r="AC11" s="105">
        <v>2.86</v>
      </c>
      <c r="AD11" s="105">
        <v>0.34</v>
      </c>
      <c r="AE11" s="105">
        <v>3.15</v>
      </c>
      <c r="AF11" s="105">
        <v>2.57</v>
      </c>
      <c r="AG11" s="105">
        <v>2.54</v>
      </c>
      <c r="AH11" s="105">
        <v>0</v>
      </c>
      <c r="AI11" s="105">
        <v>2.44</v>
      </c>
      <c r="AJ11" s="105">
        <v>1.1299999999999999</v>
      </c>
      <c r="AK11" s="105">
        <v>1.1599999999999999</v>
      </c>
    </row>
    <row r="12" spans="1:37" x14ac:dyDescent="0.25">
      <c r="M12" s="106">
        <v>21</v>
      </c>
      <c r="N12" s="105">
        <v>2.12</v>
      </c>
      <c r="O12" s="105">
        <v>3.73</v>
      </c>
      <c r="P12" s="105">
        <v>3.38</v>
      </c>
      <c r="Q12" s="105">
        <v>4.1900000000000004</v>
      </c>
      <c r="R12" s="105">
        <v>0.08</v>
      </c>
      <c r="S12" s="105">
        <v>2.88</v>
      </c>
      <c r="T12" s="105">
        <v>2.2000000000000002</v>
      </c>
      <c r="U12" s="105">
        <v>2.1</v>
      </c>
      <c r="V12" s="105">
        <v>1.07</v>
      </c>
      <c r="W12" s="105">
        <v>3.89</v>
      </c>
      <c r="X12" s="105">
        <v>3.78</v>
      </c>
      <c r="Y12" s="105">
        <v>4.05</v>
      </c>
      <c r="Z12" s="105">
        <v>0.05</v>
      </c>
      <c r="AA12" s="105">
        <v>4.8499999999999996</v>
      </c>
      <c r="AB12" s="105">
        <v>3.58</v>
      </c>
      <c r="AC12" s="105">
        <v>3.31</v>
      </c>
      <c r="AD12" s="105">
        <v>7.23</v>
      </c>
      <c r="AE12" s="105">
        <v>6.73</v>
      </c>
      <c r="AF12" s="105">
        <v>6.29</v>
      </c>
      <c r="AG12" s="105">
        <v>4.28</v>
      </c>
      <c r="AH12" s="105">
        <v>0.02</v>
      </c>
      <c r="AI12" s="105">
        <v>3.33</v>
      </c>
      <c r="AJ12" s="105">
        <v>1.6</v>
      </c>
      <c r="AK12" s="105">
        <v>1.62</v>
      </c>
    </row>
    <row r="13" spans="1:37" x14ac:dyDescent="0.25">
      <c r="M13" s="106">
        <v>22</v>
      </c>
      <c r="N13" s="105">
        <v>2.0699999999999998</v>
      </c>
      <c r="O13" s="105">
        <v>5.69</v>
      </c>
      <c r="P13" s="105">
        <v>5.35</v>
      </c>
      <c r="Q13" s="105">
        <v>4.95</v>
      </c>
      <c r="R13" s="105">
        <v>0.18</v>
      </c>
      <c r="S13" s="105">
        <v>3.88</v>
      </c>
      <c r="T13" s="105">
        <v>2.77</v>
      </c>
      <c r="U13" s="105">
        <v>2.54</v>
      </c>
      <c r="V13" s="105">
        <v>1.45</v>
      </c>
      <c r="W13" s="105">
        <v>3.54</v>
      </c>
      <c r="X13" s="105">
        <v>3.5</v>
      </c>
      <c r="Y13" s="105">
        <v>3.88</v>
      </c>
      <c r="Z13" s="105">
        <v>0.12</v>
      </c>
      <c r="AA13" s="105">
        <v>4.57</v>
      </c>
      <c r="AB13" s="105">
        <v>3.19</v>
      </c>
      <c r="AC13" s="105">
        <v>3.05</v>
      </c>
      <c r="AD13" s="105">
        <v>7.7</v>
      </c>
      <c r="AE13" s="105">
        <v>6</v>
      </c>
      <c r="AF13" s="105">
        <v>5.77</v>
      </c>
      <c r="AG13" s="105">
        <v>3.97</v>
      </c>
      <c r="AH13" s="105">
        <v>0.13</v>
      </c>
      <c r="AI13" s="105">
        <v>4.21</v>
      </c>
      <c r="AJ13" s="105">
        <v>1.69</v>
      </c>
      <c r="AK13" s="105">
        <v>2.08</v>
      </c>
    </row>
    <row r="14" spans="1:37" x14ac:dyDescent="0.25">
      <c r="M14" s="106">
        <v>23</v>
      </c>
      <c r="N14" s="105">
        <v>7.93</v>
      </c>
      <c r="O14" s="105">
        <v>7</v>
      </c>
      <c r="P14" s="105">
        <v>7.37</v>
      </c>
      <c r="Q14" s="105">
        <v>6.96</v>
      </c>
      <c r="R14" s="105">
        <v>0.4</v>
      </c>
      <c r="S14" s="105">
        <v>5.0599999999999996</v>
      </c>
      <c r="T14" s="105">
        <v>3.57</v>
      </c>
      <c r="U14" s="105">
        <v>3.72</v>
      </c>
      <c r="V14" s="105">
        <v>1.66</v>
      </c>
      <c r="W14" s="105">
        <v>3.62</v>
      </c>
      <c r="X14" s="105">
        <v>3.59</v>
      </c>
      <c r="Y14" s="105">
        <v>3.55</v>
      </c>
      <c r="Z14" s="105">
        <v>0.2</v>
      </c>
      <c r="AA14" s="105">
        <v>4.1399999999999997</v>
      </c>
      <c r="AB14" s="105">
        <v>2.99</v>
      </c>
      <c r="AC14" s="105">
        <v>2.9</v>
      </c>
      <c r="AD14" s="105">
        <v>5.85</v>
      </c>
      <c r="AE14" s="105">
        <v>5.46</v>
      </c>
      <c r="AF14" s="105">
        <v>5.58</v>
      </c>
      <c r="AG14" s="105">
        <v>4.1500000000000004</v>
      </c>
      <c r="AH14" s="105">
        <v>0.43</v>
      </c>
      <c r="AI14" s="105">
        <v>4.59</v>
      </c>
      <c r="AJ14" s="105">
        <v>1.97</v>
      </c>
      <c r="AK14" s="105">
        <v>2.39</v>
      </c>
    </row>
    <row r="15" spans="1:37" x14ac:dyDescent="0.25">
      <c r="M15" s="106">
        <v>24</v>
      </c>
      <c r="N15" s="105">
        <v>8.01</v>
      </c>
      <c r="O15" s="105">
        <v>7.09</v>
      </c>
      <c r="P15" s="105">
        <v>6.96</v>
      </c>
      <c r="Q15" s="105">
        <v>7.49</v>
      </c>
      <c r="R15" s="105">
        <v>0.64</v>
      </c>
      <c r="S15" s="105">
        <v>5.29</v>
      </c>
      <c r="T15" s="105">
        <v>3.62</v>
      </c>
      <c r="U15" s="105">
        <v>3.89</v>
      </c>
      <c r="V15" s="105">
        <v>1.96</v>
      </c>
      <c r="W15" s="105">
        <v>3.68</v>
      </c>
      <c r="X15" s="105">
        <v>3.45</v>
      </c>
      <c r="Y15" s="105">
        <v>3.66</v>
      </c>
      <c r="Z15" s="105">
        <v>0.31</v>
      </c>
      <c r="AA15" s="105">
        <v>4</v>
      </c>
      <c r="AB15" s="105">
        <v>2.72</v>
      </c>
      <c r="AC15" s="105">
        <v>2.81</v>
      </c>
      <c r="AD15" s="105">
        <v>4.03</v>
      </c>
      <c r="AE15" s="105">
        <v>5.05</v>
      </c>
      <c r="AF15" s="105">
        <v>6.9</v>
      </c>
      <c r="AG15" s="105">
        <v>7.27</v>
      </c>
      <c r="AH15" s="105">
        <v>0.85</v>
      </c>
      <c r="AI15" s="105">
        <v>4.62</v>
      </c>
      <c r="AJ15" s="105">
        <v>2.0099999999999998</v>
      </c>
      <c r="AK15" s="105">
        <v>2.6</v>
      </c>
    </row>
    <row r="16" spans="1:37" x14ac:dyDescent="0.25">
      <c r="M16" s="106">
        <v>25</v>
      </c>
      <c r="N16" s="105">
        <v>6.12</v>
      </c>
      <c r="O16" s="105">
        <v>5.78</v>
      </c>
      <c r="P16" s="105">
        <v>5.52</v>
      </c>
      <c r="Q16" s="105">
        <v>6.09</v>
      </c>
      <c r="R16" s="105">
        <v>0.78</v>
      </c>
      <c r="S16" s="105">
        <v>5.01</v>
      </c>
      <c r="T16" s="105">
        <v>3.57</v>
      </c>
      <c r="U16" s="105">
        <v>3.5</v>
      </c>
      <c r="V16" s="105">
        <v>1.68</v>
      </c>
      <c r="W16" s="105">
        <v>3.25</v>
      </c>
      <c r="X16" s="105">
        <v>3</v>
      </c>
      <c r="Y16" s="105">
        <v>3.2</v>
      </c>
      <c r="Z16" s="105">
        <v>0.34</v>
      </c>
      <c r="AA16" s="105">
        <v>3.57</v>
      </c>
      <c r="AB16" s="105">
        <v>2.37</v>
      </c>
      <c r="AC16" s="105">
        <v>2.4300000000000002</v>
      </c>
      <c r="AD16" s="105">
        <v>3.35</v>
      </c>
      <c r="AE16" s="105">
        <v>4.09</v>
      </c>
      <c r="AF16" s="105">
        <v>5.99</v>
      </c>
      <c r="AG16" s="105">
        <v>7.21</v>
      </c>
      <c r="AH16" s="105">
        <v>1.23</v>
      </c>
      <c r="AI16" s="105">
        <v>4.5599999999999996</v>
      </c>
      <c r="AJ16" s="105">
        <v>2.0299999999999998</v>
      </c>
      <c r="AK16" s="105">
        <v>2.78</v>
      </c>
    </row>
    <row r="17" spans="13:37" x14ac:dyDescent="0.25">
      <c r="M17" s="106">
        <v>26</v>
      </c>
      <c r="N17" s="105">
        <v>4.4000000000000004</v>
      </c>
      <c r="O17" s="105">
        <v>4.68</v>
      </c>
      <c r="P17" s="105">
        <v>4.2300000000000004</v>
      </c>
      <c r="Q17" s="105">
        <v>5.05</v>
      </c>
      <c r="R17" s="105">
        <v>0.74</v>
      </c>
      <c r="S17" s="105">
        <v>5.45</v>
      </c>
      <c r="T17" s="105">
        <v>3.91</v>
      </c>
      <c r="U17" s="105">
        <v>3.52</v>
      </c>
      <c r="V17" s="105">
        <v>1.84</v>
      </c>
      <c r="W17" s="105">
        <v>2.91</v>
      </c>
      <c r="X17" s="105">
        <v>2.72</v>
      </c>
      <c r="Y17" s="105">
        <v>2.86</v>
      </c>
      <c r="Z17" s="105">
        <v>0.47</v>
      </c>
      <c r="AA17" s="105">
        <v>3.23</v>
      </c>
      <c r="AB17" s="105">
        <v>2.08</v>
      </c>
      <c r="AC17" s="105">
        <v>2.23</v>
      </c>
      <c r="AD17" s="105">
        <v>2.64</v>
      </c>
      <c r="AE17" s="105">
        <v>3.61</v>
      </c>
      <c r="AF17" s="105">
        <v>3.62</v>
      </c>
      <c r="AG17" s="105">
        <v>3.76</v>
      </c>
      <c r="AH17" s="105">
        <v>1.67</v>
      </c>
      <c r="AI17" s="105">
        <v>4.03</v>
      </c>
      <c r="AJ17" s="105">
        <v>2.13</v>
      </c>
      <c r="AK17" s="105">
        <v>2.87</v>
      </c>
    </row>
    <row r="18" spans="13:37" x14ac:dyDescent="0.25">
      <c r="M18" s="106">
        <v>27</v>
      </c>
      <c r="N18" s="105">
        <v>2.94</v>
      </c>
      <c r="O18" s="105">
        <v>3.99</v>
      </c>
      <c r="P18" s="105">
        <v>3.48</v>
      </c>
      <c r="Q18" s="105">
        <v>4.1100000000000003</v>
      </c>
      <c r="R18" s="105">
        <v>0.77</v>
      </c>
      <c r="S18" s="105">
        <v>5.62</v>
      </c>
      <c r="T18" s="105">
        <v>4.1399999999999997</v>
      </c>
      <c r="U18" s="105">
        <v>3.49</v>
      </c>
      <c r="V18" s="105">
        <v>1.95</v>
      </c>
      <c r="W18" s="105">
        <v>2.67</v>
      </c>
      <c r="X18" s="105">
        <v>2.5</v>
      </c>
      <c r="Y18" s="105">
        <v>2.62</v>
      </c>
      <c r="Z18" s="105">
        <v>0.57999999999999996</v>
      </c>
      <c r="AA18" s="105">
        <v>3.07</v>
      </c>
      <c r="AB18" s="105">
        <v>2.11</v>
      </c>
      <c r="AC18" s="105">
        <v>2.09</v>
      </c>
      <c r="AD18" s="105">
        <v>2.37</v>
      </c>
      <c r="AE18" s="105">
        <v>3.16</v>
      </c>
      <c r="AF18" s="105">
        <v>2.99</v>
      </c>
      <c r="AG18" s="105">
        <v>3.2</v>
      </c>
      <c r="AH18" s="105">
        <v>2.06</v>
      </c>
      <c r="AI18" s="105">
        <v>3.83</v>
      </c>
      <c r="AJ18" s="105">
        <v>3.01</v>
      </c>
      <c r="AK18" s="105">
        <v>3.51</v>
      </c>
    </row>
    <row r="19" spans="13:37" x14ac:dyDescent="0.25">
      <c r="M19" s="106">
        <v>28</v>
      </c>
      <c r="N19" s="105">
        <v>2.64</v>
      </c>
      <c r="O19" s="105">
        <v>3.56</v>
      </c>
      <c r="P19" s="105">
        <v>3.01</v>
      </c>
      <c r="Q19" s="105">
        <v>3.83</v>
      </c>
      <c r="R19" s="105">
        <v>0.83</v>
      </c>
      <c r="S19" s="105">
        <v>5.0599999999999996</v>
      </c>
      <c r="T19" s="105">
        <v>3.78</v>
      </c>
      <c r="U19" s="105">
        <v>3.18</v>
      </c>
      <c r="V19" s="105">
        <v>2.0699999999999998</v>
      </c>
      <c r="W19" s="105">
        <v>2.56</v>
      </c>
      <c r="X19" s="105">
        <v>2.42</v>
      </c>
      <c r="Y19" s="105">
        <v>2.5299999999999998</v>
      </c>
      <c r="Z19" s="105">
        <v>0.66</v>
      </c>
      <c r="AA19" s="105">
        <v>2.72</v>
      </c>
      <c r="AB19" s="105">
        <v>1.79</v>
      </c>
      <c r="AC19" s="105">
        <v>1.95</v>
      </c>
      <c r="AD19" s="105">
        <v>2.4</v>
      </c>
      <c r="AE19" s="105">
        <v>2.94</v>
      </c>
      <c r="AF19" s="105">
        <v>2.95</v>
      </c>
      <c r="AG19" s="105">
        <v>3.23</v>
      </c>
      <c r="AH19" s="105">
        <v>1.99</v>
      </c>
      <c r="AI19" s="105">
        <v>3.38</v>
      </c>
      <c r="AJ19" s="105">
        <v>4.12</v>
      </c>
      <c r="AK19" s="105">
        <v>3.88</v>
      </c>
    </row>
    <row r="20" spans="13:37" x14ac:dyDescent="0.25">
      <c r="M20" s="106">
        <v>29</v>
      </c>
      <c r="N20" s="105">
        <v>2.4500000000000002</v>
      </c>
      <c r="O20" s="105">
        <v>3.28</v>
      </c>
      <c r="P20" s="105">
        <v>2.85</v>
      </c>
      <c r="Q20" s="105">
        <v>3.44</v>
      </c>
      <c r="R20" s="105">
        <v>0.88</v>
      </c>
      <c r="S20" s="105">
        <v>4.2300000000000004</v>
      </c>
      <c r="T20" s="105">
        <v>3.24</v>
      </c>
      <c r="U20" s="105">
        <v>2.72</v>
      </c>
      <c r="V20" s="105">
        <v>2.0499999999999998</v>
      </c>
      <c r="W20" s="105">
        <v>2.41</v>
      </c>
      <c r="X20" s="105">
        <v>2.29</v>
      </c>
      <c r="Y20" s="105">
        <v>2.34</v>
      </c>
      <c r="Z20" s="105">
        <v>0.77</v>
      </c>
      <c r="AA20" s="105">
        <v>2.56</v>
      </c>
      <c r="AB20" s="105">
        <v>1.74</v>
      </c>
      <c r="AC20" s="105">
        <v>1.88</v>
      </c>
      <c r="AD20" s="105">
        <v>2.37</v>
      </c>
      <c r="AE20" s="105">
        <v>2.7</v>
      </c>
      <c r="AF20" s="105">
        <v>2.87</v>
      </c>
      <c r="AG20" s="105">
        <v>3.21</v>
      </c>
      <c r="AH20" s="105">
        <v>2.12</v>
      </c>
      <c r="AI20" s="105">
        <v>3.2</v>
      </c>
      <c r="AJ20" s="105">
        <v>3.83</v>
      </c>
      <c r="AK20" s="105">
        <v>3.45</v>
      </c>
    </row>
    <row r="21" spans="13:37" x14ac:dyDescent="0.25">
      <c r="M21" s="106">
        <v>30</v>
      </c>
      <c r="N21" s="105">
        <v>2.46</v>
      </c>
      <c r="O21" s="105">
        <v>2.85</v>
      </c>
      <c r="P21" s="105">
        <v>2.5099999999999998</v>
      </c>
      <c r="Q21" s="105">
        <v>2.97</v>
      </c>
      <c r="R21" s="105">
        <v>0.94</v>
      </c>
      <c r="S21" s="105">
        <v>3.63</v>
      </c>
      <c r="T21" s="105">
        <v>2.75</v>
      </c>
      <c r="U21" s="105">
        <v>2.44</v>
      </c>
      <c r="V21" s="105">
        <v>2.31</v>
      </c>
      <c r="W21" s="105">
        <v>2.3199999999999998</v>
      </c>
      <c r="X21" s="105">
        <v>2.23</v>
      </c>
      <c r="Y21" s="105">
        <v>2.21</v>
      </c>
      <c r="Z21" s="105">
        <v>0.84</v>
      </c>
      <c r="AA21" s="105">
        <v>2.35</v>
      </c>
      <c r="AB21" s="105">
        <v>1.62</v>
      </c>
      <c r="AC21" s="105">
        <v>1.79</v>
      </c>
      <c r="AD21" s="105">
        <v>2.34</v>
      </c>
      <c r="AE21" s="105">
        <v>2.65</v>
      </c>
      <c r="AF21" s="105">
        <v>2.84</v>
      </c>
      <c r="AG21" s="105">
        <v>3.33</v>
      </c>
      <c r="AH21" s="105">
        <v>2.0299999999999998</v>
      </c>
      <c r="AI21" s="105">
        <v>2.78</v>
      </c>
      <c r="AJ21" s="105">
        <v>3.54</v>
      </c>
      <c r="AK21" s="105">
        <v>3.03</v>
      </c>
    </row>
    <row r="22" spans="13:37" x14ac:dyDescent="0.25">
      <c r="M22" s="106">
        <v>31</v>
      </c>
      <c r="N22" s="105">
        <v>2.52</v>
      </c>
      <c r="O22" s="105">
        <v>2.74</v>
      </c>
      <c r="P22" s="105">
        <v>2.58</v>
      </c>
      <c r="Q22" s="105">
        <v>2.66</v>
      </c>
      <c r="R22" s="105">
        <v>0.95</v>
      </c>
      <c r="S22" s="105">
        <v>3.16</v>
      </c>
      <c r="T22" s="105">
        <v>2.4</v>
      </c>
      <c r="U22" s="105">
        <v>2.21</v>
      </c>
      <c r="V22" s="105">
        <v>2.44</v>
      </c>
      <c r="W22" s="105">
        <v>2.2999999999999998</v>
      </c>
      <c r="X22" s="105">
        <v>2.19</v>
      </c>
      <c r="Y22" s="105">
        <v>2.2200000000000002</v>
      </c>
      <c r="Z22" s="105">
        <v>0.91</v>
      </c>
      <c r="AA22" s="105">
        <v>2.27</v>
      </c>
      <c r="AB22" s="105">
        <v>1.58</v>
      </c>
      <c r="AC22" s="105">
        <v>1.74</v>
      </c>
      <c r="AD22" s="105">
        <v>2.67</v>
      </c>
      <c r="AE22" s="105">
        <v>2.56</v>
      </c>
      <c r="AF22" s="105">
        <v>2.72</v>
      </c>
      <c r="AG22" s="105">
        <v>3.3</v>
      </c>
      <c r="AH22" s="105">
        <v>2.04</v>
      </c>
      <c r="AI22" s="105">
        <v>2.69</v>
      </c>
      <c r="AJ22" s="105">
        <v>3.42</v>
      </c>
      <c r="AK22" s="105">
        <v>2.84</v>
      </c>
    </row>
    <row r="23" spans="13:37" x14ac:dyDescent="0.25">
      <c r="M23" s="106">
        <v>32</v>
      </c>
      <c r="N23" s="105">
        <v>2.2999999999999998</v>
      </c>
      <c r="O23" s="105">
        <v>2.59</v>
      </c>
      <c r="P23" s="105">
        <v>2.4500000000000002</v>
      </c>
      <c r="Q23" s="105">
        <v>2.4500000000000002</v>
      </c>
      <c r="R23" s="105">
        <v>1.01</v>
      </c>
      <c r="S23" s="105">
        <v>2.7</v>
      </c>
      <c r="T23" s="105">
        <v>2.15</v>
      </c>
      <c r="U23" s="105">
        <v>1.93</v>
      </c>
      <c r="V23" s="105">
        <v>2.54</v>
      </c>
      <c r="W23" s="105">
        <v>2.33</v>
      </c>
      <c r="X23" s="105">
        <v>2.25</v>
      </c>
      <c r="Y23" s="105">
        <v>2.2000000000000002</v>
      </c>
      <c r="Z23" s="105">
        <v>1.01</v>
      </c>
      <c r="AA23" s="105">
        <v>2.23</v>
      </c>
      <c r="AB23" s="105">
        <v>1.52</v>
      </c>
      <c r="AC23" s="105">
        <v>1.76</v>
      </c>
      <c r="AD23" s="105">
        <v>2.62</v>
      </c>
      <c r="AE23" s="105">
        <v>2.46</v>
      </c>
      <c r="AF23" s="105">
        <v>2.61</v>
      </c>
      <c r="AG23" s="105">
        <v>3.37</v>
      </c>
      <c r="AH23" s="105">
        <v>2</v>
      </c>
      <c r="AI23" s="105">
        <v>2.71</v>
      </c>
      <c r="AJ23" s="105">
        <v>3.6</v>
      </c>
      <c r="AK23" s="105">
        <v>2.71</v>
      </c>
    </row>
    <row r="24" spans="13:37" x14ac:dyDescent="0.25">
      <c r="M24" s="106">
        <v>33</v>
      </c>
      <c r="N24" s="105">
        <v>2.39</v>
      </c>
      <c r="O24" s="105">
        <v>2.36</v>
      </c>
      <c r="P24" s="105">
        <v>2.34</v>
      </c>
      <c r="Q24" s="105">
        <v>2.2000000000000002</v>
      </c>
      <c r="R24" s="105">
        <v>0.99</v>
      </c>
      <c r="S24" s="105">
        <v>2.5</v>
      </c>
      <c r="T24" s="105">
        <v>1.86</v>
      </c>
      <c r="U24" s="105">
        <v>1.91</v>
      </c>
      <c r="V24" s="105">
        <v>2.77</v>
      </c>
      <c r="W24" s="105">
        <v>2.41</v>
      </c>
      <c r="X24" s="105">
        <v>2.4</v>
      </c>
      <c r="Y24" s="105">
        <v>2.1800000000000002</v>
      </c>
      <c r="Z24" s="105">
        <v>1.1299999999999999</v>
      </c>
      <c r="AA24" s="105">
        <v>2.19</v>
      </c>
      <c r="AB24" s="105">
        <v>1.53</v>
      </c>
      <c r="AC24" s="105">
        <v>1.76</v>
      </c>
      <c r="AD24" s="105">
        <v>2.5499999999999998</v>
      </c>
      <c r="AE24" s="105">
        <v>2.6</v>
      </c>
      <c r="AF24" s="105">
        <v>2.67</v>
      </c>
      <c r="AG24" s="105">
        <v>3.12</v>
      </c>
      <c r="AH24" s="105">
        <v>2.02</v>
      </c>
      <c r="AI24" s="105">
        <v>2.41</v>
      </c>
      <c r="AJ24" s="105">
        <v>3.03</v>
      </c>
      <c r="AK24" s="105">
        <v>2.4900000000000002</v>
      </c>
    </row>
    <row r="25" spans="13:37" x14ac:dyDescent="0.25">
      <c r="M25" s="106">
        <v>34</v>
      </c>
      <c r="N25" s="105">
        <v>2.42</v>
      </c>
      <c r="O25" s="105">
        <v>2.2000000000000002</v>
      </c>
      <c r="P25" s="105">
        <v>2.29</v>
      </c>
      <c r="Q25" s="105">
        <v>2.0299999999999998</v>
      </c>
      <c r="R25" s="105">
        <v>1.02</v>
      </c>
      <c r="S25" s="105">
        <v>2.36</v>
      </c>
      <c r="T25" s="105">
        <v>1.79</v>
      </c>
      <c r="U25" s="105">
        <v>1.84</v>
      </c>
      <c r="V25" s="105">
        <v>2.76</v>
      </c>
      <c r="W25" s="105">
        <v>2.38</v>
      </c>
      <c r="X25" s="105">
        <v>2.4300000000000002</v>
      </c>
      <c r="Y25" s="105">
        <v>2.09</v>
      </c>
      <c r="Z25" s="105">
        <v>1.05</v>
      </c>
      <c r="AA25" s="105">
        <v>2</v>
      </c>
      <c r="AB25" s="105">
        <v>1.35</v>
      </c>
      <c r="AC25" s="105">
        <v>1.65</v>
      </c>
      <c r="AD25" s="105">
        <v>2.94</v>
      </c>
      <c r="AE25" s="105">
        <v>2.42</v>
      </c>
      <c r="AF25" s="105">
        <v>2.4700000000000002</v>
      </c>
      <c r="AG25" s="105">
        <v>2.97</v>
      </c>
      <c r="AH25" s="105">
        <v>2.06</v>
      </c>
      <c r="AI25" s="105">
        <v>2.46</v>
      </c>
      <c r="AJ25" s="105">
        <v>2.67</v>
      </c>
      <c r="AK25" s="105">
        <v>2.4300000000000002</v>
      </c>
    </row>
    <row r="26" spans="13:37" x14ac:dyDescent="0.25">
      <c r="M26" s="106">
        <v>35</v>
      </c>
      <c r="N26" s="105">
        <v>2.4900000000000002</v>
      </c>
      <c r="O26" s="105">
        <v>2.19</v>
      </c>
      <c r="P26" s="105">
        <v>2.38</v>
      </c>
      <c r="Q26" s="105">
        <v>1.84</v>
      </c>
      <c r="R26" s="105">
        <v>0.99</v>
      </c>
      <c r="S26" s="105">
        <v>2.13</v>
      </c>
      <c r="T26" s="105">
        <v>1.6</v>
      </c>
      <c r="U26" s="105">
        <v>1.74</v>
      </c>
      <c r="V26" s="105">
        <v>2.99</v>
      </c>
      <c r="W26" s="105">
        <v>2.2999999999999998</v>
      </c>
      <c r="X26" s="105">
        <v>2.4</v>
      </c>
      <c r="Y26" s="105">
        <v>2.04</v>
      </c>
      <c r="Z26" s="105">
        <v>1.1399999999999999</v>
      </c>
      <c r="AA26" s="105">
        <v>2.0499999999999998</v>
      </c>
      <c r="AB26" s="105">
        <v>1.41</v>
      </c>
      <c r="AC26" s="105">
        <v>1.71</v>
      </c>
      <c r="AD26" s="105">
        <v>3.02</v>
      </c>
      <c r="AE26" s="105">
        <v>2.35</v>
      </c>
      <c r="AF26" s="105">
        <v>2.4</v>
      </c>
      <c r="AG26" s="105">
        <v>2.58</v>
      </c>
      <c r="AH26" s="105">
        <v>2.0499999999999998</v>
      </c>
      <c r="AI26" s="105">
        <v>2.2200000000000002</v>
      </c>
      <c r="AJ26" s="105">
        <v>2.2999999999999998</v>
      </c>
      <c r="AK26" s="105">
        <v>2.29</v>
      </c>
    </row>
    <row r="27" spans="13:37" x14ac:dyDescent="0.25">
      <c r="M27" s="106">
        <v>36</v>
      </c>
      <c r="N27" s="105">
        <v>2.48</v>
      </c>
      <c r="O27" s="105">
        <v>2.0499999999999998</v>
      </c>
      <c r="P27" s="105">
        <v>2.31</v>
      </c>
      <c r="Q27" s="105">
        <v>1.71</v>
      </c>
      <c r="R27" s="105">
        <v>1.02</v>
      </c>
      <c r="S27" s="105">
        <v>1.88</v>
      </c>
      <c r="T27" s="105">
        <v>1.37</v>
      </c>
      <c r="U27" s="105">
        <v>1.64</v>
      </c>
      <c r="V27" s="105">
        <v>3.09</v>
      </c>
      <c r="W27" s="105">
        <v>2.2999999999999998</v>
      </c>
      <c r="X27" s="105">
        <v>2.4</v>
      </c>
      <c r="Y27" s="105">
        <v>2.08</v>
      </c>
      <c r="Z27" s="105">
        <v>1.18</v>
      </c>
      <c r="AA27" s="105">
        <v>1.99</v>
      </c>
      <c r="AB27" s="105">
        <v>1.41</v>
      </c>
      <c r="AC27" s="105">
        <v>1.69</v>
      </c>
      <c r="AD27" s="105">
        <v>3.11</v>
      </c>
      <c r="AE27" s="105">
        <v>2.34</v>
      </c>
      <c r="AF27" s="105">
        <v>2.34</v>
      </c>
      <c r="AG27" s="105">
        <v>2.52</v>
      </c>
      <c r="AH27" s="105">
        <v>1.93</v>
      </c>
      <c r="AI27" s="105">
        <v>2.23</v>
      </c>
      <c r="AJ27" s="105">
        <v>2.13</v>
      </c>
      <c r="AK27" s="105">
        <v>2.25</v>
      </c>
    </row>
    <row r="28" spans="13:37" x14ac:dyDescent="0.25">
      <c r="M28" s="106">
        <v>37</v>
      </c>
      <c r="N28" s="105">
        <v>2.38</v>
      </c>
      <c r="O28" s="105">
        <v>1.97</v>
      </c>
      <c r="P28" s="105">
        <v>2.2400000000000002</v>
      </c>
      <c r="Q28" s="105">
        <v>1.61</v>
      </c>
      <c r="R28" s="105">
        <v>1.04</v>
      </c>
      <c r="S28" s="105">
        <v>1.81</v>
      </c>
      <c r="T28" s="105">
        <v>1.23</v>
      </c>
      <c r="U28" s="105">
        <v>1.65</v>
      </c>
      <c r="V28" s="105">
        <v>3.01</v>
      </c>
      <c r="W28" s="105">
        <v>2.23</v>
      </c>
      <c r="X28" s="105">
        <v>2.36</v>
      </c>
      <c r="Y28" s="105">
        <v>1.95</v>
      </c>
      <c r="Z28" s="105">
        <v>1.18</v>
      </c>
      <c r="AA28" s="105">
        <v>1.88</v>
      </c>
      <c r="AB28" s="105">
        <v>1.35</v>
      </c>
      <c r="AC28" s="105">
        <v>1.62</v>
      </c>
      <c r="AD28" s="105">
        <v>2.66</v>
      </c>
      <c r="AE28" s="105">
        <v>2.2400000000000002</v>
      </c>
      <c r="AF28" s="105">
        <v>2.16</v>
      </c>
      <c r="AG28" s="105">
        <v>2.08</v>
      </c>
      <c r="AH28" s="105">
        <v>1.96</v>
      </c>
      <c r="AI28" s="105">
        <v>2.12</v>
      </c>
      <c r="AJ28" s="105">
        <v>1.89</v>
      </c>
      <c r="AK28" s="105">
        <v>2.16</v>
      </c>
    </row>
    <row r="29" spans="13:37" x14ac:dyDescent="0.25">
      <c r="M29" s="106">
        <v>38</v>
      </c>
      <c r="N29" s="105">
        <v>2.31</v>
      </c>
      <c r="O29" s="105">
        <v>2.0099999999999998</v>
      </c>
      <c r="P29" s="105">
        <v>2.2799999999999998</v>
      </c>
      <c r="Q29" s="105">
        <v>1.59</v>
      </c>
      <c r="R29" s="105">
        <v>1.08</v>
      </c>
      <c r="S29" s="105">
        <v>1.72</v>
      </c>
      <c r="T29" s="105">
        <v>1.23</v>
      </c>
      <c r="U29" s="105">
        <v>1.59</v>
      </c>
      <c r="V29" s="105">
        <v>3.39</v>
      </c>
      <c r="W29" s="105">
        <v>2.17</v>
      </c>
      <c r="X29" s="105">
        <v>2.33</v>
      </c>
      <c r="Y29" s="105">
        <v>2.0099999999999998</v>
      </c>
      <c r="Z29" s="105">
        <v>1.22</v>
      </c>
      <c r="AA29" s="105">
        <v>1.87</v>
      </c>
      <c r="AB29" s="105">
        <v>1.31</v>
      </c>
      <c r="AC29" s="105">
        <v>1.66</v>
      </c>
      <c r="AD29" s="105">
        <v>2.77</v>
      </c>
      <c r="AE29" s="105">
        <v>2.2000000000000002</v>
      </c>
      <c r="AF29" s="105">
        <v>2.13</v>
      </c>
      <c r="AG29" s="105">
        <v>2.0499999999999998</v>
      </c>
      <c r="AH29" s="105">
        <v>1.87</v>
      </c>
      <c r="AI29" s="105">
        <v>2.0299999999999998</v>
      </c>
      <c r="AJ29" s="105">
        <v>1.82</v>
      </c>
      <c r="AK29" s="105">
        <v>2.0099999999999998</v>
      </c>
    </row>
    <row r="30" spans="13:37" x14ac:dyDescent="0.25">
      <c r="M30" s="106">
        <v>39</v>
      </c>
      <c r="N30" s="105">
        <v>2.1800000000000002</v>
      </c>
      <c r="O30" s="105">
        <v>1.79</v>
      </c>
      <c r="P30" s="105">
        <v>2.14</v>
      </c>
      <c r="Q30" s="105">
        <v>1.35</v>
      </c>
      <c r="R30" s="105">
        <v>0.98</v>
      </c>
      <c r="S30" s="105">
        <v>1.62</v>
      </c>
      <c r="T30" s="105">
        <v>1.1000000000000001</v>
      </c>
      <c r="U30" s="105">
        <v>1.53</v>
      </c>
      <c r="V30" s="105">
        <v>3.12</v>
      </c>
      <c r="W30" s="105">
        <v>2.14</v>
      </c>
      <c r="X30" s="105">
        <v>2.2799999999999998</v>
      </c>
      <c r="Y30" s="105">
        <v>1.95</v>
      </c>
      <c r="Z30" s="105">
        <v>1.1100000000000001</v>
      </c>
      <c r="AA30" s="105">
        <v>1.83</v>
      </c>
      <c r="AB30" s="105">
        <v>1.32</v>
      </c>
      <c r="AC30" s="105">
        <v>1.55</v>
      </c>
      <c r="AD30" s="105">
        <v>2.59</v>
      </c>
      <c r="AE30" s="105">
        <v>2.09</v>
      </c>
      <c r="AF30" s="105">
        <v>2.02</v>
      </c>
      <c r="AG30" s="105">
        <v>1.91</v>
      </c>
      <c r="AH30" s="105">
        <v>1.69</v>
      </c>
      <c r="AI30" s="105">
        <v>1.94</v>
      </c>
      <c r="AJ30" s="105">
        <v>1.65</v>
      </c>
      <c r="AK30" s="105">
        <v>1.86</v>
      </c>
    </row>
    <row r="31" spans="13:37" x14ac:dyDescent="0.25">
      <c r="M31" s="106">
        <v>40</v>
      </c>
      <c r="N31" s="105">
        <v>2.52</v>
      </c>
      <c r="O31" s="105">
        <v>1.81</v>
      </c>
      <c r="P31" s="105">
        <v>2.14</v>
      </c>
      <c r="Q31" s="105">
        <v>1.54</v>
      </c>
      <c r="R31" s="105">
        <v>0.98</v>
      </c>
      <c r="S31" s="105">
        <v>1.51</v>
      </c>
      <c r="T31" s="105">
        <v>1.07</v>
      </c>
      <c r="U31" s="105">
        <v>1.43</v>
      </c>
      <c r="V31" s="105">
        <v>2.72</v>
      </c>
      <c r="W31" s="105">
        <v>2.15</v>
      </c>
      <c r="X31" s="105">
        <v>2.25</v>
      </c>
      <c r="Y31" s="105">
        <v>1.89</v>
      </c>
      <c r="Z31" s="105">
        <v>1.18</v>
      </c>
      <c r="AA31" s="105">
        <v>1.77</v>
      </c>
      <c r="AB31" s="105">
        <v>1.24</v>
      </c>
      <c r="AC31" s="105">
        <v>1.59</v>
      </c>
      <c r="AD31" s="105">
        <v>2.5499999999999998</v>
      </c>
      <c r="AE31" s="105">
        <v>1.96</v>
      </c>
      <c r="AF31" s="105">
        <v>1.88</v>
      </c>
      <c r="AG31" s="105">
        <v>1.71</v>
      </c>
      <c r="AH31" s="105">
        <v>1.66</v>
      </c>
      <c r="AI31" s="105">
        <v>1.83</v>
      </c>
      <c r="AJ31" s="105">
        <v>1.43</v>
      </c>
      <c r="AK31" s="105">
        <v>1.77</v>
      </c>
    </row>
    <row r="32" spans="13:37" x14ac:dyDescent="0.25">
      <c r="M32" s="106">
        <v>41</v>
      </c>
      <c r="N32" s="105">
        <v>2.1800000000000002</v>
      </c>
      <c r="O32" s="105">
        <v>1.65</v>
      </c>
      <c r="P32" s="105">
        <v>1.91</v>
      </c>
      <c r="Q32" s="105">
        <v>1.41</v>
      </c>
      <c r="R32" s="105">
        <v>0.91</v>
      </c>
      <c r="S32" s="105">
        <v>1.42</v>
      </c>
      <c r="T32" s="105">
        <v>0.98</v>
      </c>
      <c r="U32" s="105">
        <v>1.35</v>
      </c>
      <c r="V32" s="105">
        <v>2.86</v>
      </c>
      <c r="W32" s="105">
        <v>2.02</v>
      </c>
      <c r="X32" s="105">
        <v>2.14</v>
      </c>
      <c r="Y32" s="105">
        <v>1.82</v>
      </c>
      <c r="Z32" s="105">
        <v>1.1499999999999999</v>
      </c>
      <c r="AA32" s="105">
        <v>1.69</v>
      </c>
      <c r="AB32" s="105">
        <v>1.27</v>
      </c>
      <c r="AC32" s="105">
        <v>1.49</v>
      </c>
      <c r="AD32" s="105">
        <v>2.29</v>
      </c>
      <c r="AE32" s="105">
        <v>2.0099999999999998</v>
      </c>
      <c r="AF32" s="105">
        <v>1.86</v>
      </c>
      <c r="AG32" s="105">
        <v>1.73</v>
      </c>
      <c r="AH32" s="105">
        <v>1.5</v>
      </c>
      <c r="AI32" s="105">
        <v>1.71</v>
      </c>
      <c r="AJ32" s="105">
        <v>1.41</v>
      </c>
      <c r="AK32" s="105">
        <v>1.58</v>
      </c>
    </row>
    <row r="33" spans="1:37" x14ac:dyDescent="0.25">
      <c r="M33" s="106">
        <v>42</v>
      </c>
      <c r="N33" s="105">
        <v>2.21</v>
      </c>
      <c r="O33" s="105">
        <v>1.75</v>
      </c>
      <c r="P33" s="105">
        <v>2.0299999999999998</v>
      </c>
      <c r="Q33" s="105">
        <v>1.44</v>
      </c>
      <c r="R33" s="105">
        <v>1.01</v>
      </c>
      <c r="S33" s="105">
        <v>1.41</v>
      </c>
      <c r="T33" s="105">
        <v>0.99</v>
      </c>
      <c r="U33" s="105">
        <v>1.4</v>
      </c>
      <c r="V33" s="105">
        <v>3.03</v>
      </c>
      <c r="W33" s="105">
        <v>2.0299999999999998</v>
      </c>
      <c r="X33" s="105">
        <v>2.1800000000000002</v>
      </c>
      <c r="Y33" s="105">
        <v>1.86</v>
      </c>
      <c r="Z33" s="105">
        <v>1.21</v>
      </c>
      <c r="AA33" s="105">
        <v>1.67</v>
      </c>
      <c r="AB33" s="105">
        <v>1.22</v>
      </c>
      <c r="AC33" s="105">
        <v>1.54</v>
      </c>
      <c r="AD33" s="105">
        <v>2.31</v>
      </c>
      <c r="AE33" s="105">
        <v>1.92</v>
      </c>
      <c r="AF33" s="105">
        <v>1.8</v>
      </c>
      <c r="AG33" s="105">
        <v>1.61</v>
      </c>
      <c r="AH33" s="105">
        <v>1.66</v>
      </c>
      <c r="AI33" s="105">
        <v>1.84</v>
      </c>
      <c r="AJ33" s="105">
        <v>1.47</v>
      </c>
      <c r="AK33" s="105">
        <v>1.68</v>
      </c>
    </row>
    <row r="34" spans="1:37" x14ac:dyDescent="0.25">
      <c r="M34" s="106">
        <v>43</v>
      </c>
      <c r="N34" s="105">
        <v>2.2000000000000002</v>
      </c>
      <c r="O34" s="105">
        <v>1.61</v>
      </c>
      <c r="P34" s="105">
        <v>1.92</v>
      </c>
      <c r="Q34" s="105">
        <v>1.34</v>
      </c>
      <c r="R34" s="105">
        <v>0.99</v>
      </c>
      <c r="S34" s="105">
        <v>1.34</v>
      </c>
      <c r="T34" s="105">
        <v>0.99</v>
      </c>
      <c r="U34" s="105">
        <v>1.32</v>
      </c>
      <c r="V34" s="105">
        <v>2.96</v>
      </c>
      <c r="W34" s="105">
        <v>2</v>
      </c>
      <c r="X34" s="105">
        <v>2.12</v>
      </c>
      <c r="Y34" s="105">
        <v>1.85</v>
      </c>
      <c r="Z34" s="105">
        <v>1.24</v>
      </c>
      <c r="AA34" s="105">
        <v>1.6</v>
      </c>
      <c r="AB34" s="105">
        <v>1.23</v>
      </c>
      <c r="AC34" s="105">
        <v>1.48</v>
      </c>
      <c r="AD34" s="105">
        <v>2.0499999999999998</v>
      </c>
      <c r="AE34" s="105">
        <v>1.85</v>
      </c>
      <c r="AF34" s="105">
        <v>1.69</v>
      </c>
      <c r="AG34" s="105">
        <v>1.56</v>
      </c>
      <c r="AH34" s="105">
        <v>1.43</v>
      </c>
      <c r="AI34" s="105">
        <v>1.71</v>
      </c>
      <c r="AJ34" s="105">
        <v>1.37</v>
      </c>
      <c r="AK34" s="105">
        <v>1.52</v>
      </c>
    </row>
    <row r="35" spans="1:37" x14ac:dyDescent="0.25">
      <c r="M35" s="106">
        <v>44</v>
      </c>
      <c r="N35" s="105">
        <v>2.3199999999999998</v>
      </c>
      <c r="O35" s="105">
        <v>1.59</v>
      </c>
      <c r="P35" s="105">
        <v>1.86</v>
      </c>
      <c r="Q35" s="105">
        <v>1.44</v>
      </c>
      <c r="R35" s="105">
        <v>1.04</v>
      </c>
      <c r="S35" s="105">
        <v>1.25</v>
      </c>
      <c r="T35" s="105">
        <v>0.94</v>
      </c>
      <c r="U35" s="105">
        <v>1.31</v>
      </c>
      <c r="V35" s="105">
        <v>2.6</v>
      </c>
      <c r="W35" s="105">
        <v>1.98</v>
      </c>
      <c r="X35" s="105">
        <v>2.0499999999999998</v>
      </c>
      <c r="Y35" s="105">
        <v>1.85</v>
      </c>
      <c r="Z35" s="105">
        <v>1.1599999999999999</v>
      </c>
      <c r="AA35" s="105">
        <v>1.53</v>
      </c>
      <c r="AB35" s="105">
        <v>1.17</v>
      </c>
      <c r="AC35" s="105">
        <v>1.41</v>
      </c>
      <c r="AD35" s="105">
        <v>2.1</v>
      </c>
      <c r="AE35" s="105">
        <v>1.87</v>
      </c>
      <c r="AF35" s="105">
        <v>1.7</v>
      </c>
      <c r="AG35" s="105">
        <v>1.66</v>
      </c>
      <c r="AH35" s="105">
        <v>1.43</v>
      </c>
      <c r="AI35" s="105">
        <v>1.72</v>
      </c>
      <c r="AJ35" s="105">
        <v>1.31</v>
      </c>
      <c r="AK35" s="105">
        <v>1.54</v>
      </c>
    </row>
    <row r="36" spans="1:37" x14ac:dyDescent="0.25">
      <c r="M36" s="106">
        <v>45</v>
      </c>
      <c r="N36" s="105">
        <v>1.92</v>
      </c>
      <c r="O36" s="105">
        <v>1.46</v>
      </c>
      <c r="P36" s="105">
        <v>1.65</v>
      </c>
      <c r="Q36" s="105">
        <v>1.31</v>
      </c>
      <c r="R36" s="105">
        <v>0.99</v>
      </c>
      <c r="S36" s="105">
        <v>1.21</v>
      </c>
      <c r="T36" s="105">
        <v>0.92</v>
      </c>
      <c r="U36" s="105">
        <v>1.23</v>
      </c>
      <c r="V36" s="105">
        <v>2.81</v>
      </c>
      <c r="W36" s="105">
        <v>1.8</v>
      </c>
      <c r="X36" s="105">
        <v>1.91</v>
      </c>
      <c r="Y36" s="105">
        <v>1.73</v>
      </c>
      <c r="Z36" s="105">
        <v>1.1399999999999999</v>
      </c>
      <c r="AA36" s="105">
        <v>1.44</v>
      </c>
      <c r="AB36" s="105">
        <v>1.18</v>
      </c>
      <c r="AC36" s="105">
        <v>1.32</v>
      </c>
      <c r="AD36" s="105">
        <v>2.02</v>
      </c>
      <c r="AE36" s="105">
        <v>1.62</v>
      </c>
      <c r="AF36" s="105">
        <v>1.5</v>
      </c>
      <c r="AG36" s="105">
        <v>1.41</v>
      </c>
      <c r="AH36" s="105">
        <v>1.24</v>
      </c>
      <c r="AI36" s="105">
        <v>1.57</v>
      </c>
      <c r="AJ36" s="105">
        <v>1.24</v>
      </c>
      <c r="AK36" s="105">
        <v>1.36</v>
      </c>
    </row>
    <row r="37" spans="1:37" x14ac:dyDescent="0.25">
      <c r="M37" s="106">
        <v>46</v>
      </c>
      <c r="N37" s="105">
        <v>2.09</v>
      </c>
      <c r="O37" s="105">
        <v>1.35</v>
      </c>
      <c r="P37" s="105">
        <v>1.57</v>
      </c>
      <c r="Q37" s="105">
        <v>1.35</v>
      </c>
      <c r="R37" s="105">
        <v>1.02</v>
      </c>
      <c r="S37" s="105">
        <v>1.17</v>
      </c>
      <c r="T37" s="105">
        <v>0.94</v>
      </c>
      <c r="U37" s="105">
        <v>1.21</v>
      </c>
      <c r="V37" s="105">
        <v>2.59</v>
      </c>
      <c r="W37" s="105">
        <v>1.65</v>
      </c>
      <c r="X37" s="105">
        <v>1.78</v>
      </c>
      <c r="Y37" s="105">
        <v>1.52</v>
      </c>
      <c r="Z37" s="105">
        <v>1.0900000000000001</v>
      </c>
      <c r="AA37" s="105">
        <v>1.38</v>
      </c>
      <c r="AB37" s="105">
        <v>1.1399999999999999</v>
      </c>
      <c r="AC37" s="105">
        <v>1.26</v>
      </c>
      <c r="AD37" s="105">
        <v>1.77</v>
      </c>
      <c r="AE37" s="105">
        <v>1.51</v>
      </c>
      <c r="AF37" s="105">
        <v>1.4</v>
      </c>
      <c r="AG37" s="105">
        <v>1.23</v>
      </c>
      <c r="AH37" s="105">
        <v>1.3</v>
      </c>
      <c r="AI37" s="105">
        <v>1.49</v>
      </c>
      <c r="AJ37" s="105">
        <v>1.18</v>
      </c>
      <c r="AK37" s="105">
        <v>1.34</v>
      </c>
    </row>
    <row r="38" spans="1:37" x14ac:dyDescent="0.25">
      <c r="M38" s="106">
        <v>47</v>
      </c>
      <c r="N38" s="105">
        <v>1.9</v>
      </c>
      <c r="O38" s="105">
        <v>1.27</v>
      </c>
      <c r="P38" s="105">
        <v>1.46</v>
      </c>
      <c r="Q38" s="105">
        <v>1.31</v>
      </c>
      <c r="R38" s="105">
        <v>1.04</v>
      </c>
      <c r="S38" s="105">
        <v>1.0900000000000001</v>
      </c>
      <c r="T38" s="105">
        <v>0.91</v>
      </c>
      <c r="U38" s="105">
        <v>1.1599999999999999</v>
      </c>
      <c r="V38" s="105">
        <v>2.56</v>
      </c>
      <c r="W38" s="105">
        <v>1.64</v>
      </c>
      <c r="X38" s="105">
        <v>1.76</v>
      </c>
      <c r="Y38" s="105">
        <v>1.55</v>
      </c>
      <c r="Z38" s="105">
        <v>1.0900000000000001</v>
      </c>
      <c r="AA38" s="105">
        <v>1.35</v>
      </c>
      <c r="AB38" s="105">
        <v>1.1100000000000001</v>
      </c>
      <c r="AC38" s="105">
        <v>1.25</v>
      </c>
      <c r="AD38" s="105">
        <v>1.68</v>
      </c>
      <c r="AE38" s="105">
        <v>1.53</v>
      </c>
      <c r="AF38" s="105">
        <v>1.38</v>
      </c>
      <c r="AG38" s="105">
        <v>1.34</v>
      </c>
      <c r="AH38" s="105">
        <v>1.26</v>
      </c>
      <c r="AI38" s="105">
        <v>1.49</v>
      </c>
      <c r="AJ38" s="105">
        <v>1.23</v>
      </c>
      <c r="AK38" s="105">
        <v>1.27</v>
      </c>
    </row>
    <row r="39" spans="1:37" x14ac:dyDescent="0.25">
      <c r="M39" s="106">
        <v>48</v>
      </c>
      <c r="N39" s="105">
        <v>1.55</v>
      </c>
      <c r="O39" s="105">
        <v>1.19</v>
      </c>
      <c r="P39" s="105">
        <v>1.33</v>
      </c>
      <c r="Q39" s="105">
        <v>1.1000000000000001</v>
      </c>
      <c r="R39" s="105">
        <v>0.92</v>
      </c>
      <c r="S39" s="105">
        <v>1.0900000000000001</v>
      </c>
      <c r="T39" s="105">
        <v>0.9</v>
      </c>
      <c r="U39" s="105">
        <v>1.1000000000000001</v>
      </c>
      <c r="V39" s="105">
        <v>2.5299999999999998</v>
      </c>
      <c r="W39" s="105">
        <v>1.56</v>
      </c>
      <c r="X39" s="105">
        <v>1.62</v>
      </c>
      <c r="Y39" s="105">
        <v>1.63</v>
      </c>
      <c r="Z39" s="105">
        <v>1.1200000000000001</v>
      </c>
      <c r="AA39" s="105">
        <v>1.29</v>
      </c>
      <c r="AB39" s="105">
        <v>1.1100000000000001</v>
      </c>
      <c r="AC39" s="105">
        <v>1.21</v>
      </c>
      <c r="AD39" s="105">
        <v>1.56</v>
      </c>
      <c r="AE39" s="105">
        <v>1.36</v>
      </c>
      <c r="AF39" s="105">
        <v>1.24</v>
      </c>
      <c r="AG39" s="105">
        <v>1.1399999999999999</v>
      </c>
      <c r="AH39" s="105">
        <v>1.1399999999999999</v>
      </c>
      <c r="AI39" s="105">
        <v>1.42</v>
      </c>
      <c r="AJ39" s="105">
        <v>1.1000000000000001</v>
      </c>
      <c r="AK39" s="105">
        <v>1.2</v>
      </c>
    </row>
    <row r="40" spans="1:37" x14ac:dyDescent="0.25">
      <c r="M40" s="106">
        <v>49</v>
      </c>
      <c r="N40" s="105">
        <v>1.52</v>
      </c>
      <c r="O40" s="105">
        <v>1.1100000000000001</v>
      </c>
      <c r="P40" s="105">
        <v>1.25</v>
      </c>
      <c r="Q40" s="105">
        <v>1.05</v>
      </c>
      <c r="R40" s="105">
        <v>0.92</v>
      </c>
      <c r="S40" s="105">
        <v>1.01</v>
      </c>
      <c r="T40" s="105">
        <v>0.86</v>
      </c>
      <c r="U40" s="105">
        <v>1.08</v>
      </c>
      <c r="V40" s="105">
        <v>2.48</v>
      </c>
      <c r="W40" s="105">
        <v>1.58</v>
      </c>
      <c r="X40" s="105">
        <v>1.62</v>
      </c>
      <c r="Y40" s="105">
        <v>1.63</v>
      </c>
      <c r="Z40" s="105">
        <v>1.19</v>
      </c>
      <c r="AA40" s="105">
        <v>1.37</v>
      </c>
      <c r="AB40" s="105">
        <v>1.1299999999999999</v>
      </c>
      <c r="AC40" s="105">
        <v>1.31</v>
      </c>
      <c r="AD40" s="105">
        <v>1.43</v>
      </c>
      <c r="AE40" s="105">
        <v>1.43</v>
      </c>
      <c r="AF40" s="105">
        <v>1.27</v>
      </c>
      <c r="AG40" s="105">
        <v>1.21</v>
      </c>
      <c r="AH40" s="105">
        <v>1.17</v>
      </c>
      <c r="AI40" s="105">
        <v>1.4</v>
      </c>
      <c r="AJ40" s="105">
        <v>1.1100000000000001</v>
      </c>
      <c r="AK40" s="105">
        <v>1.19</v>
      </c>
    </row>
    <row r="41" spans="1:37" x14ac:dyDescent="0.25">
      <c r="M41" s="106">
        <v>50</v>
      </c>
      <c r="N41" s="105">
        <v>1.49</v>
      </c>
      <c r="O41" s="105">
        <v>1.1599999999999999</v>
      </c>
      <c r="P41" s="105">
        <v>1.29</v>
      </c>
      <c r="Q41" s="105">
        <v>1.1100000000000001</v>
      </c>
      <c r="R41" s="105">
        <v>0.99</v>
      </c>
      <c r="S41" s="105">
        <v>1</v>
      </c>
      <c r="T41" s="105">
        <v>0.93</v>
      </c>
      <c r="U41" s="105">
        <v>1.08</v>
      </c>
      <c r="V41" s="105">
        <v>2.68</v>
      </c>
      <c r="W41" s="105">
        <v>1.59</v>
      </c>
      <c r="X41" s="105">
        <v>1.65</v>
      </c>
      <c r="Y41" s="105">
        <v>1.66</v>
      </c>
      <c r="Z41" s="105">
        <v>1.32</v>
      </c>
      <c r="AA41" s="105">
        <v>1.37</v>
      </c>
      <c r="AB41" s="105">
        <v>1.21</v>
      </c>
      <c r="AC41" s="105">
        <v>1.36</v>
      </c>
      <c r="AD41" s="105">
        <v>1.44</v>
      </c>
      <c r="AE41" s="105">
        <v>1.31</v>
      </c>
      <c r="AF41" s="105">
        <v>1.1399999999999999</v>
      </c>
      <c r="AG41" s="105">
        <v>1.1499999999999999</v>
      </c>
      <c r="AH41" s="105">
        <v>1.22</v>
      </c>
      <c r="AI41" s="105">
        <v>1.44</v>
      </c>
      <c r="AJ41" s="105">
        <v>1.19</v>
      </c>
      <c r="AK41" s="105">
        <v>1.21</v>
      </c>
    </row>
    <row r="42" spans="1:37" x14ac:dyDescent="0.25">
      <c r="M42" s="106">
        <v>51</v>
      </c>
      <c r="N42" s="105">
        <v>1.4</v>
      </c>
      <c r="O42" s="105">
        <v>1.08</v>
      </c>
      <c r="P42" s="105">
        <v>1.22</v>
      </c>
      <c r="Q42" s="105">
        <v>1.08</v>
      </c>
      <c r="R42" s="105">
        <v>0.99</v>
      </c>
      <c r="S42" s="105">
        <v>1.0900000000000001</v>
      </c>
      <c r="T42" s="105">
        <v>0.91</v>
      </c>
      <c r="U42" s="105">
        <v>1.1299999999999999</v>
      </c>
      <c r="V42" s="105">
        <v>2.83</v>
      </c>
      <c r="W42" s="105">
        <v>1.63</v>
      </c>
      <c r="X42" s="105">
        <v>1.72</v>
      </c>
      <c r="Y42" s="105">
        <v>1.72</v>
      </c>
      <c r="Z42" s="105">
        <v>1.44</v>
      </c>
      <c r="AA42" s="105">
        <v>1.43</v>
      </c>
      <c r="AB42" s="105">
        <v>1.33</v>
      </c>
      <c r="AC42" s="105">
        <v>1.41</v>
      </c>
      <c r="AD42" s="105">
        <v>1.57</v>
      </c>
      <c r="AE42" s="105">
        <v>1.36</v>
      </c>
      <c r="AF42" s="105">
        <v>1.21</v>
      </c>
      <c r="AG42" s="105">
        <v>1.1599999999999999</v>
      </c>
      <c r="AH42" s="105">
        <v>1.32</v>
      </c>
      <c r="AI42" s="105">
        <v>1.44</v>
      </c>
      <c r="AJ42" s="105">
        <v>1.18</v>
      </c>
      <c r="AK42" s="105">
        <v>1.27</v>
      </c>
    </row>
    <row r="43" spans="1:37" x14ac:dyDescent="0.25">
      <c r="A43" s="108" t="s">
        <v>73</v>
      </c>
      <c r="B43" s="109"/>
      <c r="C43" s="109"/>
      <c r="D43" s="109"/>
      <c r="E43" s="109"/>
      <c r="F43" s="109"/>
      <c r="G43" s="109"/>
      <c r="H43" s="109"/>
      <c r="I43" s="109"/>
      <c r="J43" s="109"/>
      <c r="M43" s="106">
        <v>52</v>
      </c>
      <c r="N43" s="105">
        <v>1.38</v>
      </c>
      <c r="O43" s="105">
        <v>1.0900000000000001</v>
      </c>
      <c r="P43" s="105">
        <v>1.19</v>
      </c>
      <c r="Q43" s="105">
        <v>1.1000000000000001</v>
      </c>
      <c r="R43" s="105">
        <v>1.22</v>
      </c>
      <c r="S43" s="105">
        <v>0.99</v>
      </c>
      <c r="T43" s="105">
        <v>0.99</v>
      </c>
      <c r="U43" s="105">
        <v>1.1399999999999999</v>
      </c>
      <c r="V43" s="105">
        <v>2.61</v>
      </c>
      <c r="W43" s="105">
        <v>1.61</v>
      </c>
      <c r="X43" s="105">
        <v>1.65</v>
      </c>
      <c r="Y43" s="105">
        <v>1.71</v>
      </c>
      <c r="Z43" s="105">
        <v>1.4</v>
      </c>
      <c r="AA43" s="105">
        <v>1.38</v>
      </c>
      <c r="AB43" s="105">
        <v>1.28</v>
      </c>
      <c r="AC43" s="105">
        <v>1.38</v>
      </c>
      <c r="AD43" s="105">
        <v>1.71</v>
      </c>
      <c r="AE43" s="105">
        <v>1.45</v>
      </c>
      <c r="AF43" s="105">
        <v>1.33</v>
      </c>
      <c r="AG43" s="105">
        <v>1.07</v>
      </c>
      <c r="AH43" s="105">
        <v>1.29</v>
      </c>
      <c r="AI43" s="105">
        <v>1.39</v>
      </c>
      <c r="AJ43" s="105">
        <v>1.18</v>
      </c>
      <c r="AK43" s="105">
        <v>1.2</v>
      </c>
    </row>
    <row r="44" spans="1:37" x14ac:dyDescent="0.25">
      <c r="A44" s="110" t="s">
        <v>76</v>
      </c>
      <c r="B44" s="98"/>
      <c r="C44" s="98"/>
      <c r="D44" s="98"/>
      <c r="E44" s="98"/>
      <c r="F44" s="98"/>
      <c r="G44" s="98"/>
      <c r="H44" s="98"/>
      <c r="I44" s="98"/>
      <c r="J44" s="98"/>
      <c r="M44" s="106">
        <v>53</v>
      </c>
      <c r="N44" s="105">
        <v>1.28</v>
      </c>
      <c r="O44" s="105">
        <v>1.04</v>
      </c>
      <c r="P44" s="105">
        <v>1.1399999999999999</v>
      </c>
      <c r="Q44" s="105">
        <v>1</v>
      </c>
      <c r="R44" s="105">
        <v>1.17</v>
      </c>
      <c r="S44" s="105">
        <v>0.96</v>
      </c>
      <c r="T44" s="105">
        <v>0.99</v>
      </c>
      <c r="U44" s="105">
        <v>1.0900000000000001</v>
      </c>
      <c r="V44" s="105">
        <v>2.57</v>
      </c>
      <c r="W44" s="105">
        <v>1.54</v>
      </c>
      <c r="X44" s="105">
        <v>1.57</v>
      </c>
      <c r="Y44" s="105">
        <v>1.69</v>
      </c>
      <c r="Z44" s="105">
        <v>1.49</v>
      </c>
      <c r="AA44" s="105">
        <v>1.31</v>
      </c>
      <c r="AB44" s="105">
        <v>1.33</v>
      </c>
      <c r="AC44" s="105">
        <v>1.35</v>
      </c>
      <c r="AD44" s="105">
        <v>1.32</v>
      </c>
      <c r="AE44" s="105">
        <v>1.18</v>
      </c>
      <c r="AF44" s="105">
        <v>1.06</v>
      </c>
      <c r="AG44" s="105">
        <v>0.96</v>
      </c>
      <c r="AH44" s="105">
        <v>1.21</v>
      </c>
      <c r="AI44" s="105">
        <v>1.45</v>
      </c>
      <c r="AJ44" s="105">
        <v>1.18</v>
      </c>
      <c r="AK44" s="105">
        <v>1.21</v>
      </c>
    </row>
    <row r="45" spans="1:37" x14ac:dyDescent="0.25">
      <c r="A45" s="111" t="s">
        <v>77</v>
      </c>
      <c r="B45" s="98"/>
      <c r="C45" s="98"/>
      <c r="D45" s="98"/>
      <c r="E45" s="98"/>
      <c r="F45" s="98"/>
      <c r="G45" s="98"/>
      <c r="H45" s="98"/>
      <c r="I45" s="98"/>
      <c r="J45" s="98"/>
      <c r="M45" s="106">
        <v>54</v>
      </c>
      <c r="N45" s="105">
        <v>1.02</v>
      </c>
      <c r="O45" s="105">
        <v>0.91</v>
      </c>
      <c r="P45" s="105">
        <v>0.97</v>
      </c>
      <c r="Q45" s="105">
        <v>0.87</v>
      </c>
      <c r="R45" s="105">
        <v>1.25</v>
      </c>
      <c r="S45" s="105">
        <v>0.87</v>
      </c>
      <c r="T45" s="105">
        <v>1</v>
      </c>
      <c r="U45" s="105">
        <v>1.04</v>
      </c>
      <c r="V45" s="105">
        <v>2.29</v>
      </c>
      <c r="W45" s="105">
        <v>1.35</v>
      </c>
      <c r="X45" s="105">
        <v>1.38</v>
      </c>
      <c r="Y45" s="105">
        <v>1.48</v>
      </c>
      <c r="Z45" s="105">
        <v>1.46</v>
      </c>
      <c r="AA45" s="105">
        <v>1.28</v>
      </c>
      <c r="AB45" s="105">
        <v>1.23</v>
      </c>
      <c r="AC45" s="105">
        <v>1.36</v>
      </c>
      <c r="AD45" s="105">
        <v>1.28</v>
      </c>
      <c r="AE45" s="105">
        <v>1.1100000000000001</v>
      </c>
      <c r="AF45" s="105">
        <v>0.98</v>
      </c>
      <c r="AG45" s="105">
        <v>1.02</v>
      </c>
      <c r="AH45" s="105">
        <v>1.22</v>
      </c>
      <c r="AI45" s="105">
        <v>1.3</v>
      </c>
      <c r="AJ45" s="105">
        <v>1.1499999999999999</v>
      </c>
      <c r="AK45" s="105">
        <v>1.1399999999999999</v>
      </c>
    </row>
    <row r="46" spans="1:37" x14ac:dyDescent="0.25">
      <c r="A46" s="111" t="s">
        <v>78</v>
      </c>
      <c r="B46" s="98"/>
      <c r="C46" s="98"/>
      <c r="D46" s="98"/>
      <c r="E46" s="98"/>
      <c r="F46" s="98"/>
      <c r="G46" s="98"/>
      <c r="H46" s="98"/>
      <c r="I46" s="98"/>
      <c r="J46" s="98"/>
      <c r="M46" s="106">
        <v>55</v>
      </c>
      <c r="N46" s="105">
        <v>1.03</v>
      </c>
      <c r="O46" s="105">
        <v>0.88</v>
      </c>
      <c r="P46" s="105">
        <v>0.94</v>
      </c>
      <c r="Q46" s="105">
        <v>0.85</v>
      </c>
      <c r="R46" s="105">
        <v>1.53</v>
      </c>
      <c r="S46" s="105">
        <v>0.88</v>
      </c>
      <c r="T46" s="105">
        <v>1.1499999999999999</v>
      </c>
      <c r="U46" s="105">
        <v>1.07</v>
      </c>
      <c r="V46" s="105">
        <v>2.25</v>
      </c>
      <c r="W46" s="105">
        <v>1.35</v>
      </c>
      <c r="X46" s="105">
        <v>1.36</v>
      </c>
      <c r="Y46" s="105">
        <v>1.47</v>
      </c>
      <c r="Z46" s="105">
        <v>1.47</v>
      </c>
      <c r="AA46" s="105">
        <v>1.24</v>
      </c>
      <c r="AB46" s="105">
        <v>1.29</v>
      </c>
      <c r="AC46" s="105">
        <v>1.31</v>
      </c>
      <c r="AD46" s="105">
        <v>1.23</v>
      </c>
      <c r="AE46" s="105">
        <v>0.96</v>
      </c>
      <c r="AF46" s="105">
        <v>0.89</v>
      </c>
      <c r="AG46" s="105">
        <v>0.79</v>
      </c>
      <c r="AH46" s="105">
        <v>1.1499999999999999</v>
      </c>
      <c r="AI46" s="105">
        <v>1.1100000000000001</v>
      </c>
      <c r="AJ46" s="105">
        <v>1.06</v>
      </c>
      <c r="AK46" s="105">
        <v>1.01</v>
      </c>
    </row>
    <row r="47" spans="1:37" x14ac:dyDescent="0.25">
      <c r="A47" s="227" t="s">
        <v>88</v>
      </c>
      <c r="B47" s="227"/>
      <c r="C47" s="227"/>
      <c r="D47" s="227"/>
      <c r="E47" s="227"/>
      <c r="F47" s="227"/>
      <c r="G47" s="227"/>
      <c r="H47" s="227"/>
      <c r="I47" s="227"/>
      <c r="J47" s="227"/>
      <c r="M47" s="106">
        <v>56</v>
      </c>
      <c r="N47" s="105">
        <v>0.96</v>
      </c>
      <c r="O47" s="105">
        <v>0.77</v>
      </c>
      <c r="P47" s="105">
        <v>0.83</v>
      </c>
      <c r="Q47" s="105">
        <v>0.75</v>
      </c>
      <c r="R47" s="105">
        <v>1.74</v>
      </c>
      <c r="S47" s="105">
        <v>0.83</v>
      </c>
      <c r="T47" s="105">
        <v>1.36</v>
      </c>
      <c r="U47" s="105">
        <v>1</v>
      </c>
      <c r="V47" s="105">
        <v>2.19</v>
      </c>
      <c r="W47" s="105">
        <v>1.27</v>
      </c>
      <c r="X47" s="105">
        <v>1.35</v>
      </c>
      <c r="Y47" s="105">
        <v>1.31</v>
      </c>
      <c r="Z47" s="105">
        <v>1.41</v>
      </c>
      <c r="AA47" s="105">
        <v>1.17</v>
      </c>
      <c r="AB47" s="105">
        <v>1.1499999999999999</v>
      </c>
      <c r="AC47" s="105">
        <v>1.3</v>
      </c>
      <c r="AD47" s="105">
        <v>0.91</v>
      </c>
      <c r="AE47" s="105">
        <v>0.85</v>
      </c>
      <c r="AF47" s="105">
        <v>0.73</v>
      </c>
      <c r="AG47" s="105">
        <v>0.84</v>
      </c>
      <c r="AH47" s="105">
        <v>1.0900000000000001</v>
      </c>
      <c r="AI47" s="105">
        <v>1.1000000000000001</v>
      </c>
      <c r="AJ47" s="105">
        <v>1.06</v>
      </c>
      <c r="AK47" s="105">
        <v>0.98</v>
      </c>
    </row>
    <row r="48" spans="1:37" x14ac:dyDescent="0.25">
      <c r="A48" s="227" t="s">
        <v>113</v>
      </c>
      <c r="B48" s="227"/>
      <c r="C48" s="227"/>
      <c r="D48" s="227"/>
      <c r="E48" s="227"/>
      <c r="F48" s="227"/>
      <c r="G48" s="227"/>
      <c r="H48" s="227"/>
      <c r="I48" s="227"/>
      <c r="J48" s="227"/>
      <c r="M48" s="106">
        <v>57</v>
      </c>
      <c r="N48" s="105">
        <v>0.85</v>
      </c>
      <c r="O48" s="105">
        <v>0.71</v>
      </c>
      <c r="P48" s="105">
        <v>0.74</v>
      </c>
      <c r="Q48" s="105">
        <v>0.71</v>
      </c>
      <c r="R48" s="105">
        <v>2.75</v>
      </c>
      <c r="S48" s="105">
        <v>0.82</v>
      </c>
      <c r="T48" s="105">
        <v>2.0099999999999998</v>
      </c>
      <c r="U48" s="105">
        <v>1.1499999999999999</v>
      </c>
      <c r="V48" s="105">
        <v>1.98</v>
      </c>
      <c r="W48" s="105">
        <v>1.18</v>
      </c>
      <c r="X48" s="105">
        <v>1.19</v>
      </c>
      <c r="Y48" s="105">
        <v>1.28</v>
      </c>
      <c r="Z48" s="105">
        <v>1.62</v>
      </c>
      <c r="AA48" s="105">
        <v>1.1399999999999999</v>
      </c>
      <c r="AB48" s="105">
        <v>1.34</v>
      </c>
      <c r="AC48" s="105">
        <v>1.28</v>
      </c>
      <c r="AD48" s="105">
        <v>1.01</v>
      </c>
      <c r="AE48" s="105">
        <v>0.8</v>
      </c>
      <c r="AF48" s="105">
        <v>0.73</v>
      </c>
      <c r="AG48" s="105">
        <v>0.69</v>
      </c>
      <c r="AH48" s="105">
        <v>2.09</v>
      </c>
      <c r="AI48" s="105">
        <v>1.01</v>
      </c>
      <c r="AJ48" s="105">
        <v>1.07</v>
      </c>
      <c r="AK48" s="105">
        <v>1.46</v>
      </c>
    </row>
    <row r="49" spans="13:37" x14ac:dyDescent="0.25">
      <c r="M49" s="106">
        <v>58</v>
      </c>
      <c r="N49" s="105">
        <v>0.71</v>
      </c>
      <c r="O49" s="105">
        <v>0.69</v>
      </c>
      <c r="P49" s="105">
        <v>0.66</v>
      </c>
      <c r="Q49" s="105">
        <v>0.75</v>
      </c>
      <c r="R49" s="105">
        <v>2.5499999999999998</v>
      </c>
      <c r="S49" s="105">
        <v>0.78</v>
      </c>
      <c r="T49" s="105">
        <v>1.47</v>
      </c>
      <c r="U49" s="105">
        <v>1.35</v>
      </c>
      <c r="V49" s="105">
        <v>1.75</v>
      </c>
      <c r="W49" s="105">
        <v>1.17</v>
      </c>
      <c r="X49" s="105">
        <v>1.19</v>
      </c>
      <c r="Y49" s="105">
        <v>1.21</v>
      </c>
      <c r="Z49" s="105">
        <v>1.9</v>
      </c>
      <c r="AA49" s="105">
        <v>1.1399999999999999</v>
      </c>
      <c r="AB49" s="105">
        <v>1.49</v>
      </c>
      <c r="AC49" s="105">
        <v>1.34</v>
      </c>
      <c r="AD49" s="105">
        <v>0.87</v>
      </c>
      <c r="AE49" s="105">
        <v>0.73</v>
      </c>
      <c r="AF49" s="105">
        <v>0.64</v>
      </c>
      <c r="AG49" s="105">
        <v>0.75</v>
      </c>
      <c r="AH49" s="105">
        <v>4.22</v>
      </c>
      <c r="AI49" s="105">
        <v>0.95</v>
      </c>
      <c r="AJ49" s="105">
        <v>1.66</v>
      </c>
      <c r="AK49" s="105">
        <v>2.4300000000000002</v>
      </c>
    </row>
    <row r="50" spans="13:37" x14ac:dyDescent="0.25">
      <c r="M50" s="106">
        <v>59</v>
      </c>
      <c r="N50" s="105">
        <v>0.65</v>
      </c>
      <c r="O50" s="105">
        <v>0.65</v>
      </c>
      <c r="P50" s="105">
        <v>0.63</v>
      </c>
      <c r="Q50" s="105">
        <v>0.69</v>
      </c>
      <c r="R50" s="105">
        <v>2.6</v>
      </c>
      <c r="S50" s="105">
        <v>0.72</v>
      </c>
      <c r="T50" s="105">
        <v>1.49</v>
      </c>
      <c r="U50" s="105">
        <v>1.37</v>
      </c>
      <c r="V50" s="105">
        <v>1.57</v>
      </c>
      <c r="W50" s="105">
        <v>1.06</v>
      </c>
      <c r="X50" s="105">
        <v>1.08</v>
      </c>
      <c r="Y50" s="105">
        <v>1.07</v>
      </c>
      <c r="Z50" s="105">
        <v>1.95</v>
      </c>
      <c r="AA50" s="105">
        <v>1.08</v>
      </c>
      <c r="AB50" s="105">
        <v>1.46</v>
      </c>
      <c r="AC50" s="105">
        <v>1.36</v>
      </c>
      <c r="AD50" s="105">
        <v>0.87</v>
      </c>
      <c r="AE50" s="105">
        <v>0.57999999999999996</v>
      </c>
      <c r="AF50" s="105">
        <v>0.56999999999999995</v>
      </c>
      <c r="AG50" s="105">
        <v>0.51</v>
      </c>
      <c r="AH50" s="105">
        <v>3.22</v>
      </c>
      <c r="AI50" s="105">
        <v>1.04</v>
      </c>
      <c r="AJ50" s="105">
        <v>1.38</v>
      </c>
      <c r="AK50" s="105">
        <v>2</v>
      </c>
    </row>
    <row r="51" spans="13:37" x14ac:dyDescent="0.25">
      <c r="M51" s="106">
        <v>60</v>
      </c>
      <c r="N51" s="105">
        <v>0.65</v>
      </c>
      <c r="O51" s="105">
        <v>0.56999999999999995</v>
      </c>
      <c r="P51" s="105">
        <v>0.59</v>
      </c>
      <c r="Q51" s="105">
        <v>0.63</v>
      </c>
      <c r="R51" s="105">
        <v>3.54</v>
      </c>
      <c r="S51" s="105">
        <v>0.97</v>
      </c>
      <c r="T51" s="105">
        <v>2.25</v>
      </c>
      <c r="U51" s="105">
        <v>1.91</v>
      </c>
      <c r="V51" s="105">
        <v>1.66</v>
      </c>
      <c r="W51" s="105">
        <v>0.86</v>
      </c>
      <c r="X51" s="105">
        <v>0.92</v>
      </c>
      <c r="Y51" s="105">
        <v>0.92</v>
      </c>
      <c r="Z51" s="105">
        <v>4.92</v>
      </c>
      <c r="AA51" s="105">
        <v>1.24</v>
      </c>
      <c r="AB51" s="105">
        <v>3.86</v>
      </c>
      <c r="AC51" s="105">
        <v>1.88</v>
      </c>
      <c r="AD51" s="105">
        <v>0.59</v>
      </c>
      <c r="AE51" s="105">
        <v>0.49</v>
      </c>
      <c r="AF51" s="105">
        <v>0.44</v>
      </c>
      <c r="AG51" s="105">
        <v>0.52</v>
      </c>
      <c r="AH51" s="105">
        <v>4.42</v>
      </c>
      <c r="AI51" s="105">
        <v>1.1000000000000001</v>
      </c>
      <c r="AJ51" s="105">
        <v>2.5299999999999998</v>
      </c>
      <c r="AK51" s="105">
        <v>2.34</v>
      </c>
    </row>
    <row r="52" spans="13:37" x14ac:dyDescent="0.25">
      <c r="M52" s="106">
        <v>61</v>
      </c>
      <c r="N52" s="105">
        <v>0.54</v>
      </c>
      <c r="O52" s="105">
        <v>0.49</v>
      </c>
      <c r="P52" s="105">
        <v>0.5</v>
      </c>
      <c r="Q52" s="105">
        <v>0.56000000000000005</v>
      </c>
      <c r="R52" s="105">
        <v>5.15</v>
      </c>
      <c r="S52" s="105">
        <v>1.1200000000000001</v>
      </c>
      <c r="T52" s="105">
        <v>2.62</v>
      </c>
      <c r="U52" s="105">
        <v>2.63</v>
      </c>
      <c r="V52" s="105">
        <v>1.0900000000000001</v>
      </c>
      <c r="W52" s="105">
        <v>0.73</v>
      </c>
      <c r="X52" s="105">
        <v>0.72</v>
      </c>
      <c r="Y52" s="105">
        <v>0.77</v>
      </c>
      <c r="Z52" s="105">
        <v>7.54</v>
      </c>
      <c r="AA52" s="105">
        <v>1.33</v>
      </c>
      <c r="AB52" s="105">
        <v>5.19</v>
      </c>
      <c r="AC52" s="105">
        <v>2.77</v>
      </c>
      <c r="AD52" s="105">
        <v>0.54</v>
      </c>
      <c r="AE52" s="105">
        <v>0.41</v>
      </c>
      <c r="AF52" s="105">
        <v>0.39</v>
      </c>
      <c r="AG52" s="105">
        <v>0.41</v>
      </c>
      <c r="AH52" s="105">
        <v>6.19</v>
      </c>
      <c r="AI52" s="105">
        <v>1.1499999999999999</v>
      </c>
      <c r="AJ52" s="105">
        <v>3.79</v>
      </c>
      <c r="AK52" s="105">
        <v>2.94</v>
      </c>
    </row>
    <row r="53" spans="13:37" x14ac:dyDescent="0.25">
      <c r="M53" s="106">
        <v>62</v>
      </c>
      <c r="N53" s="105">
        <v>0.44</v>
      </c>
      <c r="O53" s="105">
        <v>0.39</v>
      </c>
      <c r="P53" s="105">
        <v>0.35</v>
      </c>
      <c r="Q53" s="105">
        <v>0.53</v>
      </c>
      <c r="R53" s="105">
        <v>9.5</v>
      </c>
      <c r="S53" s="105">
        <v>1.66</v>
      </c>
      <c r="T53" s="105">
        <v>3.99</v>
      </c>
      <c r="U53" s="105">
        <v>4.93</v>
      </c>
      <c r="V53" s="105">
        <v>0.85</v>
      </c>
      <c r="W53" s="105">
        <v>0.5</v>
      </c>
      <c r="X53" s="105">
        <v>0.51</v>
      </c>
      <c r="Y53" s="105">
        <v>0.54</v>
      </c>
      <c r="Z53" s="105">
        <v>11.84</v>
      </c>
      <c r="AA53" s="105">
        <v>1.59</v>
      </c>
      <c r="AB53" s="105">
        <v>5.5</v>
      </c>
      <c r="AC53" s="105">
        <v>5.37</v>
      </c>
      <c r="AD53" s="105">
        <v>0.45</v>
      </c>
      <c r="AE53" s="105">
        <v>0.27</v>
      </c>
      <c r="AF53" s="105">
        <v>0.26</v>
      </c>
      <c r="AG53" s="105">
        <v>0.35</v>
      </c>
      <c r="AH53" s="105">
        <v>9.44</v>
      </c>
      <c r="AI53" s="105">
        <v>1.39</v>
      </c>
      <c r="AJ53" s="105">
        <v>4.18</v>
      </c>
      <c r="AK53" s="105">
        <v>4.79</v>
      </c>
    </row>
    <row r="54" spans="13:37" x14ac:dyDescent="0.25">
      <c r="M54" s="106">
        <v>63</v>
      </c>
      <c r="N54" s="105">
        <v>0.28000000000000003</v>
      </c>
      <c r="O54" s="105">
        <v>0.36</v>
      </c>
      <c r="P54" s="105">
        <v>0.28000000000000003</v>
      </c>
      <c r="Q54" s="105">
        <v>0.47</v>
      </c>
      <c r="R54" s="105">
        <v>14.04</v>
      </c>
      <c r="S54" s="105">
        <v>1.77</v>
      </c>
      <c r="T54" s="105">
        <v>5.37</v>
      </c>
      <c r="U54" s="105">
        <v>6.72</v>
      </c>
      <c r="V54" s="105">
        <v>0.39</v>
      </c>
      <c r="W54" s="105">
        <v>0.43</v>
      </c>
      <c r="X54" s="105">
        <v>0.39</v>
      </c>
      <c r="Y54" s="105">
        <v>0.44</v>
      </c>
      <c r="Z54" s="105">
        <v>14.02</v>
      </c>
      <c r="AA54" s="105">
        <v>1.43</v>
      </c>
      <c r="AB54" s="105">
        <v>5.5</v>
      </c>
      <c r="AC54" s="105">
        <v>6.48</v>
      </c>
      <c r="AD54" s="105">
        <v>0.33</v>
      </c>
      <c r="AE54" s="105">
        <v>0.21</v>
      </c>
      <c r="AF54" s="105">
        <v>0.23</v>
      </c>
      <c r="AG54" s="105">
        <v>0.32</v>
      </c>
      <c r="AH54" s="105">
        <v>9.1300000000000008</v>
      </c>
      <c r="AI54" s="105">
        <v>1.39</v>
      </c>
      <c r="AJ54" s="105">
        <v>4.28</v>
      </c>
      <c r="AK54" s="105">
        <v>4.7</v>
      </c>
    </row>
    <row r="55" spans="13:37" x14ac:dyDescent="0.25">
      <c r="M55" s="106">
        <v>64</v>
      </c>
      <c r="N55" s="105">
        <v>0.19</v>
      </c>
      <c r="O55" s="105">
        <v>0.32</v>
      </c>
      <c r="P55" s="105">
        <v>0.24</v>
      </c>
      <c r="Q55" s="105">
        <v>0.38</v>
      </c>
      <c r="R55" s="105">
        <v>8.15</v>
      </c>
      <c r="S55" s="105">
        <v>1.24</v>
      </c>
      <c r="T55" s="105">
        <v>3.8</v>
      </c>
      <c r="U55" s="105">
        <v>3.68</v>
      </c>
      <c r="V55" s="105">
        <v>0.22</v>
      </c>
      <c r="W55" s="105">
        <v>0.38</v>
      </c>
      <c r="X55" s="105">
        <v>0.33</v>
      </c>
      <c r="Y55" s="105">
        <v>0.35</v>
      </c>
      <c r="Z55" s="105">
        <v>6.67</v>
      </c>
      <c r="AA55" s="105">
        <v>1.04</v>
      </c>
      <c r="AB55" s="105">
        <v>3.07</v>
      </c>
      <c r="AC55" s="105">
        <v>3.19</v>
      </c>
      <c r="AD55" s="105">
        <v>0.28000000000000003</v>
      </c>
      <c r="AE55" s="105">
        <v>0.2</v>
      </c>
      <c r="AF55" s="105">
        <v>0.21</v>
      </c>
      <c r="AG55" s="105">
        <v>0.32</v>
      </c>
      <c r="AH55" s="105">
        <v>3.63</v>
      </c>
      <c r="AI55" s="105">
        <v>0.91</v>
      </c>
      <c r="AJ55" s="105">
        <v>2.44</v>
      </c>
      <c r="AK55" s="105">
        <v>2</v>
      </c>
    </row>
    <row r="56" spans="13:37" x14ac:dyDescent="0.25">
      <c r="M56" s="106">
        <v>65</v>
      </c>
      <c r="N56" s="105">
        <v>0.18</v>
      </c>
      <c r="O56" s="105">
        <v>0.28999999999999998</v>
      </c>
      <c r="P56" s="105">
        <v>0.21</v>
      </c>
      <c r="Q56" s="105">
        <v>0.34</v>
      </c>
      <c r="R56" s="105">
        <v>6.1</v>
      </c>
      <c r="S56" s="105">
        <v>1.07</v>
      </c>
      <c r="T56" s="105">
        <v>3.04</v>
      </c>
      <c r="U56" s="105">
        <v>2.7</v>
      </c>
      <c r="V56" s="105">
        <v>0.2</v>
      </c>
      <c r="W56" s="105">
        <v>0.32</v>
      </c>
      <c r="X56" s="105">
        <v>0.28999999999999998</v>
      </c>
      <c r="Y56" s="105">
        <v>0.3</v>
      </c>
      <c r="Z56" s="105">
        <v>4.74</v>
      </c>
      <c r="AA56" s="105">
        <v>0.93</v>
      </c>
      <c r="AB56" s="105">
        <v>2.39</v>
      </c>
      <c r="AC56" s="105">
        <v>2.4</v>
      </c>
      <c r="AD56" s="105">
        <v>0.08</v>
      </c>
      <c r="AE56" s="105">
        <v>0.18</v>
      </c>
      <c r="AF56" s="105">
        <v>0.18</v>
      </c>
      <c r="AG56" s="105">
        <v>0.22</v>
      </c>
      <c r="AH56" s="105">
        <v>2.19</v>
      </c>
      <c r="AI56" s="105">
        <v>0.68</v>
      </c>
      <c r="AJ56" s="105">
        <v>1.87</v>
      </c>
      <c r="AK56" s="105">
        <v>1.33</v>
      </c>
    </row>
    <row r="57" spans="13:37" x14ac:dyDescent="0.25">
      <c r="M57" s="106">
        <v>66</v>
      </c>
      <c r="N57" s="105">
        <v>0.09</v>
      </c>
      <c r="O57" s="105">
        <v>0.25</v>
      </c>
      <c r="P57" s="105">
        <v>0.17</v>
      </c>
      <c r="Q57" s="105">
        <v>0.28999999999999998</v>
      </c>
      <c r="R57" s="105">
        <v>3.9</v>
      </c>
      <c r="S57" s="105">
        <v>0.73</v>
      </c>
      <c r="T57" s="105">
        <v>2.0699999999999998</v>
      </c>
      <c r="U57" s="105">
        <v>1.68</v>
      </c>
      <c r="V57" s="105">
        <v>0.14000000000000001</v>
      </c>
      <c r="W57" s="105">
        <v>0.24</v>
      </c>
      <c r="X57" s="105">
        <v>0.2</v>
      </c>
      <c r="Y57" s="105">
        <v>0.24</v>
      </c>
      <c r="Z57" s="105">
        <v>2.93</v>
      </c>
      <c r="AA57" s="105">
        <v>0.71</v>
      </c>
      <c r="AB57" s="105">
        <v>1.47</v>
      </c>
      <c r="AC57" s="105">
        <v>1.6</v>
      </c>
      <c r="AD57" s="105">
        <v>0.09</v>
      </c>
      <c r="AE57" s="105">
        <v>0.12</v>
      </c>
      <c r="AF57" s="105">
        <v>0.12</v>
      </c>
      <c r="AG57" s="105">
        <v>0.23</v>
      </c>
      <c r="AH57" s="105">
        <v>1.24</v>
      </c>
      <c r="AI57" s="105">
        <v>0.57999999999999996</v>
      </c>
      <c r="AJ57" s="105">
        <v>1.45</v>
      </c>
      <c r="AK57" s="105">
        <v>0.85</v>
      </c>
    </row>
    <row r="58" spans="13:37" x14ac:dyDescent="0.25">
      <c r="M58" s="106">
        <v>67</v>
      </c>
      <c r="N58" s="105">
        <v>0.05</v>
      </c>
      <c r="O58" s="105">
        <v>0.2</v>
      </c>
      <c r="P58" s="105">
        <v>0.13</v>
      </c>
      <c r="Q58" s="105">
        <v>0.22</v>
      </c>
      <c r="R58" s="105">
        <v>5.68</v>
      </c>
      <c r="S58" s="105">
        <v>0.97</v>
      </c>
      <c r="T58" s="105">
        <v>3.1</v>
      </c>
      <c r="U58" s="105">
        <v>2.25</v>
      </c>
      <c r="V58" s="105">
        <v>0.03</v>
      </c>
      <c r="W58" s="105">
        <v>0.16</v>
      </c>
      <c r="X58" s="105">
        <v>0.13</v>
      </c>
      <c r="Y58" s="105">
        <v>0.16</v>
      </c>
      <c r="Z58" s="105">
        <v>4.71</v>
      </c>
      <c r="AA58" s="105">
        <v>0.99</v>
      </c>
      <c r="AB58" s="105">
        <v>2.39</v>
      </c>
      <c r="AC58" s="105">
        <v>2.39</v>
      </c>
      <c r="AD58" s="105">
        <v>0.02</v>
      </c>
      <c r="AE58" s="105">
        <v>0.08</v>
      </c>
      <c r="AF58" s="105">
        <v>0.09</v>
      </c>
      <c r="AG58" s="105">
        <v>0.2</v>
      </c>
      <c r="AH58" s="105">
        <v>1.33</v>
      </c>
      <c r="AI58" s="105">
        <v>0.56999999999999995</v>
      </c>
      <c r="AJ58" s="105">
        <v>2.0299999999999998</v>
      </c>
      <c r="AK58" s="105">
        <v>0.9</v>
      </c>
    </row>
    <row r="59" spans="13:37" x14ac:dyDescent="0.25">
      <c r="M59" s="106">
        <v>68</v>
      </c>
      <c r="N59" s="105">
        <v>0.03</v>
      </c>
      <c r="O59" s="105">
        <v>0.18</v>
      </c>
      <c r="P59" s="105">
        <v>0.11</v>
      </c>
      <c r="Q59" s="105">
        <v>0.2</v>
      </c>
      <c r="R59" s="105">
        <v>1.21</v>
      </c>
      <c r="S59" s="105">
        <v>0.52</v>
      </c>
      <c r="T59" s="105">
        <v>0.98</v>
      </c>
      <c r="U59" s="105">
        <v>0.59</v>
      </c>
      <c r="V59" s="105">
        <v>0.04</v>
      </c>
      <c r="W59" s="105">
        <v>0.15</v>
      </c>
      <c r="X59" s="105">
        <v>0.12</v>
      </c>
      <c r="Y59" s="105">
        <v>0.14000000000000001</v>
      </c>
      <c r="Z59" s="105">
        <v>0.96</v>
      </c>
      <c r="AA59" s="105">
        <v>0.48</v>
      </c>
      <c r="AB59" s="105">
        <v>0.69</v>
      </c>
      <c r="AC59" s="105">
        <v>0.68</v>
      </c>
      <c r="AD59" s="105">
        <v>0.04</v>
      </c>
      <c r="AE59" s="105">
        <v>7.0000000000000007E-2</v>
      </c>
      <c r="AF59" s="105">
        <v>0.06</v>
      </c>
      <c r="AG59" s="105">
        <v>0.23</v>
      </c>
      <c r="AH59" s="105">
        <v>0.32</v>
      </c>
      <c r="AI59" s="105">
        <v>0.39</v>
      </c>
      <c r="AJ59" s="105">
        <v>1</v>
      </c>
      <c r="AK59" s="105">
        <v>0.39</v>
      </c>
    </row>
    <row r="60" spans="13:37" x14ac:dyDescent="0.25">
      <c r="M60" s="106">
        <v>69</v>
      </c>
      <c r="N60" s="105">
        <v>0.01</v>
      </c>
      <c r="O60" s="105">
        <v>0.15</v>
      </c>
      <c r="P60" s="105">
        <v>0.08</v>
      </c>
      <c r="Q60" s="105">
        <v>0.17</v>
      </c>
      <c r="R60" s="105">
        <v>0.49</v>
      </c>
      <c r="S60" s="105">
        <v>0.27</v>
      </c>
      <c r="T60" s="105">
        <v>0.47</v>
      </c>
      <c r="U60" s="105">
        <v>0.24</v>
      </c>
      <c r="V60" s="105">
        <v>0.02</v>
      </c>
      <c r="W60" s="105">
        <v>0.11</v>
      </c>
      <c r="X60" s="105">
        <v>7.0000000000000007E-2</v>
      </c>
      <c r="Y60" s="105">
        <v>0.13</v>
      </c>
      <c r="Z60" s="105">
        <v>0.23</v>
      </c>
      <c r="AA60" s="105">
        <v>0.28000000000000003</v>
      </c>
      <c r="AB60" s="105">
        <v>0.3</v>
      </c>
      <c r="AC60" s="105">
        <v>0.27</v>
      </c>
      <c r="AD60" s="105">
        <v>0</v>
      </c>
      <c r="AE60" s="105">
        <v>0.05</v>
      </c>
      <c r="AF60" s="105">
        <v>0.05</v>
      </c>
      <c r="AG60" s="105">
        <v>0.21</v>
      </c>
      <c r="AH60" s="105">
        <v>0.08</v>
      </c>
      <c r="AI60" s="105">
        <v>0.22</v>
      </c>
      <c r="AJ60" s="105">
        <v>0.61</v>
      </c>
      <c r="AK60" s="105">
        <v>0.19</v>
      </c>
    </row>
    <row r="61" spans="13:37" x14ac:dyDescent="0.25">
      <c r="M61" s="107">
        <v>70</v>
      </c>
      <c r="N61" s="112">
        <v>0.02</v>
      </c>
      <c r="O61" s="112">
        <v>0.12</v>
      </c>
      <c r="P61" s="112">
        <v>0.06</v>
      </c>
      <c r="Q61" s="112">
        <v>0.14000000000000001</v>
      </c>
      <c r="R61" s="112">
        <v>0.28999999999999998</v>
      </c>
      <c r="S61" s="112">
        <v>0.28999999999999998</v>
      </c>
      <c r="T61" s="112">
        <v>0.41</v>
      </c>
      <c r="U61" s="112">
        <v>0.18</v>
      </c>
      <c r="V61" s="112">
        <v>0.02</v>
      </c>
      <c r="W61" s="112">
        <v>7.0000000000000007E-2</v>
      </c>
      <c r="X61" s="112">
        <v>0.04</v>
      </c>
      <c r="Y61" s="112">
        <v>0.09</v>
      </c>
      <c r="Z61" s="112">
        <v>0.11</v>
      </c>
      <c r="AA61" s="112">
        <v>0.24</v>
      </c>
      <c r="AB61" s="112">
        <v>0.24</v>
      </c>
      <c r="AC61" s="112">
        <v>0.21</v>
      </c>
      <c r="AD61" s="112">
        <v>0.01</v>
      </c>
      <c r="AE61" s="112">
        <v>0.04</v>
      </c>
      <c r="AF61" s="112">
        <v>0.04</v>
      </c>
      <c r="AG61" s="112">
        <v>0.17</v>
      </c>
      <c r="AH61" s="112">
        <v>0.03</v>
      </c>
      <c r="AI61" s="112">
        <v>0.2</v>
      </c>
      <c r="AJ61" s="112">
        <v>0.51</v>
      </c>
      <c r="AK61" s="112">
        <v>0.15</v>
      </c>
    </row>
    <row r="62" spans="13:37" ht="66" x14ac:dyDescent="0.25">
      <c r="M62" s="116" t="s">
        <v>89</v>
      </c>
      <c r="N62" s="115">
        <v>33.796999999999997</v>
      </c>
      <c r="O62" s="115">
        <v>135.607</v>
      </c>
      <c r="P62" s="115">
        <v>116.258</v>
      </c>
      <c r="Q62" s="115">
        <v>69.415000000000006</v>
      </c>
      <c r="R62" s="115">
        <v>55.628999999999998</v>
      </c>
      <c r="S62" s="115">
        <v>98.793999999999997</v>
      </c>
      <c r="T62" s="115">
        <v>104.81399999999999</v>
      </c>
      <c r="U62" s="115">
        <v>65.168999999999997</v>
      </c>
      <c r="V62" s="115">
        <v>25.327999999999999</v>
      </c>
      <c r="W62" s="115">
        <v>174.77099999999999</v>
      </c>
      <c r="X62" s="115">
        <v>136.477</v>
      </c>
      <c r="Y62" s="115">
        <v>77.808999999999997</v>
      </c>
      <c r="Z62" s="115">
        <v>73.742999999999995</v>
      </c>
      <c r="AA62" s="115">
        <v>115.577</v>
      </c>
      <c r="AB62" s="115">
        <v>130.11799999999999</v>
      </c>
      <c r="AC62" s="115">
        <v>71.412000000000006</v>
      </c>
      <c r="AD62" s="115">
        <v>12.468</v>
      </c>
      <c r="AE62" s="115">
        <v>82.924999999999997</v>
      </c>
      <c r="AF62" s="115">
        <v>90.070999999999998</v>
      </c>
      <c r="AG62" s="115">
        <v>27.103999999999999</v>
      </c>
      <c r="AH62" s="115">
        <v>45.283000000000001</v>
      </c>
      <c r="AI62" s="115">
        <v>46.808</v>
      </c>
      <c r="AJ62" s="115">
        <v>83.912999999999997</v>
      </c>
      <c r="AK62" s="115">
        <v>26.172000000000001</v>
      </c>
    </row>
    <row r="63" spans="13:37" x14ac:dyDescent="0.25">
      <c r="M63" s="108" t="s">
        <v>73</v>
      </c>
      <c r="N63" s="109"/>
      <c r="O63" s="109"/>
      <c r="P63" s="109"/>
      <c r="Q63" s="109"/>
      <c r="R63" s="109"/>
      <c r="S63" s="109"/>
      <c r="T63" s="109"/>
      <c r="U63" s="109"/>
    </row>
    <row r="64" spans="13:37" x14ac:dyDescent="0.25">
      <c r="M64" s="110" t="s">
        <v>76</v>
      </c>
      <c r="N64" s="98"/>
      <c r="O64" s="98"/>
      <c r="P64" s="98"/>
      <c r="Q64" s="98"/>
      <c r="R64" s="98"/>
      <c r="S64" s="98"/>
      <c r="T64" s="98"/>
      <c r="U64" s="98"/>
    </row>
    <row r="65" spans="13:21" x14ac:dyDescent="0.25">
      <c r="M65" s="111" t="s">
        <v>77</v>
      </c>
      <c r="N65" s="98"/>
      <c r="O65" s="98"/>
      <c r="P65" s="98"/>
      <c r="Q65" s="98"/>
      <c r="R65" s="98"/>
      <c r="S65" s="98"/>
      <c r="T65" s="98"/>
      <c r="U65" s="98"/>
    </row>
    <row r="66" spans="13:21" x14ac:dyDescent="0.25">
      <c r="M66" s="111" t="s">
        <v>78</v>
      </c>
      <c r="N66" s="98"/>
      <c r="O66" s="98"/>
      <c r="P66" s="98"/>
      <c r="Q66" s="98"/>
      <c r="R66" s="98"/>
      <c r="S66" s="98"/>
      <c r="T66" s="98"/>
      <c r="U66" s="98"/>
    </row>
    <row r="67" spans="13:21" x14ac:dyDescent="0.25">
      <c r="M67" s="111" t="s">
        <v>90</v>
      </c>
      <c r="N67" s="98"/>
      <c r="O67" s="98"/>
      <c r="P67" s="98"/>
      <c r="Q67" s="98"/>
      <c r="R67" s="98"/>
      <c r="S67" s="98"/>
      <c r="T67" s="98"/>
      <c r="U67" s="98"/>
    </row>
    <row r="68" spans="13:21" x14ac:dyDescent="0.25">
      <c r="M68" s="227" t="s">
        <v>113</v>
      </c>
      <c r="N68" s="227"/>
      <c r="O68" s="227"/>
      <c r="P68" s="227"/>
      <c r="Q68" s="227"/>
      <c r="R68" s="227"/>
      <c r="S68" s="227"/>
      <c r="T68" s="227"/>
      <c r="U68" s="98"/>
    </row>
  </sheetData>
  <mergeCells count="9">
    <mergeCell ref="AH4:AK4"/>
    <mergeCell ref="A48:J48"/>
    <mergeCell ref="N4:Q4"/>
    <mergeCell ref="R4:U4"/>
    <mergeCell ref="M68:T68"/>
    <mergeCell ref="V4:Y4"/>
    <mergeCell ref="Z4:AC4"/>
    <mergeCell ref="AD4:AG4"/>
    <mergeCell ref="A47:J4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3374-F39C-42DD-AD23-2259C9A081EF}">
  <dimension ref="A1:F21"/>
  <sheetViews>
    <sheetView workbookViewId="0"/>
  </sheetViews>
  <sheetFormatPr baseColWidth="10" defaultRowHeight="15" x14ac:dyDescent="0.25"/>
  <cols>
    <col min="2" max="2" width="20.5703125" customWidth="1"/>
    <col min="3" max="3" width="12.42578125" customWidth="1"/>
  </cols>
  <sheetData>
    <row r="1" spans="1:6" x14ac:dyDescent="0.25">
      <c r="A1" s="117" t="s">
        <v>102</v>
      </c>
      <c r="B1" s="118"/>
      <c r="D1" s="119"/>
      <c r="F1" s="117"/>
    </row>
    <row r="2" spans="1:6" x14ac:dyDescent="0.25">
      <c r="A2" s="120" t="s">
        <v>15</v>
      </c>
      <c r="B2" s="118"/>
      <c r="C2" s="228">
        <v>2024</v>
      </c>
      <c r="D2" s="229"/>
      <c r="E2" s="229"/>
      <c r="F2" s="230"/>
    </row>
    <row r="3" spans="1:6" ht="51" x14ac:dyDescent="0.25">
      <c r="A3" s="231" t="s">
        <v>91</v>
      </c>
      <c r="B3" s="230"/>
      <c r="C3" s="128" t="s">
        <v>92</v>
      </c>
      <c r="D3" s="128" t="s">
        <v>93</v>
      </c>
      <c r="E3" s="129" t="s">
        <v>94</v>
      </c>
      <c r="F3" s="129" t="s">
        <v>95</v>
      </c>
    </row>
    <row r="4" spans="1:6" x14ac:dyDescent="0.25">
      <c r="A4" s="130" t="s">
        <v>43</v>
      </c>
      <c r="B4" s="121" t="s">
        <v>8</v>
      </c>
      <c r="C4" s="163">
        <v>91.061999999999998</v>
      </c>
      <c r="D4" s="164">
        <v>68.248000000000005</v>
      </c>
      <c r="E4" s="165">
        <v>1.0418841739942679</v>
      </c>
      <c r="F4" s="166">
        <v>1.8766427980037983</v>
      </c>
    </row>
    <row r="5" spans="1:6" x14ac:dyDescent="0.25">
      <c r="A5" s="131"/>
      <c r="B5" s="122" t="s">
        <v>9</v>
      </c>
      <c r="C5" s="167">
        <v>46.819000000000003</v>
      </c>
      <c r="D5" s="168">
        <v>33.932000000000002</v>
      </c>
      <c r="E5" s="169">
        <v>0.43196853149982362</v>
      </c>
      <c r="F5" s="170">
        <v>1.8207808988643461</v>
      </c>
    </row>
    <row r="6" spans="1:6" x14ac:dyDescent="0.25">
      <c r="A6" s="130" t="s">
        <v>44</v>
      </c>
      <c r="B6" s="123" t="s">
        <v>45</v>
      </c>
      <c r="C6" s="163">
        <v>32.984999999999999</v>
      </c>
      <c r="D6" s="143">
        <v>27.209</v>
      </c>
      <c r="E6" s="165">
        <v>1.3156556440370706</v>
      </c>
      <c r="F6" s="166">
        <v>9.0696062026253159</v>
      </c>
    </row>
    <row r="7" spans="1:6" x14ac:dyDescent="0.25">
      <c r="A7" s="132"/>
      <c r="B7" s="123" t="s">
        <v>46</v>
      </c>
      <c r="C7" s="171">
        <v>22.748999999999999</v>
      </c>
      <c r="D7" s="143">
        <v>18.509</v>
      </c>
      <c r="E7" s="172">
        <v>1.0079340077705159</v>
      </c>
      <c r="F7" s="170">
        <v>4.0107913669064752</v>
      </c>
    </row>
    <row r="8" spans="1:6" x14ac:dyDescent="0.25">
      <c r="A8" s="132"/>
      <c r="B8" s="123" t="s">
        <v>47</v>
      </c>
      <c r="C8" s="171">
        <v>35.4</v>
      </c>
      <c r="D8" s="143">
        <v>24.045000000000002</v>
      </c>
      <c r="E8" s="172">
        <v>0.75604241269792449</v>
      </c>
      <c r="F8" s="170">
        <v>2.1486610745181931</v>
      </c>
    </row>
    <row r="9" spans="1:6" x14ac:dyDescent="0.25">
      <c r="A9" s="132"/>
      <c r="B9" s="123" t="s">
        <v>48</v>
      </c>
      <c r="C9" s="171">
        <v>27.448</v>
      </c>
      <c r="D9" s="143">
        <v>17.824999999999999</v>
      </c>
      <c r="E9" s="172">
        <v>0.60561851946482814</v>
      </c>
      <c r="F9" s="170">
        <v>1.1987254841304213</v>
      </c>
    </row>
    <row r="10" spans="1:6" x14ac:dyDescent="0.25">
      <c r="A10" s="132"/>
      <c r="B10" s="123" t="s">
        <v>49</v>
      </c>
      <c r="C10" s="171">
        <v>16.978999999999999</v>
      </c>
      <c r="D10" s="143">
        <v>11.747</v>
      </c>
      <c r="E10" s="172">
        <v>0.38567538167188997</v>
      </c>
      <c r="F10" s="170">
        <v>0.71149266278869761</v>
      </c>
    </row>
    <row r="11" spans="1:6" x14ac:dyDescent="0.25">
      <c r="A11" s="131"/>
      <c r="B11" s="123" t="s">
        <v>96</v>
      </c>
      <c r="C11" s="167">
        <v>2.3199999999999998</v>
      </c>
      <c r="D11" s="168">
        <v>2.8450000000000002</v>
      </c>
      <c r="E11" s="169">
        <v>0.19371592227983603</v>
      </c>
      <c r="F11" s="173">
        <v>0.5905920451714689</v>
      </c>
    </row>
    <row r="12" spans="1:6" x14ac:dyDescent="0.25">
      <c r="A12" s="133" t="s">
        <v>97</v>
      </c>
      <c r="B12" s="121" t="s">
        <v>52</v>
      </c>
      <c r="C12" s="174">
        <v>40.621000000000002</v>
      </c>
      <c r="D12" s="143">
        <v>30.233000000000001</v>
      </c>
      <c r="E12" s="165" t="s">
        <v>98</v>
      </c>
      <c r="F12" s="170">
        <v>1.3437701123267896</v>
      </c>
    </row>
    <row r="13" spans="1:6" x14ac:dyDescent="0.25">
      <c r="A13" s="134"/>
      <c r="B13" s="123" t="s">
        <v>53</v>
      </c>
      <c r="C13" s="175">
        <v>61.496000000000002</v>
      </c>
      <c r="D13" s="143">
        <v>43.908999999999999</v>
      </c>
      <c r="E13" s="176" t="s">
        <v>98</v>
      </c>
      <c r="F13" s="170">
        <v>2.186951506445951</v>
      </c>
    </row>
    <row r="14" spans="1:6" x14ac:dyDescent="0.25">
      <c r="A14" s="135"/>
      <c r="B14" s="123" t="s">
        <v>54</v>
      </c>
      <c r="C14" s="177">
        <v>35.764000000000003</v>
      </c>
      <c r="D14" s="143">
        <v>28.038</v>
      </c>
      <c r="E14" s="178" t="s">
        <v>98</v>
      </c>
      <c r="F14" s="170">
        <v>2.2562762188100272</v>
      </c>
    </row>
    <row r="15" spans="1:6" x14ac:dyDescent="0.25">
      <c r="A15" s="133" t="s">
        <v>99</v>
      </c>
      <c r="B15" s="124" t="s">
        <v>4</v>
      </c>
      <c r="C15" s="179">
        <v>17.585000000000001</v>
      </c>
      <c r="D15" s="164">
        <v>23.960999999999999</v>
      </c>
      <c r="E15" s="165" t="s">
        <v>98</v>
      </c>
      <c r="F15" s="166">
        <v>0.638718990034427</v>
      </c>
    </row>
    <row r="16" spans="1:6" x14ac:dyDescent="0.25">
      <c r="A16" s="134"/>
      <c r="B16" s="125" t="s">
        <v>3</v>
      </c>
      <c r="C16" s="180">
        <v>110.381</v>
      </c>
      <c r="D16" s="143">
        <v>67.888999999999996</v>
      </c>
      <c r="E16" s="176" t="s">
        <v>98</v>
      </c>
      <c r="F16" s="170">
        <v>4.9531273597742347</v>
      </c>
    </row>
    <row r="17" spans="1:6" x14ac:dyDescent="0.25">
      <c r="A17" s="135"/>
      <c r="B17" s="122" t="s">
        <v>100</v>
      </c>
      <c r="C17" s="177">
        <v>9.9149999999999991</v>
      </c>
      <c r="D17" s="143">
        <v>10.33</v>
      </c>
      <c r="E17" s="178" t="s">
        <v>98</v>
      </c>
      <c r="F17" s="170">
        <v>2.7309330379449004</v>
      </c>
    </row>
    <row r="18" spans="1:6" x14ac:dyDescent="0.25">
      <c r="A18" s="126" t="s">
        <v>55</v>
      </c>
      <c r="B18" s="127"/>
      <c r="C18" s="181">
        <v>137.881</v>
      </c>
      <c r="D18" s="147">
        <v>102.18</v>
      </c>
      <c r="E18" s="182">
        <v>0.70424168206098803</v>
      </c>
      <c r="F18" s="183">
        <v>1.8577158385638028</v>
      </c>
    </row>
    <row r="19" spans="1:6" x14ac:dyDescent="0.25">
      <c r="A19" s="234" t="s">
        <v>101</v>
      </c>
      <c r="B19" s="235"/>
      <c r="C19" s="235"/>
      <c r="D19" s="235"/>
      <c r="E19" s="235"/>
      <c r="F19" s="235"/>
    </row>
    <row r="20" spans="1:6" ht="23.25" customHeight="1" x14ac:dyDescent="0.25">
      <c r="A20" s="232" t="s">
        <v>108</v>
      </c>
      <c r="B20" s="233"/>
      <c r="C20" s="233"/>
      <c r="D20" s="233"/>
      <c r="E20" s="233"/>
      <c r="F20" s="233"/>
    </row>
    <row r="21" spans="1:6" x14ac:dyDescent="0.25">
      <c r="A21" s="137" t="s">
        <v>112</v>
      </c>
    </row>
  </sheetData>
  <mergeCells count="4">
    <mergeCell ref="C2:F2"/>
    <mergeCell ref="A3:B3"/>
    <mergeCell ref="A20:F20"/>
    <mergeCell ref="A19:F1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85D7-D5FF-4313-8194-DD0263954643}">
  <dimension ref="A1:H23"/>
  <sheetViews>
    <sheetView workbookViewId="0"/>
  </sheetViews>
  <sheetFormatPr baseColWidth="10" defaultRowHeight="15" x14ac:dyDescent="0.25"/>
  <cols>
    <col min="2" max="2" width="16.140625" bestFit="1" customWidth="1"/>
  </cols>
  <sheetData>
    <row r="1" spans="1:8" x14ac:dyDescent="0.25">
      <c r="A1" s="117" t="s">
        <v>109</v>
      </c>
      <c r="B1" s="118"/>
      <c r="F1" s="119"/>
      <c r="G1" s="119"/>
      <c r="H1" s="119"/>
    </row>
    <row r="2" spans="1:8" x14ac:dyDescent="0.25">
      <c r="A2" s="118" t="s">
        <v>15</v>
      </c>
      <c r="B2" s="118"/>
      <c r="C2" s="228">
        <v>2024</v>
      </c>
      <c r="D2" s="242"/>
      <c r="E2" s="243"/>
      <c r="F2" s="243"/>
      <c r="G2" s="243"/>
      <c r="H2" s="244"/>
    </row>
    <row r="3" spans="1:8" x14ac:dyDescent="0.25">
      <c r="A3" s="118"/>
      <c r="B3" s="118"/>
      <c r="C3" s="228" t="s">
        <v>103</v>
      </c>
      <c r="D3" s="243"/>
      <c r="E3" s="243"/>
      <c r="F3" s="228" t="s">
        <v>11</v>
      </c>
      <c r="G3" s="243"/>
      <c r="H3" s="244"/>
    </row>
    <row r="4" spans="1:8" ht="15" customHeight="1" x14ac:dyDescent="0.25">
      <c r="A4" s="245" t="s">
        <v>91</v>
      </c>
      <c r="B4" s="246"/>
      <c r="C4" s="249" t="s">
        <v>55</v>
      </c>
      <c r="D4" s="249" t="s">
        <v>104</v>
      </c>
      <c r="E4" s="249" t="s">
        <v>105</v>
      </c>
      <c r="F4" s="249" t="s">
        <v>55</v>
      </c>
      <c r="G4" s="249" t="s">
        <v>106</v>
      </c>
      <c r="H4" s="249" t="s">
        <v>107</v>
      </c>
    </row>
    <row r="5" spans="1:8" x14ac:dyDescent="0.25">
      <c r="A5" s="247"/>
      <c r="B5" s="248"/>
      <c r="C5" s="250"/>
      <c r="D5" s="250"/>
      <c r="E5" s="250"/>
      <c r="F5" s="250"/>
      <c r="G5" s="250"/>
      <c r="H5" s="250"/>
    </row>
    <row r="6" spans="1:8" x14ac:dyDescent="0.25">
      <c r="A6" s="236" t="s">
        <v>43</v>
      </c>
      <c r="B6" s="121" t="s">
        <v>8</v>
      </c>
      <c r="C6" s="140">
        <v>342.80599999999998</v>
      </c>
      <c r="D6" s="140">
        <v>91.061999999999998</v>
      </c>
      <c r="E6" s="148">
        <v>26.563712420436048</v>
      </c>
      <c r="F6" s="149">
        <v>318.84500000000003</v>
      </c>
      <c r="G6" s="149">
        <v>68.248000000000005</v>
      </c>
      <c r="H6" s="148">
        <v>21.404757797675984</v>
      </c>
    </row>
    <row r="7" spans="1:8" x14ac:dyDescent="0.25">
      <c r="A7" s="237"/>
      <c r="B7" s="122" t="s">
        <v>9</v>
      </c>
      <c r="C7" s="141">
        <v>174.328</v>
      </c>
      <c r="D7" s="141">
        <v>46.819000000000003</v>
      </c>
      <c r="E7" s="150">
        <v>26.856844568858705</v>
      </c>
      <c r="F7" s="151">
        <v>162.75299999999999</v>
      </c>
      <c r="G7" s="151">
        <v>33.932000000000002</v>
      </c>
      <c r="H7" s="150">
        <v>20.848770836789495</v>
      </c>
    </row>
    <row r="8" spans="1:8" x14ac:dyDescent="0.25">
      <c r="A8" s="236" t="s">
        <v>44</v>
      </c>
      <c r="B8" s="123" t="s">
        <v>45</v>
      </c>
      <c r="C8" s="192">
        <v>146.65600000000001</v>
      </c>
      <c r="D8" s="140">
        <v>32.984999999999999</v>
      </c>
      <c r="E8" s="148">
        <v>22.491408466070258</v>
      </c>
      <c r="F8" s="152">
        <v>85.463999999999999</v>
      </c>
      <c r="G8" s="152">
        <v>27.209</v>
      </c>
      <c r="H8" s="148">
        <v>31.836796779930733</v>
      </c>
    </row>
    <row r="9" spans="1:8" x14ac:dyDescent="0.25">
      <c r="A9" s="238"/>
      <c r="B9" s="123" t="s">
        <v>46</v>
      </c>
      <c r="C9" s="193">
        <v>87.915000000000006</v>
      </c>
      <c r="D9" s="142">
        <v>22.748999999999999</v>
      </c>
      <c r="E9" s="153">
        <v>25.876130353182049</v>
      </c>
      <c r="F9" s="152">
        <v>65.308999999999997</v>
      </c>
      <c r="G9" s="152">
        <v>18.509</v>
      </c>
      <c r="H9" s="153">
        <v>28.340657489779357</v>
      </c>
    </row>
    <row r="10" spans="1:8" x14ac:dyDescent="0.25">
      <c r="A10" s="238"/>
      <c r="B10" s="123" t="s">
        <v>47</v>
      </c>
      <c r="C10" s="193">
        <v>118.502</v>
      </c>
      <c r="D10" s="142">
        <v>35.4</v>
      </c>
      <c r="E10" s="153">
        <v>29.872913537324266</v>
      </c>
      <c r="F10" s="152">
        <v>85.308999999999997</v>
      </c>
      <c r="G10" s="152">
        <v>24.045000000000002</v>
      </c>
      <c r="H10" s="153">
        <v>28.185771723968166</v>
      </c>
    </row>
    <row r="11" spans="1:8" x14ac:dyDescent="0.25">
      <c r="A11" s="238"/>
      <c r="B11" s="123" t="s">
        <v>48</v>
      </c>
      <c r="C11" s="193">
        <v>86.971000000000004</v>
      </c>
      <c r="D11" s="142">
        <v>27.448</v>
      </c>
      <c r="E11" s="153">
        <v>31.559945269112692</v>
      </c>
      <c r="F11" s="152">
        <v>59.668999999999997</v>
      </c>
      <c r="G11" s="152">
        <v>17.824999999999999</v>
      </c>
      <c r="H11" s="153">
        <v>29.873133452881735</v>
      </c>
    </row>
    <row r="12" spans="1:8" x14ac:dyDescent="0.25">
      <c r="A12" s="238"/>
      <c r="B12" s="123" t="s">
        <v>49</v>
      </c>
      <c r="C12" s="193">
        <v>58.643999999999998</v>
      </c>
      <c r="D12" s="142">
        <v>16.978999999999999</v>
      </c>
      <c r="E12" s="153">
        <v>28.952663529090785</v>
      </c>
      <c r="F12" s="152">
        <v>66.885999999999996</v>
      </c>
      <c r="G12" s="152">
        <v>11.747</v>
      </c>
      <c r="H12" s="153">
        <v>17.562718655623001</v>
      </c>
    </row>
    <row r="13" spans="1:8" x14ac:dyDescent="0.25">
      <c r="A13" s="237"/>
      <c r="B13" s="123" t="s">
        <v>96</v>
      </c>
      <c r="C13" s="194">
        <v>18.446000000000002</v>
      </c>
      <c r="D13" s="141">
        <v>2.3199999999999998</v>
      </c>
      <c r="E13" s="150">
        <v>12.577252520871731</v>
      </c>
      <c r="F13" s="151">
        <v>118.961</v>
      </c>
      <c r="G13" s="151">
        <v>2.8450000000000002</v>
      </c>
      <c r="H13" s="150">
        <v>2.3915400845655297</v>
      </c>
    </row>
    <row r="14" spans="1:8" x14ac:dyDescent="0.25">
      <c r="A14" s="239" t="s">
        <v>97</v>
      </c>
      <c r="B14" s="121" t="s">
        <v>52</v>
      </c>
      <c r="C14" s="195">
        <v>185.673</v>
      </c>
      <c r="D14" s="154">
        <v>40.621000000000002</v>
      </c>
      <c r="E14" s="155">
        <v>21.877709737010768</v>
      </c>
      <c r="F14" s="152">
        <v>169.983</v>
      </c>
      <c r="G14" s="152">
        <v>30.233000000000001</v>
      </c>
      <c r="H14" s="155">
        <v>17.78589623668249</v>
      </c>
    </row>
    <row r="15" spans="1:8" x14ac:dyDescent="0.25">
      <c r="A15" s="240"/>
      <c r="B15" s="123" t="s">
        <v>53</v>
      </c>
      <c r="C15" s="195">
        <v>214.286</v>
      </c>
      <c r="D15" s="156">
        <v>61.496000000000002</v>
      </c>
      <c r="E15" s="153">
        <v>28.698095069206573</v>
      </c>
      <c r="F15" s="152">
        <v>201.53</v>
      </c>
      <c r="G15" s="152">
        <v>43.908999999999999</v>
      </c>
      <c r="H15" s="153">
        <v>21.787823152880463</v>
      </c>
    </row>
    <row r="16" spans="1:8" x14ac:dyDescent="0.25">
      <c r="A16" s="241"/>
      <c r="B16" s="123" t="s">
        <v>54</v>
      </c>
      <c r="C16" s="195">
        <v>117.175</v>
      </c>
      <c r="D16" s="146">
        <v>35.764000000000003</v>
      </c>
      <c r="E16" s="157">
        <v>30.521868999359935</v>
      </c>
      <c r="F16" s="152">
        <v>110.08499999999999</v>
      </c>
      <c r="G16" s="152">
        <v>28.038</v>
      </c>
      <c r="H16" s="157">
        <v>25.469410001362586</v>
      </c>
    </row>
    <row r="17" spans="1:8" x14ac:dyDescent="0.25">
      <c r="A17" s="239" t="s">
        <v>99</v>
      </c>
      <c r="B17" s="124" t="s">
        <v>4</v>
      </c>
      <c r="C17" s="196">
        <v>71.593000000000004</v>
      </c>
      <c r="D17" s="144">
        <v>17.585000000000001</v>
      </c>
      <c r="E17" s="158">
        <v>24.562457223471569</v>
      </c>
      <c r="F17" s="149">
        <v>174.655</v>
      </c>
      <c r="G17" s="149">
        <v>23.960999999999999</v>
      </c>
      <c r="H17" s="158">
        <v>13.719046119492715</v>
      </c>
    </row>
    <row r="18" spans="1:8" x14ac:dyDescent="0.25">
      <c r="A18" s="240"/>
      <c r="B18" s="125" t="s">
        <v>3</v>
      </c>
      <c r="C18" s="197">
        <v>393.303</v>
      </c>
      <c r="D18" s="145">
        <v>110.381</v>
      </c>
      <c r="E18" s="159">
        <v>28.065130446500536</v>
      </c>
      <c r="F18" s="152">
        <v>261.17899999999997</v>
      </c>
      <c r="G18" s="152">
        <v>67.888999999999996</v>
      </c>
      <c r="H18" s="159">
        <v>25.993284299273679</v>
      </c>
    </row>
    <row r="19" spans="1:8" x14ac:dyDescent="0.25">
      <c r="A19" s="241"/>
      <c r="B19" s="122" t="s">
        <v>100</v>
      </c>
      <c r="C19" s="198">
        <v>52.238</v>
      </c>
      <c r="D19" s="146">
        <v>9.9149999999999991</v>
      </c>
      <c r="E19" s="157">
        <v>18.980435698150767</v>
      </c>
      <c r="F19" s="152">
        <v>45.764000000000003</v>
      </c>
      <c r="G19" s="152">
        <v>10.33</v>
      </c>
      <c r="H19" s="157">
        <v>22.572327593741804</v>
      </c>
    </row>
    <row r="20" spans="1:8" x14ac:dyDescent="0.25">
      <c r="A20" s="126" t="s">
        <v>55</v>
      </c>
      <c r="B20" s="127"/>
      <c r="C20" s="147">
        <v>517.13400000000001</v>
      </c>
      <c r="D20" s="160">
        <v>137.881</v>
      </c>
      <c r="E20" s="161">
        <v>26.662528474244585</v>
      </c>
      <c r="F20" s="162">
        <v>481.59800000000001</v>
      </c>
      <c r="G20" s="162">
        <v>102.18</v>
      </c>
      <c r="H20" s="161">
        <v>21.216865518544516</v>
      </c>
    </row>
    <row r="21" spans="1:8" x14ac:dyDescent="0.25">
      <c r="A21" s="136" t="s">
        <v>101</v>
      </c>
    </row>
    <row r="22" spans="1:8" x14ac:dyDescent="0.25">
      <c r="A22" s="58" t="s">
        <v>108</v>
      </c>
    </row>
    <row r="23" spans="1:8" x14ac:dyDescent="0.25">
      <c r="A23" s="137" t="s">
        <v>114</v>
      </c>
    </row>
  </sheetData>
  <mergeCells count="14">
    <mergeCell ref="A6:A7"/>
    <mergeCell ref="A8:A13"/>
    <mergeCell ref="A14:A16"/>
    <mergeCell ref="A17:A19"/>
    <mergeCell ref="C2:H2"/>
    <mergeCell ref="C3:E3"/>
    <mergeCell ref="F3:H3"/>
    <mergeCell ref="A4:B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SOMMAIRE</vt:lpstr>
      <vt:lpstr>AVERTISSEMENT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SOMMAIRE!_ftnref1</vt:lpstr>
    </vt:vector>
  </TitlesOfParts>
  <Company>Secrétariat Général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PONS Yannig</dc:creator>
  <cp:lastModifiedBy>GODEFROY Pascal</cp:lastModifiedBy>
  <cp:lastPrinted>2022-07-19T17:18:21Z</cp:lastPrinted>
  <dcterms:created xsi:type="dcterms:W3CDTF">2022-05-23T12:11:55Z</dcterms:created>
  <dcterms:modified xsi:type="dcterms:W3CDTF">2026-10-07T14:18:39Z</dcterms:modified>
</cp:coreProperties>
</file>