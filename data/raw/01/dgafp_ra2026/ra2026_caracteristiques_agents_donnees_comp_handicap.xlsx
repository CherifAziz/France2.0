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ochardon-adc\Documents\dgafp\RA\RA2026\vueE3\DC\"/>
    </mc:Choice>
  </mc:AlternateContent>
  <xr:revisionPtr revIDLastSave="0" documentId="13_ncr:1_{4328B2A8-4E6F-48F0-8F19-7F615E441D9E}" xr6:coauthVersionLast="47" xr6:coauthVersionMax="47" xr10:uidLastSave="{00000000-0000-0000-0000-000000000000}"/>
  <bookViews>
    <workbookView xWindow="-120" yWindow="-120" windowWidth="20730" windowHeight="11040" xr2:uid="{00000000-000D-0000-FFFF-FFFF00000000}"/>
  </bookViews>
  <sheets>
    <sheet name="SOMMAIRE" sheetId="8" r:id="rId1"/>
    <sheet name="Figure 1" sheetId="6" r:id="rId2"/>
    <sheet name="Figure 2" sheetId="7" r:id="rId3"/>
    <sheet name="Figure 3" sheetId="10" r:id="rId4"/>
    <sheet name="Figure 4" sheetId="1" r:id="rId5"/>
    <sheet name="Figure 5" sheetId="2" r:id="rId6"/>
    <sheet name="Figure 6" sheetId="12" r:id="rId7"/>
    <sheet name="Figure 7" sheetId="3" r:id="rId8"/>
    <sheet name="Figure 8" sheetId="5" r:id="rId9"/>
    <sheet name="Figure 9"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 i="3" l="1"/>
  <c r="A8" i="8" l="1"/>
  <c r="A5" i="8"/>
  <c r="M19" i="3" l="1"/>
  <c r="M18" i="3"/>
  <c r="M17" i="3"/>
  <c r="M16" i="3"/>
  <c r="M15" i="3"/>
  <c r="M14" i="3"/>
  <c r="M13" i="3"/>
  <c r="M12" i="3"/>
  <c r="M11" i="3"/>
  <c r="M10" i="3"/>
  <c r="M9" i="3"/>
  <c r="M8" i="3"/>
  <c r="M7" i="3"/>
  <c r="M5" i="3"/>
  <c r="L12" i="3"/>
  <c r="L19" i="3" l="1"/>
  <c r="L18" i="3"/>
  <c r="L17" i="3"/>
  <c r="L16" i="3"/>
  <c r="L15" i="3"/>
  <c r="L14" i="3"/>
  <c r="L13" i="3"/>
  <c r="L11" i="3"/>
  <c r="L10" i="3"/>
  <c r="L9" i="3"/>
  <c r="L8" i="3"/>
  <c r="L7" i="3"/>
  <c r="K19" i="3"/>
  <c r="K7" i="3"/>
  <c r="K8" i="3"/>
  <c r="K9" i="3"/>
  <c r="K10" i="3"/>
  <c r="K11" i="3"/>
  <c r="K13" i="3"/>
  <c r="K14" i="3"/>
  <c r="K15" i="3"/>
  <c r="K16" i="3"/>
  <c r="K17" i="3"/>
  <c r="K18" i="3"/>
  <c r="K5" i="3"/>
  <c r="J7" i="3"/>
  <c r="J8" i="3"/>
  <c r="J9" i="3"/>
  <c r="J10" i="3"/>
  <c r="J11" i="3"/>
  <c r="J13" i="3"/>
  <c r="J14" i="3"/>
  <c r="J15" i="3"/>
  <c r="J16" i="3"/>
  <c r="J17" i="3"/>
  <c r="J18" i="3"/>
  <c r="J19" i="3"/>
  <c r="J5" i="3"/>
  <c r="K12" i="3" l="1"/>
  <c r="J12" i="3"/>
  <c r="A3" i="8" l="1"/>
  <c r="A11" i="8"/>
  <c r="A10" i="8"/>
  <c r="A9" i="8"/>
  <c r="A7" i="8"/>
  <c r="A6" i="8"/>
  <c r="A4" i="8"/>
</calcChain>
</file>

<file path=xl/sharedStrings.xml><?xml version="1.0" encoding="utf-8"?>
<sst xmlns="http://schemas.openxmlformats.org/spreadsheetml/2006/main" count="369" uniqueCount="216">
  <si>
    <t>FPT</t>
  </si>
  <si>
    <t>FPH</t>
  </si>
  <si>
    <t>Taux d'emploi direct (en points de %)</t>
  </si>
  <si>
    <t>Ministères</t>
  </si>
  <si>
    <t>Collectivités territoriales</t>
  </si>
  <si>
    <t>EPA locaux</t>
  </si>
  <si>
    <t>Hôpitaux</t>
  </si>
  <si>
    <t>Fonctionnaires</t>
  </si>
  <si>
    <t>Contractuels</t>
  </si>
  <si>
    <t>Emplois particuliers</t>
  </si>
  <si>
    <t>Ouvriers d'État</t>
  </si>
  <si>
    <t>Total</t>
  </si>
  <si>
    <t>Catégorie A</t>
  </si>
  <si>
    <t>Catégorie B</t>
  </si>
  <si>
    <t>Catégorie C</t>
  </si>
  <si>
    <t>Ensemble FPT</t>
  </si>
  <si>
    <t xml:space="preserve">Autres </t>
  </si>
  <si>
    <t>Ensemble FPH</t>
  </si>
  <si>
    <t>Hommes</t>
  </si>
  <si>
    <t>Femmes</t>
  </si>
  <si>
    <t>Ensemble</t>
  </si>
  <si>
    <t>Nombre de bénéficiaires
(en %)</t>
  </si>
  <si>
    <t>Europe et Affaires étrangères</t>
  </si>
  <si>
    <t>Agriculture et Alimentation</t>
  </si>
  <si>
    <t>Économie et Finances, Action et Comptes publics</t>
  </si>
  <si>
    <t>Culture</t>
  </si>
  <si>
    <t>Armées</t>
  </si>
  <si>
    <t>Intérieur, Cohésion des territoires et Outre-Mer</t>
  </si>
  <si>
    <t>Justice</t>
  </si>
  <si>
    <t>Services du Premier ministre</t>
  </si>
  <si>
    <t>Ensemble ministères</t>
  </si>
  <si>
    <t>FPE</t>
  </si>
  <si>
    <t>Ensemble de la fonction publique</t>
  </si>
  <si>
    <t>Secteur privé</t>
  </si>
  <si>
    <t xml:space="preserve">Part des agents ou salariés reconnus comme travailleurs handicapés ou percevant l'allocation aux adultes handicapés (AAH) à temps partiel et quotité de travail en EQTP </t>
  </si>
  <si>
    <t xml:space="preserve">Part des agents ou salariés reconnus comme travailleurs handicapés ou percevant l'allocation aux adultes handicapés (AAH) </t>
  </si>
  <si>
    <t>Hopitaux</t>
  </si>
  <si>
    <t>Autres</t>
  </si>
  <si>
    <t xml:space="preserve"> FPH</t>
  </si>
  <si>
    <t>Bénéficiaires de l'obligation d'emploi en faveur des travailleurs handicapés dans les trois versants de la fonction publique</t>
  </si>
  <si>
    <t>Bénéficiaires de l'obligation d'emploi en faveur des travailleurs handicapés par type d'employeur de la fonction publique</t>
  </si>
  <si>
    <t>Part des salariés à temps partiel</t>
  </si>
  <si>
    <t>Éducation nationale, Enseignement supérieur, Recherche et Innovation</t>
  </si>
  <si>
    <t>Part des agents à temps partiel</t>
  </si>
  <si>
    <r>
      <t>Quotité moyenne de travail en EQTP</t>
    </r>
    <r>
      <rPr>
        <vertAlign val="superscript"/>
        <sz val="10"/>
        <rFont val="Arial"/>
        <family val="2"/>
      </rPr>
      <t>(*)</t>
    </r>
  </si>
  <si>
    <r>
      <t>Quotité moyenne de travail en EQTP</t>
    </r>
    <r>
      <rPr>
        <b/>
        <vertAlign val="superscript"/>
        <sz val="10"/>
        <rFont val="Arial"/>
        <family val="2"/>
      </rPr>
      <t>(*)</t>
    </r>
  </si>
  <si>
    <t>Part des agents ou salariés à temps partiel</t>
  </si>
  <si>
    <t>dont Fonction publique territoriale</t>
  </si>
  <si>
    <t>Nombre de bénéficiaires (en milliers)</t>
  </si>
  <si>
    <t>Figure 1</t>
  </si>
  <si>
    <t>Figure 2</t>
  </si>
  <si>
    <t>Figure 3</t>
  </si>
  <si>
    <t>Figure 4</t>
  </si>
  <si>
    <t>Figure 5</t>
  </si>
  <si>
    <t>Figure 6</t>
  </si>
  <si>
    <t>Figure 7</t>
  </si>
  <si>
    <t>Effectif total rémunéré (en milliers)</t>
  </si>
  <si>
    <r>
      <t>Bénéficiaires de l'obligation d'emploi en faveur des travailleurs handicapés occupant un emploi particulier</t>
    </r>
    <r>
      <rPr>
        <b/>
        <vertAlign val="superscript"/>
        <sz val="10"/>
        <rFont val="Arial"/>
        <family val="2"/>
      </rPr>
      <t xml:space="preserve">(1) </t>
    </r>
    <r>
      <rPr>
        <b/>
        <sz val="10"/>
        <rFont val="Arial"/>
        <family val="2"/>
      </rPr>
      <t>par sexe et par versant de la fonction publique</t>
    </r>
  </si>
  <si>
    <t>Travailleurs handicapés</t>
  </si>
  <si>
    <t>en milliers</t>
  </si>
  <si>
    <t>en %</t>
  </si>
  <si>
    <t>MINISTERE DES AFFAIRES ETRANGERES ET EUROPEENNES</t>
  </si>
  <si>
    <t>MINISTERE DE L ECONOMIE DES FINANCES  ET DE LA RELANCE</t>
  </si>
  <si>
    <t>MINISTERE DE LA CULTURE</t>
  </si>
  <si>
    <t>MINISTERE DE LA JUSTICE</t>
  </si>
  <si>
    <t>MINISTERE GOUVERNEMENT PREMIER MINISTRE</t>
  </si>
  <si>
    <t>MINISTERE DU TRAVAIL DES RELATIONS SOCIALES DE LA FAMILLE ET DE LA SOLIDARITE</t>
  </si>
  <si>
    <t>MINISTERE DE L AGRICULTURE ET DE L ALIMENTATION</t>
  </si>
  <si>
    <t>MINISTERE DE L INTERIEUR</t>
  </si>
  <si>
    <t>COMMISSION NATIONALE INFORMATIQUE ET DES LIBERTES</t>
  </si>
  <si>
    <t>MINISTERE DE L EDUCATION NATIONALE JEUNESSE SPORTS</t>
  </si>
  <si>
    <t>MINISTERE TRANSITION ECOLOGIQUE</t>
  </si>
  <si>
    <t>MINISTERE DES ARMEES</t>
  </si>
  <si>
    <t>Ministère</t>
  </si>
  <si>
    <t>CAISSE DES DEPOTS ET CONSIGNATIONS</t>
  </si>
  <si>
    <t>CENTRE NATIONAL DE RECHERCHE SCIENTIFIQUE PARIS</t>
  </si>
  <si>
    <t>INSTITUT DE RECHERCHE POUR LE DEVELOPPEMENT</t>
  </si>
  <si>
    <t>INSTITUT NATIONAL DE SANTE ET DE LA RECHERCHE MEDICALE</t>
  </si>
  <si>
    <t>INSTITUT NATIONAL DE RECHERCHE EN INFORMATIQUE ET AUTOMATIQUE</t>
  </si>
  <si>
    <t>POLE EMPLOI</t>
  </si>
  <si>
    <t xml:space="preserve">METEO FRANCE </t>
  </si>
  <si>
    <t>EPN INSTITUT DE RECHERCHE POUR L AGRICULTURE L ALIMENTATION ET L ENVIRONNEMENT INRAE</t>
  </si>
  <si>
    <t>Employeur Secondaire état</t>
  </si>
  <si>
    <t>Groupement d'Intérêt public</t>
  </si>
  <si>
    <t>Autres employeurs secteur public national</t>
  </si>
  <si>
    <t>Fonction publique Etat</t>
  </si>
  <si>
    <t>Autres établissements de soins</t>
  </si>
  <si>
    <t>Hôpitaux-Autres</t>
  </si>
  <si>
    <t>Hôpitaux-Centre Hospitalier général</t>
  </si>
  <si>
    <t>Hôpitaux-Centre Hospitalier régional(dont CHU)</t>
  </si>
  <si>
    <t>Hôpitaux-Centre Hospitalier spécialisé</t>
  </si>
  <si>
    <t>Hôpitaux-Hôpital local</t>
  </si>
  <si>
    <t>Ctre hébergt pour pers âgées-Maison de retraite</t>
  </si>
  <si>
    <t>Fonction publique hospitalière</t>
  </si>
  <si>
    <t>CNFPT</t>
  </si>
  <si>
    <t>Commune</t>
  </si>
  <si>
    <t>Département</t>
  </si>
  <si>
    <t>EP locaux départementaux</t>
  </si>
  <si>
    <t>Ets pub loc-Ets départ-Sce protect incendie secour</t>
  </si>
  <si>
    <t>Région</t>
  </si>
  <si>
    <t>Ets publ loc-Ets interc non spécial-District</t>
  </si>
  <si>
    <t>Ets publics locaux</t>
  </si>
  <si>
    <t>Ets publ loc-Ets interc non spécial-Com urbaine</t>
  </si>
  <si>
    <t>Autre Etablissement Territorial</t>
  </si>
  <si>
    <t>Fonction publique territoriale</t>
  </si>
  <si>
    <t>Tableau 32 : Répartition des bénéficiaires par catégorie hiérarchique et par sexe</t>
  </si>
  <si>
    <t xml:space="preserve"> </t>
  </si>
  <si>
    <t>Titulaires Catégorie A</t>
  </si>
  <si>
    <t>Titulaires Catégorie B</t>
  </si>
  <si>
    <t>Titulaires Catégorie C</t>
  </si>
  <si>
    <t>Ouvriers dEtat</t>
  </si>
  <si>
    <t>Total général</t>
  </si>
  <si>
    <t>Féminin</t>
  </si>
  <si>
    <t>Masculin</t>
  </si>
  <si>
    <t>DIRECTION GENERALE DE L AVIATION CIVILE</t>
  </si>
  <si>
    <t>API AUTORITE DE REGULATION DES ACTIVITES FERROVIAIRES</t>
  </si>
  <si>
    <t>LYCEE CHARLES ET ADRIEN DUPUY</t>
  </si>
  <si>
    <t>CAISSE NATIONALE MILITAIRE DE SECURITE SOCIALE</t>
  </si>
  <si>
    <t>DIRECTION DE L INFORMATION LEGALE ET ADMINISTRATIVE</t>
  </si>
  <si>
    <t>ETS PUBLIC D INSERTION DE LA DEFENSE</t>
  </si>
  <si>
    <t>INSTITUT MINES TELECOM</t>
  </si>
  <si>
    <t xml:space="preserve">INSTITUT NATIONAL DE LA PROPRIETE INDUSTRIELLE </t>
  </si>
  <si>
    <t>OFFICE FRANCAIS DE L IMMIGRATION ET DE L INTEGRATION</t>
  </si>
  <si>
    <t xml:space="preserve">OFFICE NATIONAL DES ANCIENS COMBATTANTS ET VICTIMES DE GUERRE DE PARIS </t>
  </si>
  <si>
    <t>Grand EPA Nationaux</t>
  </si>
  <si>
    <t>Etablissements publics nationaux</t>
  </si>
  <si>
    <t>Ets publ administratifs</t>
  </si>
  <si>
    <t>Université - EPA Nationaux</t>
  </si>
  <si>
    <t>Organisme consulaire</t>
  </si>
  <si>
    <t>Organismes consulaires - EPA de SS</t>
  </si>
  <si>
    <t>Autres FPE</t>
  </si>
  <si>
    <t>Autres éts de soins-Autres</t>
  </si>
  <si>
    <t>Autres éts de soins-Etab pub à caract sanit social</t>
  </si>
  <si>
    <t>Etablissement d'hébergement pour personnes agées</t>
  </si>
  <si>
    <t>EP locaux communaux ou intercommunaux</t>
  </si>
  <si>
    <t>EP locaux régionaux</t>
  </si>
  <si>
    <t>Ets pub loc-Ets interc non spécial-Com communes</t>
  </si>
  <si>
    <t>Ets pub loc-Ets intercommunaux spécialisés</t>
  </si>
  <si>
    <t>Ets publ loc-Ets interc non spécial-SIVOM</t>
  </si>
  <si>
    <t>Ets publics loc- Ets départementaux-Autres</t>
  </si>
  <si>
    <t>Ets publics loc- Ets départementaux-CDG</t>
  </si>
  <si>
    <t xml:space="preserve">Transition écologique et solidaire </t>
  </si>
  <si>
    <t>Hors aviation civile</t>
  </si>
  <si>
    <t>Dont aviation civile</t>
  </si>
  <si>
    <t>Taux d'emploi direct (en %)</t>
  </si>
  <si>
    <t>Taux d'emploi direct  (en %)</t>
  </si>
  <si>
    <t>Ensemble fonction publique</t>
  </si>
  <si>
    <t xml:space="preserve">Taux d'emploi direct (en %) </t>
  </si>
  <si>
    <t>Ensemble FP</t>
  </si>
  <si>
    <r>
      <t>Établissements publics</t>
    </r>
    <r>
      <rPr>
        <vertAlign val="superscript"/>
        <sz val="10"/>
        <rFont val="Arial"/>
        <family val="2"/>
      </rPr>
      <t>(1)</t>
    </r>
  </si>
  <si>
    <t>Ensemble FPE</t>
  </si>
  <si>
    <t>EPA</t>
  </si>
  <si>
    <t>Dont…</t>
  </si>
  <si>
    <t>Ministères sociaux</t>
  </si>
  <si>
    <t>Effectif total rémunéré
(en %)</t>
  </si>
  <si>
    <t xml:space="preserve">Contient des données sur l'égalité professionnelle entre les femmes et les hommes </t>
  </si>
  <si>
    <t>oui</t>
  </si>
  <si>
    <t xml:space="preserve">Nom de l'onglet </t>
  </si>
  <si>
    <r>
      <t>dont FPE</t>
    </r>
    <r>
      <rPr>
        <i/>
        <vertAlign val="superscript"/>
        <sz val="10"/>
        <rFont val="Arial"/>
        <family val="2"/>
      </rPr>
      <t xml:space="preserve"> </t>
    </r>
    <r>
      <rPr>
        <i/>
        <sz val="10"/>
        <rFont val="Arial"/>
        <family val="2"/>
      </rPr>
      <t>(hors enseignement)</t>
    </r>
  </si>
  <si>
    <t>Dont : FPE (hors enseignement)</t>
  </si>
  <si>
    <t>Ensemble FPE (hors enseignement)</t>
  </si>
  <si>
    <t>Champ : Employeurs publics d’au moins 20 agents à temps plein ou leur équivalent, hors aides-soignants, infirmiers et emplois particuliers (stagiaires handicapés accueillis pour des stages pratiques)</t>
  </si>
  <si>
    <r>
      <t>Dont : FPE</t>
    </r>
    <r>
      <rPr>
        <i/>
        <vertAlign val="superscript"/>
        <sz val="10"/>
        <rFont val="Arial"/>
        <family val="2"/>
      </rPr>
      <t xml:space="preserve"> </t>
    </r>
    <r>
      <rPr>
        <i/>
        <sz val="10"/>
        <rFont val="Arial"/>
        <family val="2"/>
      </rPr>
      <t>(hors enseignement)</t>
    </r>
  </si>
  <si>
    <t>Au 31 décembre 2023</t>
  </si>
  <si>
    <t>Source : Insee, enquête Emploi, Traitement DGAFP - Sdessi,</t>
  </si>
  <si>
    <t>Source : Fonds pour l'insertion des personnes handicapées dans la fonction publique (FIPHFP),</t>
  </si>
  <si>
    <t>Es pub loc-Ets intercom spécial,-SIVU</t>
  </si>
  <si>
    <t>Ets pub loc-Ets interc spécial,-Synd mi assoc publ</t>
  </si>
  <si>
    <t>Ets pub loc-Ets intercom spécial,-CIAS</t>
  </si>
  <si>
    <t>Ets publ loc- Ets interc non spécial,-Autres</t>
  </si>
  <si>
    <t>Ets publ loc-Ets commun spécial,-Autres</t>
  </si>
  <si>
    <t>Ets publ loc-Ets commun spécial,-Caisse écoles</t>
  </si>
  <si>
    <t>Ets publ loc-Ets commun spécial,-CCAS</t>
  </si>
  <si>
    <t>Ets publics loc-Ets intercom spécial,-Autres</t>
  </si>
  <si>
    <t>Part des femmes parmis les agents reconnus comme travailleurs handicapés ou percevant l'allocation aux adultes handicapés</t>
  </si>
  <si>
    <t>Part des femmes parmis les salariés reconnus comme travailleurs handicapés ou percevant l'allocation aux adultes handicapés</t>
  </si>
  <si>
    <t>Part des femmes parmis l'ensemble des agents</t>
  </si>
  <si>
    <t>Part des femmes parmis l'ensemble des salariées</t>
  </si>
  <si>
    <t>Part des femmes parmis l'ensemble des agents et salariés</t>
  </si>
  <si>
    <t>Part des femmes parmis les agents et salariés reconnus comme travailleurs handicapés ou percevant l'allocation aux adultes handicapés</t>
  </si>
  <si>
    <t>Part des femmes parmis les bénéficiaires (en %)</t>
  </si>
  <si>
    <t>Part des femmes parmis les bénéficiaires (en points de %)</t>
  </si>
  <si>
    <t>Champ : France (hors Mayotte), salariés, hors stagiaires et bénéficiaires de contrats aidés.</t>
  </si>
  <si>
    <t>Source : Insee, enquête Emploi, Traitement DGAFP - Sdessi.</t>
  </si>
  <si>
    <t>(*)  La quotité moyenne de travail est ici celle de l'ensemble des agents/salariés reconnus comme travailleurs handicapés (temps complet ou temps partiel). L'estimation des EQTP est réalisée à partir d'une proratisation de la quotité du temps de travail hebdomadaire et du temps du contrat pour les salariés en CDD, les agents contractuels ou les intérimaires.</t>
  </si>
  <si>
    <t>Source : Fonds pour l'insertion des personnes handicapées dans la fonction publique (FIPHFP).</t>
  </si>
  <si>
    <t>Note 1 : Le taux d’emploi direct est le rapport entre le nombre de bénéficiaires de l’obligation d’emploi et l’effectif total rémunéré.</t>
  </si>
  <si>
    <t>Note 2 : Ces données sont celles déclarées par les employeurs, Le nombre de déclarants évoluant chaque année, cela peut entraîner des évolutions du nombre de bénéficiaires de l'obligation d'emploi plus ou moins importantes d'une année sur l'autre.</t>
  </si>
  <si>
    <t>Champ : Employeurs publics d’au moins 20 agents à temps plein ou leur équivalent, hors aides-soignants, infirmiers et emplois particuliers (stagiaires handicapés accueillis pour des stages pratiques).</t>
  </si>
  <si>
    <t>(1) Depuis 2014, les universités qui étaient auparavant rattachées au ministère de l'Éducation nationale sont comptabilisées parmi les établissements publics.</t>
  </si>
  <si>
    <t>Champ : Ministères, employeurs publics d’au moins 20 agents à temps plein ou leur équivalent, hors aides-soignants, infirmiers et emplois particuliers (stagiaires handicapés accueillis pour des stages pratiques).</t>
  </si>
  <si>
    <t>Note 2 : Ces données sont celles déclarées par les employeurs. Le nombre de déclarants évoluant chaque année, cela peut entraîner des évolutions du nombre de bénéficiaires de l'obligation d'emploi plus ou moins importantes d'une année sur l'autre.</t>
  </si>
  <si>
    <t>Note 3 : L'appellation des ministères renvoie à la nomenclature d'exécution de la loi de finances initiale de l'année, à l'exception des ministères économiques et financiers, ceux de l'enseignement, de l'Intérieur et de l'Outre-Mer ainsi que les ministères sociaux qui sont issus de regroupements.</t>
  </si>
  <si>
    <t>Champ : Employeurs publics d’au moins 20 agents à temps plein ou leur équivalent, hors aides-soignants, infirmiers et emplois particuliers.</t>
  </si>
  <si>
    <t>Note : Ces données sont celles déclarées par les employeurs. Le nombre de déclarants évoluant chaque année, cela peut entraîner des évolutions du nombre de bénéficiaires de l'obligation d'emploi plus ou moins importantes d'une année sur l'autre.</t>
  </si>
  <si>
    <t>(1) Stagiaires handicapés accueillis pour des stages pratiques dans le cadre de formations diplômantes ou de conventions conclues avec des structures de travail protégées, apprentis, CES, CEC, CAE, CA, emplois jeunes, emplois Berkani de droit privé.</t>
  </si>
  <si>
    <t xml:space="preserve">Part des femmes bénéficiaires (en %) </t>
  </si>
  <si>
    <t xml:space="preserve">Part des femmes parmi les agents ou salariés reconnus comme travailleurs handicapés ou percevant l'allocation aux adultes handicapés (AAH) </t>
  </si>
  <si>
    <t>Part des femmes parmi les bénéficiaires de l'obligation d'emploi en faveur des travailleurs handicapés par type d'employeur de la fonction publique</t>
  </si>
  <si>
    <t>Figure 8</t>
  </si>
  <si>
    <t>Figure 9</t>
  </si>
  <si>
    <t>Lecture : En 2024, le taux d'emploi direct dans la fonction publique de l'État était de 5,3 %.</t>
  </si>
  <si>
    <t>Lecture : En 2024, il y avait 306 900 bénéficiaires de l'obligation d'emploi en faveur des travailleurs handicapés dans l'ensemble de la fonction publique.</t>
  </si>
  <si>
    <t>Lecture : En 2024, dans l'ensemble de la fonction publique, 70% des bénéficiaires de l'obligation d'emploi en faveur des travailleurs handicapés sont des femmes.</t>
  </si>
  <si>
    <t>Au 31 décembre 2024</t>
  </si>
  <si>
    <t>Bénéficiaires de l'obligation d'emploi en faveur des travailleurs handicapés par ministères au 31 décembre 2024</t>
  </si>
  <si>
    <t>Évolution 2024/2023</t>
  </si>
  <si>
    <t>Lecture : Au 31 décembre 2024, le taux d'emploi direct au ministère de la culture était de 5,3 %, soit une hausse de 0,3 point par rapport à 2023.</t>
  </si>
  <si>
    <t>Lecture : En 2024, 900 hommes bénéficiaires de l'obligation d'emploi en faveur des travailleurs handicapés occupaient un emploi particulier dans la fonction publique.</t>
  </si>
  <si>
    <t>Lecture : Au 31 décembre 2024, parmis les bénéficiaires de l'obligation d'emploi en faveur des travailleurs handicapés de la FPE, 69 % étaient des femmes.</t>
  </si>
  <si>
    <t>Répartition des bénéficiaires de l'obligation d'emploi en faveur des travailleurs handicapés par statut et par sexe dans les trois versants de la fonction publique au 31 décembre 2024</t>
  </si>
  <si>
    <t>Source : Insee, enquêtes Emploi, Traitement DGAFP - Sdessi.</t>
  </si>
  <si>
    <t>Lecture : 30 % des agents de la fonction publique reconnus comme étant travailleurs handicapés ou bénéficiaires l'allocation aux adultes handicapés (AAH) travaillent à temps partiel en 2025.</t>
  </si>
  <si>
    <t>Lecture : 5,6 % des agents de la fonction publique sont reconnus comme étant travailleurs handicapés ou bénéficiaires l'allocation aux adultes handicapés (AAH) en 2025, contre 3,3 % en 2014.</t>
  </si>
  <si>
    <t>Lecture : En 2025, 66 % des agents de la fonction publique reconnus comme étant travailleurs handicapés ou bénéficiaires l'allocation aux adultes handicapés (AAH) sont des femmes.</t>
  </si>
  <si>
    <t>Note : L’affectation des agents publics à leur versant a été améliorée dans l'enquête emploi ce qui entraîne des différences par rapport aux résultats par versant des publications antérieures sur l’ensemble de la période 2021 à 2025. Notamment les accompagnants d’élèves en situation de handicap (AESH), qui figuraient initialement dans la FPT et la FPH  sont, après retraitement, désormais comptabilisés au sein de la FPE.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</si>
</sst>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0.00\ _€_-;\-* #,##0.00\ _€_-;_-* &quot;-&quot;??\ _€_-;_-@_-"/>
    <numFmt numFmtId="165" formatCode="_-* #,##0\ _€_-;\-* #,##0\ _€_-;_-* &quot;-&quot;??\ _€_-;_-@_-"/>
    <numFmt numFmtId="166" formatCode="0.0"/>
    <numFmt numFmtId="167" formatCode="#,##0.0"/>
    <numFmt numFmtId="168" formatCode="#,##0.0_ ;\-#,##0.0\ "/>
    <numFmt numFmtId="169" formatCode="0.00\ %"/>
    <numFmt numFmtId="170" formatCode="_-* #,##0_-;\-* #,##0_-;_-* &quot;-&quot;??_-;_-@_-"/>
    <numFmt numFmtId="171" formatCode="0.000"/>
    <numFmt numFmtId="172" formatCode="#,##0.00000"/>
    <numFmt numFmtId="173" formatCode="#,##0_ ;\-#,##0\ "/>
    <numFmt numFmtId="174" formatCode="#,##0.0000_ ;\-#,##0.0000\ "/>
    <numFmt numFmtId="175" formatCode="_-* #,##0.0\ _€_-;\-* #,##0.0\ _€_-;_-* &quot;-&quot;??\ _€_-;_-@_-"/>
  </numFmts>
  <fonts count="31">
    <font>
      <sz val="11"/>
      <color theme="1"/>
      <name val="Calibri"/>
      <family val="2"/>
      <scheme val="minor"/>
    </font>
    <font>
      <sz val="11"/>
      <color theme="1"/>
      <name val="Calibri"/>
      <family val="2"/>
      <scheme val="minor"/>
    </font>
    <font>
      <b/>
      <sz val="10"/>
      <name val="Arial"/>
      <family val="2"/>
    </font>
    <font>
      <sz val="10"/>
      <name val="Arial"/>
      <family val="2"/>
    </font>
    <font>
      <i/>
      <sz val="10"/>
      <name val="Arial"/>
      <family val="2"/>
    </font>
    <font>
      <b/>
      <vertAlign val="superscript"/>
      <sz val="10"/>
      <name val="Arial"/>
      <family val="2"/>
    </font>
    <font>
      <vertAlign val="superscript"/>
      <sz val="10"/>
      <name val="Arial"/>
      <family val="2"/>
    </font>
    <font>
      <b/>
      <sz val="10"/>
      <color rgb="FF0070C0"/>
      <name val="Arial"/>
      <family val="2"/>
    </font>
    <font>
      <i/>
      <vertAlign val="superscript"/>
      <sz val="10"/>
      <name val="Arial"/>
      <family val="2"/>
    </font>
    <font>
      <sz val="10"/>
      <color theme="1"/>
      <name val="Arial"/>
      <family val="2"/>
    </font>
    <font>
      <u/>
      <sz val="11"/>
      <color theme="10"/>
      <name val="Calibri"/>
      <family val="2"/>
      <scheme val="minor"/>
    </font>
    <font>
      <b/>
      <sz val="10"/>
      <color theme="1"/>
      <name val="Arial"/>
      <family val="2"/>
    </font>
    <font>
      <i/>
      <sz val="10"/>
      <color theme="1"/>
      <name val="Arial"/>
      <family val="2"/>
    </font>
    <font>
      <u/>
      <sz val="10"/>
      <color theme="10"/>
      <name val="Arial"/>
      <family val="2"/>
    </font>
    <font>
      <sz val="12"/>
      <name val="Calibri Light"/>
      <family val="2"/>
    </font>
    <font>
      <i/>
      <sz val="10"/>
      <color theme="5"/>
      <name val="Arial"/>
      <family val="2"/>
    </font>
    <font>
      <b/>
      <sz val="12"/>
      <name val="Arial"/>
      <family val="2"/>
    </font>
    <font>
      <b/>
      <sz val="12"/>
      <color indexed="8"/>
      <name val="Arial"/>
      <family val="2"/>
    </font>
    <font>
      <sz val="12"/>
      <color theme="1"/>
      <name val="Calibri"/>
      <family val="2"/>
      <scheme val="minor"/>
    </font>
    <font>
      <sz val="12"/>
      <name val="Calibri"/>
      <family val="2"/>
      <scheme val="minor"/>
    </font>
    <font>
      <b/>
      <sz val="12"/>
      <color theme="1"/>
      <name val="Calibri"/>
      <family val="2"/>
      <scheme val="minor"/>
    </font>
    <font>
      <sz val="12"/>
      <color rgb="FFFF0000"/>
      <name val="Calibri"/>
      <family val="2"/>
      <scheme val="minor"/>
    </font>
    <font>
      <b/>
      <sz val="10"/>
      <color theme="6"/>
      <name val="Arial"/>
      <family val="2"/>
    </font>
    <font>
      <i/>
      <sz val="10"/>
      <color theme="6"/>
      <name val="Arial"/>
      <family val="2"/>
    </font>
    <font>
      <sz val="10"/>
      <color rgb="FF000000"/>
      <name val="Arial"/>
      <family val="2"/>
    </font>
    <font>
      <b/>
      <sz val="10"/>
      <color rgb="FF000000"/>
      <name val="Arial"/>
      <family val="2"/>
    </font>
    <font>
      <sz val="11"/>
      <color indexed="8"/>
      <name val="Aptos Narrow"/>
      <family val="2"/>
    </font>
    <font>
      <b/>
      <i/>
      <sz val="10"/>
      <name val="Arial"/>
      <family val="2"/>
    </font>
    <font>
      <sz val="8"/>
      <name val="Calibri"/>
      <family val="2"/>
      <scheme val="minor"/>
    </font>
    <font>
      <i/>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mediumGray">
        <fgColor indexed="9"/>
        <bgColor theme="7" tint="0.59999389629810485"/>
      </patternFill>
    </fill>
    <fill>
      <patternFill patternType="solid">
        <fgColor theme="4"/>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indexed="64"/>
      </top>
      <bottom style="thin">
        <color auto="1"/>
      </bottom>
      <diagonal/>
    </border>
    <border>
      <left style="thin">
        <color indexed="9"/>
      </left>
      <right style="thin">
        <color indexed="9"/>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style="thin">
        <color auto="1"/>
      </left>
      <right style="double">
        <color auto="1"/>
      </right>
      <top style="thin">
        <color auto="1"/>
      </top>
      <bottom style="thin">
        <color auto="1"/>
      </bottom>
      <diagonal/>
    </border>
    <border>
      <left/>
      <right style="thin">
        <color auto="1"/>
      </right>
      <top style="dotted">
        <color auto="1"/>
      </top>
      <bottom style="thin">
        <color auto="1"/>
      </bottom>
      <diagonal/>
    </border>
    <border>
      <left style="thin">
        <color auto="1"/>
      </left>
      <right style="double">
        <color auto="1"/>
      </right>
      <top style="thin">
        <color auto="1"/>
      </top>
      <bottom/>
      <diagonal/>
    </border>
    <border>
      <left style="thin">
        <color auto="1"/>
      </left>
      <right style="double">
        <color auto="1"/>
      </right>
      <top style="dotted">
        <color auto="1"/>
      </top>
      <bottom style="thin">
        <color auto="1"/>
      </bottom>
      <diagonal/>
    </border>
  </borders>
  <cellStyleXfs count="7">
    <xf numFmtId="0" fontId="0" fillId="0" borderId="0"/>
    <xf numFmtId="164" fontId="1" fillId="0" borderId="0" applyFont="0" applyFill="0" applyBorder="0" applyAlignment="0" applyProtection="0"/>
    <xf numFmtId="9" fontId="3" fillId="0" borderId="0" applyFont="0" applyFill="0" applyBorder="0" applyAlignment="0" applyProtection="0"/>
    <xf numFmtId="0" fontId="10" fillId="0" borderId="0" applyNumberFormat="0" applyFill="0" applyBorder="0" applyAlignment="0" applyProtection="0"/>
    <xf numFmtId="0" fontId="3" fillId="0" borderId="0"/>
    <xf numFmtId="43" fontId="1" fillId="0" borderId="0" applyFont="0" applyFill="0" applyBorder="0" applyAlignment="0" applyProtection="0"/>
    <xf numFmtId="43" fontId="1" fillId="0" borderId="0" applyFont="0" applyFill="0" applyBorder="0" applyAlignment="0" applyProtection="0"/>
  </cellStyleXfs>
  <cellXfs count="435">
    <xf numFmtId="0" fontId="0" fillId="0" borderId="0" xfId="0"/>
    <xf numFmtId="0" fontId="3" fillId="2" borderId="4" xfId="0" applyFont="1" applyFill="1" applyBorder="1" applyAlignment="1">
      <alignment vertical="center"/>
    </xf>
    <xf numFmtId="0" fontId="3" fillId="2" borderId="7" xfId="0" applyFont="1" applyFill="1" applyBorder="1" applyAlignment="1">
      <alignment vertical="center"/>
    </xf>
    <xf numFmtId="0" fontId="2" fillId="2" borderId="2" xfId="0" applyFont="1" applyFill="1" applyBorder="1" applyAlignment="1">
      <alignment vertical="center"/>
    </xf>
    <xf numFmtId="0" fontId="2" fillId="2" borderId="7" xfId="0" applyFont="1" applyFill="1" applyBorder="1" applyAlignment="1">
      <alignment vertical="center"/>
    </xf>
    <xf numFmtId="0" fontId="3" fillId="2" borderId="4" xfId="0" applyFont="1" applyFill="1" applyBorder="1" applyAlignment="1">
      <alignment horizontal="left" vertical="center" wrapText="1"/>
    </xf>
    <xf numFmtId="0" fontId="3" fillId="2" borderId="7" xfId="0" applyFont="1" applyFill="1" applyBorder="1" applyAlignment="1">
      <alignment horizontal="left" vertical="center" wrapText="1"/>
    </xf>
    <xf numFmtId="0" fontId="2" fillId="2" borderId="10" xfId="0" applyFont="1" applyFill="1" applyBorder="1" applyAlignment="1">
      <alignment horizontal="left" wrapText="1"/>
    </xf>
    <xf numFmtId="0" fontId="3" fillId="2" borderId="4" xfId="0" applyFont="1" applyFill="1" applyBorder="1" applyAlignment="1">
      <alignment horizontal="left" wrapText="1"/>
    </xf>
    <xf numFmtId="0" fontId="3" fillId="2" borderId="7" xfId="0" applyFont="1" applyFill="1" applyBorder="1" applyAlignment="1">
      <alignment horizontal="left" wrapText="1"/>
    </xf>
    <xf numFmtId="0" fontId="2" fillId="2" borderId="10" xfId="0" applyFont="1" applyFill="1" applyBorder="1" applyAlignment="1">
      <alignment vertical="center"/>
    </xf>
    <xf numFmtId="0" fontId="3" fillId="2" borderId="1" xfId="0" applyFont="1" applyFill="1" applyBorder="1" applyAlignment="1">
      <alignment horizontal="center" vertical="center"/>
    </xf>
    <xf numFmtId="0" fontId="3" fillId="2" borderId="2" xfId="0" applyFont="1" applyFill="1" applyBorder="1"/>
    <xf numFmtId="0" fontId="9" fillId="0" borderId="0" xfId="0" applyFont="1"/>
    <xf numFmtId="0" fontId="3" fillId="0" borderId="12" xfId="0" applyNumberFormat="1" applyFont="1" applyFill="1" applyBorder="1" applyAlignment="1" applyProtection="1"/>
    <xf numFmtId="0" fontId="3" fillId="0" borderId="0" xfId="0" applyNumberFormat="1" applyFont="1" applyFill="1" applyBorder="1" applyAlignment="1" applyProtection="1"/>
    <xf numFmtId="1" fontId="2" fillId="0" borderId="13" xfId="0" applyNumberFormat="1" applyFont="1" applyFill="1" applyBorder="1" applyAlignment="1" applyProtection="1">
      <alignment horizontal="center"/>
    </xf>
    <xf numFmtId="0" fontId="3" fillId="0" borderId="13" xfId="0" applyNumberFormat="1" applyFont="1" applyFill="1" applyBorder="1" applyAlignment="1" applyProtection="1"/>
    <xf numFmtId="0" fontId="3" fillId="0" borderId="17" xfId="0" applyNumberFormat="1" applyFont="1" applyFill="1" applyBorder="1" applyAlignment="1" applyProtection="1"/>
    <xf numFmtId="0" fontId="2" fillId="0" borderId="17" xfId="0" applyNumberFormat="1" applyFont="1" applyFill="1" applyBorder="1" applyAlignment="1" applyProtection="1"/>
    <xf numFmtId="0" fontId="3" fillId="2" borderId="6" xfId="0" applyFont="1" applyFill="1" applyBorder="1" applyAlignment="1">
      <alignment horizontal="center" vertical="center"/>
    </xf>
    <xf numFmtId="0" fontId="2" fillId="0" borderId="13" xfId="0" applyNumberFormat="1" applyFont="1" applyFill="1" applyBorder="1" applyAlignment="1" applyProtection="1">
      <alignment wrapText="1"/>
    </xf>
    <xf numFmtId="0" fontId="3" fillId="4" borderId="14" xfId="0" applyFont="1" applyFill="1" applyBorder="1" applyAlignment="1">
      <alignment horizontal="left" wrapText="1"/>
    </xf>
    <xf numFmtId="0" fontId="3" fillId="4" borderId="15" xfId="0" applyFont="1" applyFill="1" applyBorder="1" applyAlignment="1">
      <alignment horizontal="left" wrapText="1"/>
    </xf>
    <xf numFmtId="0" fontId="2" fillId="4" borderId="15" xfId="0" applyFont="1" applyFill="1" applyBorder="1" applyAlignment="1">
      <alignment vertical="center" wrapText="1"/>
    </xf>
    <xf numFmtId="0" fontId="4" fillId="4" borderId="16" xfId="0" applyFont="1" applyFill="1" applyBorder="1" applyAlignment="1">
      <alignment horizontal="right" vertical="center" wrapText="1"/>
    </xf>
    <xf numFmtId="0" fontId="2" fillId="4" borderId="16" xfId="0" applyFont="1" applyFill="1" applyBorder="1" applyAlignment="1">
      <alignment horizontal="left" wrapText="1"/>
    </xf>
    <xf numFmtId="0" fontId="3" fillId="4" borderId="14" xfId="0" applyFont="1" applyFill="1" applyBorder="1" applyAlignment="1">
      <alignment horizontal="left"/>
    </xf>
    <xf numFmtId="0" fontId="3" fillId="4" borderId="15" xfId="0" applyFont="1" applyFill="1" applyBorder="1" applyAlignment="1">
      <alignment horizontal="left"/>
    </xf>
    <xf numFmtId="0" fontId="2" fillId="4" borderId="16" xfId="0" applyFont="1" applyFill="1" applyBorder="1" applyAlignment="1">
      <alignment vertical="center"/>
    </xf>
    <xf numFmtId="0" fontId="2" fillId="4" borderId="22" xfId="0" applyFont="1" applyFill="1" applyBorder="1" applyAlignment="1">
      <alignment vertical="center"/>
    </xf>
    <xf numFmtId="0" fontId="3" fillId="2" borderId="15" xfId="0" applyFont="1" applyFill="1" applyBorder="1" applyAlignment="1">
      <alignment horizontal="left" wrapText="1"/>
    </xf>
    <xf numFmtId="0" fontId="3" fillId="2" borderId="14" xfId="0" applyFont="1" applyFill="1" applyBorder="1" applyAlignment="1">
      <alignment horizontal="left"/>
    </xf>
    <xf numFmtId="0" fontId="3" fillId="2" borderId="15" xfId="0" applyFont="1" applyFill="1" applyBorder="1" applyAlignment="1">
      <alignment horizontal="left"/>
    </xf>
    <xf numFmtId="0" fontId="2" fillId="2" borderId="16" xfId="0" applyFont="1" applyFill="1" applyBorder="1" applyAlignment="1">
      <alignment vertical="center"/>
    </xf>
    <xf numFmtId="0" fontId="2" fillId="2" borderId="22" xfId="0" applyFont="1" applyFill="1" applyBorder="1" applyAlignment="1">
      <alignment vertical="center"/>
    </xf>
    <xf numFmtId="0" fontId="3" fillId="2" borderId="24" xfId="4" applyFont="1" applyFill="1" applyBorder="1" applyAlignment="1">
      <alignment horizontal="center" vertical="center"/>
    </xf>
    <xf numFmtId="0" fontId="3" fillId="2" borderId="25" xfId="4" applyFont="1" applyFill="1" applyBorder="1" applyAlignment="1">
      <alignment horizontal="center" vertical="center"/>
    </xf>
    <xf numFmtId="0" fontId="3" fillId="2" borderId="11" xfId="4" applyFont="1" applyFill="1" applyBorder="1" applyAlignment="1">
      <alignment horizontal="center"/>
    </xf>
    <xf numFmtId="0" fontId="2" fillId="2" borderId="25" xfId="4" applyFont="1" applyFill="1" applyBorder="1" applyAlignment="1">
      <alignment horizontal="center" vertical="center"/>
    </xf>
    <xf numFmtId="0" fontId="2" fillId="2" borderId="16" xfId="4" applyFont="1" applyFill="1" applyBorder="1" applyAlignment="1">
      <alignment horizontal="center"/>
    </xf>
    <xf numFmtId="0" fontId="2" fillId="0" borderId="0" xfId="0" applyFont="1" applyFill="1" applyAlignment="1"/>
    <xf numFmtId="0" fontId="3" fillId="3" borderId="14" xfId="0" applyNumberFormat="1" applyFont="1" applyFill="1" applyBorder="1" applyAlignment="1" applyProtection="1">
      <alignment horizontal="left" vertical="center" wrapText="1"/>
    </xf>
    <xf numFmtId="0" fontId="3" fillId="3" borderId="16" xfId="0" applyNumberFormat="1" applyFont="1" applyFill="1" applyBorder="1" applyAlignment="1" applyProtection="1">
      <alignment horizontal="left" vertical="center" wrapText="1"/>
    </xf>
    <xf numFmtId="0" fontId="3" fillId="3" borderId="21" xfId="0" applyNumberFormat="1" applyFont="1" applyFill="1" applyBorder="1" applyAlignment="1" applyProtection="1">
      <alignment horizontal="left" vertical="center" wrapText="1"/>
    </xf>
    <xf numFmtId="0" fontId="2" fillId="3" borderId="21" xfId="0" applyNumberFormat="1" applyFont="1" applyFill="1" applyBorder="1" applyAlignment="1" applyProtection="1">
      <alignment horizontal="left" vertical="center" wrapText="1"/>
    </xf>
    <xf numFmtId="0" fontId="2" fillId="3" borderId="16" xfId="0" applyNumberFormat="1" applyFont="1" applyFill="1" applyBorder="1" applyAlignment="1" applyProtection="1">
      <alignment horizontal="left" vertical="center" wrapText="1"/>
    </xf>
    <xf numFmtId="0" fontId="3" fillId="4" borderId="14" xfId="0" applyFont="1" applyFill="1" applyBorder="1" applyAlignment="1">
      <alignment wrapText="1"/>
    </xf>
    <xf numFmtId="0" fontId="3" fillId="4" borderId="15" xfId="0" applyFont="1" applyFill="1" applyBorder="1" applyAlignment="1">
      <alignment wrapText="1"/>
    </xf>
    <xf numFmtId="0" fontId="3" fillId="2" borderId="21"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3" fillId="2" borderId="21" xfId="0" applyFont="1" applyFill="1" applyBorder="1" applyAlignment="1">
      <alignment horizontal="left" wrapText="1"/>
    </xf>
    <xf numFmtId="0" fontId="3" fillId="2" borderId="23" xfId="0" applyFont="1" applyFill="1" applyBorder="1" applyAlignment="1">
      <alignment horizontal="left" wrapText="1"/>
    </xf>
    <xf numFmtId="0" fontId="2" fillId="2" borderId="23" xfId="0" applyFont="1" applyFill="1" applyBorder="1" applyAlignment="1">
      <alignment vertical="center" wrapText="1"/>
    </xf>
    <xf numFmtId="0" fontId="4" fillId="2" borderId="22" xfId="0" applyFont="1" applyFill="1" applyBorder="1" applyAlignment="1">
      <alignment horizontal="right" vertical="center" wrapText="1"/>
    </xf>
    <xf numFmtId="0" fontId="3" fillId="2" borderId="21" xfId="0" applyFont="1" applyFill="1" applyBorder="1" applyAlignment="1">
      <alignment horizontal="left"/>
    </xf>
    <xf numFmtId="0" fontId="3" fillId="2" borderId="23" xfId="0" applyFont="1" applyFill="1" applyBorder="1" applyAlignment="1">
      <alignment horizontal="left"/>
    </xf>
    <xf numFmtId="0" fontId="4" fillId="0" borderId="0" xfId="0" applyNumberFormat="1" applyFont="1" applyFill="1" applyBorder="1" applyAlignment="1" applyProtection="1">
      <alignment vertical="center"/>
    </xf>
    <xf numFmtId="0" fontId="3" fillId="3" borderId="0" xfId="0" applyNumberFormat="1" applyFont="1" applyFill="1" applyBorder="1" applyAlignment="1" applyProtection="1">
      <alignment vertical="center"/>
    </xf>
    <xf numFmtId="0" fontId="2" fillId="0" borderId="0" xfId="0" applyNumberFormat="1" applyFont="1" applyFill="1" applyBorder="1" applyAlignment="1" applyProtection="1">
      <alignment vertical="center"/>
    </xf>
    <xf numFmtId="0" fontId="9" fillId="0" borderId="0" xfId="0" applyFont="1" applyAlignment="1"/>
    <xf numFmtId="0" fontId="4" fillId="0" borderId="18" xfId="0" applyNumberFormat="1" applyFont="1" applyFill="1" applyBorder="1" applyAlignment="1" applyProtection="1">
      <alignment vertical="center"/>
    </xf>
    <xf numFmtId="0" fontId="3" fillId="0" borderId="0" xfId="0" applyNumberFormat="1" applyFont="1" applyFill="1" applyBorder="1" applyAlignment="1" applyProtection="1">
      <alignment vertical="center"/>
    </xf>
    <xf numFmtId="0" fontId="2" fillId="0" borderId="0" xfId="0" applyFont="1" applyFill="1" applyBorder="1" applyAlignment="1">
      <alignment vertical="center"/>
    </xf>
    <xf numFmtId="0" fontId="3" fillId="0" borderId="0" xfId="0" applyFont="1" applyFill="1" applyBorder="1"/>
    <xf numFmtId="0" fontId="2" fillId="2" borderId="2" xfId="0" applyFont="1" applyFill="1" applyBorder="1" applyAlignment="1">
      <alignment horizontal="left" vertical="center" wrapText="1"/>
    </xf>
    <xf numFmtId="0" fontId="2" fillId="2" borderId="2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2" xfId="0" applyFont="1" applyFill="1" applyBorder="1" applyAlignment="1">
      <alignment horizontal="left" vertical="center" wrapText="1"/>
    </xf>
    <xf numFmtId="166" fontId="3" fillId="2" borderId="23" xfId="0" applyNumberFormat="1" applyFont="1" applyFill="1" applyBorder="1" applyAlignment="1">
      <alignment horizontal="right"/>
    </xf>
    <xf numFmtId="166" fontId="3" fillId="2" borderId="15" xfId="0" applyNumberFormat="1" applyFont="1" applyFill="1" applyBorder="1" applyAlignment="1">
      <alignment horizontal="right"/>
    </xf>
    <xf numFmtId="166" fontId="3" fillId="2" borderId="21" xfId="0" applyNumberFormat="1" applyFont="1" applyFill="1" applyBorder="1" applyAlignment="1">
      <alignment horizontal="right"/>
    </xf>
    <xf numFmtId="166" fontId="3" fillId="2" borderId="14" xfId="0" applyNumberFormat="1" applyFont="1" applyFill="1" applyBorder="1" applyAlignment="1">
      <alignment horizontal="right"/>
    </xf>
    <xf numFmtId="166" fontId="2" fillId="2" borderId="21" xfId="0" applyNumberFormat="1" applyFont="1" applyFill="1" applyBorder="1" applyAlignment="1">
      <alignment horizontal="right"/>
    </xf>
    <xf numFmtId="166" fontId="2" fillId="2" borderId="14" xfId="0" applyNumberFormat="1" applyFont="1" applyFill="1" applyBorder="1" applyAlignment="1">
      <alignment horizontal="right"/>
    </xf>
    <xf numFmtId="166" fontId="3" fillId="2" borderId="22" xfId="0" applyNumberFormat="1" applyFont="1" applyFill="1" applyBorder="1" applyAlignment="1">
      <alignment horizontal="right"/>
    </xf>
    <xf numFmtId="166" fontId="3" fillId="2" borderId="16" xfId="0" applyNumberFormat="1" applyFont="1" applyFill="1" applyBorder="1" applyAlignment="1">
      <alignment horizontal="right"/>
    </xf>
    <xf numFmtId="0" fontId="3" fillId="0" borderId="0" xfId="0" applyFont="1" applyFill="1" applyBorder="1" applyAlignment="1">
      <alignment horizontal="left" vertical="center"/>
    </xf>
    <xf numFmtId="0" fontId="3" fillId="0" borderId="0" xfId="0" applyFont="1" applyFill="1" applyAlignment="1">
      <alignment horizontal="left"/>
    </xf>
    <xf numFmtId="0" fontId="3" fillId="0" borderId="0" xfId="0" applyFont="1" applyFill="1"/>
    <xf numFmtId="0" fontId="4" fillId="0" borderId="18"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Alignment="1">
      <alignment vertical="center"/>
    </xf>
    <xf numFmtId="0" fontId="2" fillId="0" borderId="0" xfId="0" applyFont="1" applyFill="1" applyBorder="1" applyAlignment="1">
      <alignment vertical="top"/>
    </xf>
    <xf numFmtId="168" fontId="3" fillId="4" borderId="14" xfId="1" applyNumberFormat="1" applyFont="1" applyFill="1" applyBorder="1" applyAlignment="1">
      <alignment horizontal="right" vertical="center"/>
    </xf>
    <xf numFmtId="168" fontId="3" fillId="4" borderId="15" xfId="1" applyNumberFormat="1" applyFont="1" applyFill="1" applyBorder="1" applyAlignment="1">
      <alignment horizontal="right" vertical="center"/>
    </xf>
    <xf numFmtId="168" fontId="2" fillId="4" borderId="15" xfId="1" applyNumberFormat="1" applyFont="1" applyFill="1" applyBorder="1" applyAlignment="1">
      <alignment horizontal="right" vertical="center"/>
    </xf>
    <xf numFmtId="168" fontId="4" fillId="4" borderId="16" xfId="1" applyNumberFormat="1" applyFont="1" applyFill="1" applyBorder="1" applyAlignment="1">
      <alignment horizontal="right" vertical="center"/>
    </xf>
    <xf numFmtId="168" fontId="2" fillId="4" borderId="16" xfId="1" applyNumberFormat="1" applyFont="1" applyFill="1" applyBorder="1" applyAlignment="1">
      <alignment horizontal="right" vertical="center"/>
    </xf>
    <xf numFmtId="0" fontId="9" fillId="0" borderId="0" xfId="0" applyFont="1" applyFill="1"/>
    <xf numFmtId="0" fontId="3" fillId="2" borderId="14" xfId="0" applyFont="1" applyFill="1" applyBorder="1" applyAlignment="1">
      <alignment horizontal="center"/>
    </xf>
    <xf numFmtId="0" fontId="3" fillId="2" borderId="21" xfId="0" applyFont="1" applyFill="1" applyBorder="1" applyAlignment="1">
      <alignment horizontal="center"/>
    </xf>
    <xf numFmtId="0" fontId="2" fillId="2" borderId="2" xfId="0" applyFont="1" applyFill="1" applyBorder="1" applyAlignment="1">
      <alignment horizontal="center"/>
    </xf>
    <xf numFmtId="0" fontId="2" fillId="0" borderId="26" xfId="0" applyFont="1" applyFill="1" applyBorder="1" applyAlignment="1">
      <alignment horizontal="center"/>
    </xf>
    <xf numFmtId="0" fontId="2" fillId="0" borderId="9"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4" fillId="0" borderId="0" xfId="0" applyFont="1" applyFill="1" applyBorder="1" applyAlignment="1">
      <alignment vertical="center"/>
    </xf>
    <xf numFmtId="0" fontId="11" fillId="0" borderId="0" xfId="0" applyFont="1"/>
    <xf numFmtId="0" fontId="12" fillId="0" borderId="0" xfId="0" applyFont="1"/>
    <xf numFmtId="0" fontId="4" fillId="0" borderId="0" xfId="0" applyFont="1" applyFill="1"/>
    <xf numFmtId="0" fontId="3" fillId="0" borderId="0" xfId="0" applyFont="1" applyFill="1" applyAlignment="1">
      <alignment vertical="top"/>
    </xf>
    <xf numFmtId="1" fontId="3" fillId="2" borderId="6" xfId="0" applyNumberFormat="1" applyFont="1" applyFill="1" applyBorder="1" applyAlignment="1">
      <alignment horizontal="right" vertical="center"/>
    </xf>
    <xf numFmtId="1" fontId="3" fillId="2" borderId="5" xfId="0" applyNumberFormat="1" applyFont="1" applyFill="1" applyBorder="1" applyAlignment="1">
      <alignment horizontal="right" vertical="center"/>
    </xf>
    <xf numFmtId="1" fontId="2" fillId="2" borderId="5" xfId="0" applyNumberFormat="1" applyFont="1" applyFill="1" applyBorder="1" applyAlignment="1">
      <alignment horizontal="right" vertical="center"/>
    </xf>
    <xf numFmtId="1" fontId="11" fillId="0" borderId="1" xfId="2" applyNumberFormat="1" applyFont="1" applyFill="1" applyBorder="1" applyAlignment="1">
      <alignment horizontal="right" vertical="center"/>
    </xf>
    <xf numFmtId="0" fontId="9" fillId="0" borderId="0" xfId="0" applyFont="1" applyFill="1" applyBorder="1"/>
    <xf numFmtId="3" fontId="9" fillId="0" borderId="0" xfId="0" applyNumberFormat="1" applyFont="1" applyFill="1" applyBorder="1"/>
    <xf numFmtId="3" fontId="3" fillId="0" borderId="0" xfId="0" applyNumberFormat="1" applyFont="1" applyFill="1" applyBorder="1"/>
    <xf numFmtId="0" fontId="9" fillId="0" borderId="0" xfId="0" applyFont="1" applyFill="1" applyBorder="1" applyAlignment="1">
      <alignment vertical="center"/>
    </xf>
    <xf numFmtId="0" fontId="3" fillId="0" borderId="0" xfId="0" applyFont="1" applyFill="1" applyAlignment="1"/>
    <xf numFmtId="167" fontId="2" fillId="2" borderId="23" xfId="1" applyNumberFormat="1" applyFont="1" applyFill="1" applyBorder="1" applyAlignment="1">
      <alignment horizontal="right" vertical="center"/>
    </xf>
    <xf numFmtId="167" fontId="2" fillId="2" borderId="14" xfId="1" applyNumberFormat="1" applyFont="1" applyFill="1" applyBorder="1" applyAlignment="1">
      <alignment horizontal="right" vertical="center"/>
    </xf>
    <xf numFmtId="167" fontId="2" fillId="2" borderId="15" xfId="1" applyNumberFormat="1" applyFont="1" applyFill="1" applyBorder="1" applyAlignment="1">
      <alignment horizontal="right" vertical="center"/>
    </xf>
    <xf numFmtId="167" fontId="2" fillId="2" borderId="22" xfId="1" applyNumberFormat="1" applyFont="1" applyFill="1" applyBorder="1" applyAlignment="1">
      <alignment horizontal="right" vertical="center"/>
    </xf>
    <xf numFmtId="167" fontId="2" fillId="2" borderId="16" xfId="1" applyNumberFormat="1" applyFont="1" applyFill="1" applyBorder="1" applyAlignment="1">
      <alignment horizontal="right" vertical="center"/>
    </xf>
    <xf numFmtId="167" fontId="3" fillId="2" borderId="21" xfId="1" applyNumberFormat="1" applyFont="1" applyFill="1" applyBorder="1" applyAlignment="1">
      <alignment horizontal="right" vertical="center"/>
    </xf>
    <xf numFmtId="167" fontId="3" fillId="2" borderId="14" xfId="1" applyNumberFormat="1" applyFont="1" applyFill="1" applyBorder="1" applyAlignment="1">
      <alignment horizontal="right" vertical="center"/>
    </xf>
    <xf numFmtId="167" fontId="3" fillId="2" borderId="23" xfId="1" applyNumberFormat="1" applyFont="1" applyFill="1" applyBorder="1" applyAlignment="1">
      <alignment horizontal="right" vertical="center"/>
    </xf>
    <xf numFmtId="167" fontId="3" fillId="2" borderId="15" xfId="1" applyNumberFormat="1" applyFont="1" applyFill="1" applyBorder="1" applyAlignment="1">
      <alignment horizontal="right" vertical="center"/>
    </xf>
    <xf numFmtId="167" fontId="3" fillId="2" borderId="22" xfId="1" applyNumberFormat="1" applyFont="1" applyFill="1" applyBorder="1" applyAlignment="1">
      <alignment horizontal="right" vertical="center"/>
    </xf>
    <xf numFmtId="167" fontId="3" fillId="2" borderId="16" xfId="1" applyNumberFormat="1" applyFont="1" applyFill="1" applyBorder="1" applyAlignment="1">
      <alignment horizontal="right" vertical="center"/>
    </xf>
    <xf numFmtId="0" fontId="3" fillId="2" borderId="0" xfId="4" applyFont="1" applyFill="1" applyBorder="1" applyAlignment="1">
      <alignment horizontal="left" vertical="center"/>
    </xf>
    <xf numFmtId="0" fontId="4" fillId="2" borderId="18" xfId="4" applyFont="1" applyFill="1" applyBorder="1" applyAlignment="1">
      <alignment vertical="center"/>
    </xf>
    <xf numFmtId="0" fontId="3" fillId="2" borderId="0" xfId="4" applyFont="1" applyFill="1" applyBorder="1" applyAlignment="1">
      <alignment vertical="center"/>
    </xf>
    <xf numFmtId="0" fontId="3" fillId="2" borderId="0" xfId="4" applyFont="1" applyFill="1" applyAlignment="1">
      <alignment vertical="center"/>
    </xf>
    <xf numFmtId="0" fontId="2" fillId="2" borderId="0" xfId="0" applyFont="1" applyFill="1" applyAlignment="1">
      <alignment vertical="center"/>
    </xf>
    <xf numFmtId="0" fontId="9" fillId="2" borderId="0" xfId="0" applyFont="1" applyFill="1"/>
    <xf numFmtId="0" fontId="3" fillId="2" borderId="0" xfId="4" applyFont="1" applyFill="1"/>
    <xf numFmtId="0" fontId="3" fillId="2" borderId="3" xfId="4" applyFont="1" applyFill="1" applyBorder="1" applyAlignment="1">
      <alignment horizontal="center"/>
    </xf>
    <xf numFmtId="0" fontId="2" fillId="2" borderId="3" xfId="4" applyFont="1" applyFill="1" applyBorder="1" applyAlignment="1">
      <alignment horizontal="center"/>
    </xf>
    <xf numFmtId="0" fontId="2" fillId="2" borderId="9" xfId="4" applyFont="1" applyFill="1" applyBorder="1" applyAlignment="1">
      <alignment horizontal="center"/>
    </xf>
    <xf numFmtId="0" fontId="2" fillId="2" borderId="2" xfId="4" applyFont="1" applyFill="1" applyBorder="1" applyAlignment="1">
      <alignment horizontal="center"/>
    </xf>
    <xf numFmtId="0" fontId="2" fillId="2" borderId="26" xfId="4" applyFont="1" applyFill="1" applyBorder="1" applyAlignment="1">
      <alignment horizontal="center"/>
    </xf>
    <xf numFmtId="0" fontId="9" fillId="0" borderId="0" xfId="0" applyFont="1" applyAlignment="1">
      <alignment horizontal="center"/>
    </xf>
    <xf numFmtId="0" fontId="9" fillId="0" borderId="12" xfId="0" applyFont="1" applyBorder="1" applyAlignment="1">
      <alignment horizontal="center"/>
    </xf>
    <xf numFmtId="0" fontId="9" fillId="0" borderId="26" xfId="0" applyFont="1" applyBorder="1" applyAlignment="1">
      <alignment horizontal="center" vertical="center" wrapText="1"/>
    </xf>
    <xf numFmtId="0" fontId="9" fillId="0" borderId="26" xfId="0" applyFont="1" applyBorder="1" applyAlignment="1">
      <alignment horizontal="center" wrapText="1"/>
    </xf>
    <xf numFmtId="0" fontId="13" fillId="0" borderId="2" xfId="3" applyFont="1" applyBorder="1" applyAlignment="1">
      <alignment horizontal="left"/>
    </xf>
    <xf numFmtId="0" fontId="9" fillId="0" borderId="26" xfId="0" applyFont="1" applyBorder="1" applyAlignment="1">
      <alignment horizontal="center" vertical="center"/>
    </xf>
    <xf numFmtId="0" fontId="9" fillId="0" borderId="26" xfId="0" applyFont="1" applyBorder="1" applyAlignment="1">
      <alignment horizontal="center"/>
    </xf>
    <xf numFmtId="0" fontId="13" fillId="0" borderId="2" xfId="3" applyFont="1" applyBorder="1"/>
    <xf numFmtId="0" fontId="3" fillId="2" borderId="21" xfId="0" applyFont="1" applyFill="1" applyBorder="1" applyAlignment="1">
      <alignment horizontal="left" vertical="center" wrapText="1"/>
    </xf>
    <xf numFmtId="3" fontId="9" fillId="0" borderId="0" xfId="0" applyNumberFormat="1" applyFont="1"/>
    <xf numFmtId="0" fontId="3" fillId="2" borderId="22" xfId="0" applyFont="1" applyFill="1" applyBorder="1" applyAlignment="1">
      <alignment horizontal="left" vertical="center" wrapText="1"/>
    </xf>
    <xf numFmtId="0" fontId="2" fillId="4" borderId="15" xfId="0" applyFont="1" applyFill="1" applyBorder="1" applyAlignment="1">
      <alignment horizontal="left" wrapText="1"/>
    </xf>
    <xf numFmtId="0" fontId="2" fillId="2" borderId="15" xfId="0" applyFont="1" applyFill="1" applyBorder="1" applyAlignment="1">
      <alignment horizontal="left" wrapText="1"/>
    </xf>
    <xf numFmtId="0" fontId="2" fillId="2" borderId="23" xfId="0" applyFont="1" applyFill="1" applyBorder="1" applyAlignment="1">
      <alignment horizontal="left" wrapText="1"/>
    </xf>
    <xf numFmtId="0" fontId="14" fillId="0" borderId="27" xfId="0" applyFont="1" applyBorder="1" applyAlignment="1">
      <alignment horizontal="left" vertical="center"/>
    </xf>
    <xf numFmtId="3" fontId="14" fillId="0" borderId="27" xfId="0" applyNumberFormat="1" applyFont="1" applyBorder="1" applyAlignment="1">
      <alignment horizontal="right" vertical="center"/>
    </xf>
    <xf numFmtId="169" fontId="14" fillId="0" borderId="27" xfId="0" applyNumberFormat="1" applyFont="1" applyBorder="1" applyAlignment="1">
      <alignment horizontal="center" vertical="center"/>
    </xf>
    <xf numFmtId="0" fontId="15" fillId="0" borderId="0" xfId="0" applyFont="1" applyFill="1" applyBorder="1" applyAlignment="1">
      <alignment vertical="center"/>
    </xf>
    <xf numFmtId="0" fontId="0" fillId="0" borderId="0" xfId="0"/>
    <xf numFmtId="0" fontId="18" fillId="0" borderId="0" xfId="0" applyFont="1"/>
    <xf numFmtId="0" fontId="20" fillId="0" borderId="0" xfId="0" applyFont="1"/>
    <xf numFmtId="0" fontId="20" fillId="0" borderId="26" xfId="0" applyFont="1" applyBorder="1" applyAlignment="1">
      <alignment horizontal="center"/>
    </xf>
    <xf numFmtId="0" fontId="20" fillId="5" borderId="0" xfId="0" applyFont="1" applyFill="1"/>
    <xf numFmtId="170" fontId="20" fillId="5" borderId="28" xfId="6" applyNumberFormat="1" applyFont="1" applyFill="1" applyBorder="1"/>
    <xf numFmtId="170" fontId="18" fillId="0" borderId="28" xfId="6" applyNumberFormat="1" applyFont="1" applyBorder="1"/>
    <xf numFmtId="170" fontId="21" fillId="0" borderId="28" xfId="6" applyNumberFormat="1" applyFont="1" applyBorder="1"/>
    <xf numFmtId="170" fontId="19" fillId="0" borderId="28" xfId="6" applyNumberFormat="1" applyFont="1" applyBorder="1"/>
    <xf numFmtId="0" fontId="20" fillId="4" borderId="0" xfId="0" applyFont="1" applyFill="1"/>
    <xf numFmtId="170" fontId="20" fillId="4" borderId="30" xfId="6" applyNumberFormat="1" applyFont="1" applyFill="1" applyBorder="1"/>
    <xf numFmtId="170" fontId="18" fillId="0" borderId="29" xfId="6" applyNumberFormat="1" applyFont="1" applyBorder="1"/>
    <xf numFmtId="0" fontId="18" fillId="0" borderId="0" xfId="0" applyFont="1" applyAlignment="1">
      <alignment horizontal="left"/>
    </xf>
    <xf numFmtId="170" fontId="20" fillId="0" borderId="28" xfId="6" applyNumberFormat="1" applyFont="1" applyFill="1" applyBorder="1"/>
    <xf numFmtId="0" fontId="20" fillId="0" borderId="0" xfId="0" applyFont="1" applyFill="1"/>
    <xf numFmtId="170" fontId="20" fillId="0" borderId="26" xfId="6" applyNumberFormat="1" applyFont="1" applyFill="1" applyBorder="1"/>
    <xf numFmtId="0" fontId="18" fillId="0" borderId="0" xfId="0" applyFont="1" applyFill="1" applyAlignment="1">
      <alignment horizontal="left"/>
    </xf>
    <xf numFmtId="170" fontId="18" fillId="0" borderId="28" xfId="6" applyNumberFormat="1" applyFont="1" applyFill="1" applyBorder="1"/>
    <xf numFmtId="0" fontId="20" fillId="0" borderId="0" xfId="0" applyFont="1" applyAlignment="1">
      <alignment horizontal="right"/>
    </xf>
    <xf numFmtId="0" fontId="20" fillId="7" borderId="0" xfId="0" applyFont="1" applyFill="1"/>
    <xf numFmtId="170" fontId="20" fillId="7" borderId="28" xfId="6" applyNumberFormat="1" applyFont="1" applyFill="1" applyBorder="1"/>
    <xf numFmtId="0" fontId="0" fillId="7" borderId="0" xfId="0" applyFill="1"/>
    <xf numFmtId="0" fontId="18" fillId="7" borderId="0" xfId="0" applyFont="1" applyFill="1"/>
    <xf numFmtId="170" fontId="18" fillId="7" borderId="28" xfId="6" applyNumberFormat="1" applyFont="1" applyFill="1" applyBorder="1"/>
    <xf numFmtId="0" fontId="0" fillId="0" borderId="0" xfId="0" applyBorder="1"/>
    <xf numFmtId="0" fontId="11" fillId="0" borderId="26" xfId="0" applyFont="1" applyBorder="1" applyAlignment="1">
      <alignment horizontal="center"/>
    </xf>
    <xf numFmtId="0" fontId="22" fillId="0" borderId="0" xfId="0" applyFont="1" applyFill="1" applyAlignment="1"/>
    <xf numFmtId="165" fontId="23" fillId="0" borderId="0" xfId="0" applyNumberFormat="1" applyFont="1" applyFill="1" applyBorder="1"/>
    <xf numFmtId="166" fontId="9" fillId="0" borderId="0" xfId="0" applyNumberFormat="1" applyFont="1"/>
    <xf numFmtId="2" fontId="9" fillId="0" borderId="0" xfId="0" applyNumberFormat="1" applyFont="1"/>
    <xf numFmtId="171" fontId="9" fillId="0" borderId="0" xfId="0" applyNumberFormat="1" applyFont="1"/>
    <xf numFmtId="166" fontId="3" fillId="0" borderId="14" xfId="0" applyNumberFormat="1" applyFont="1" applyFill="1" applyBorder="1" applyAlignment="1" applyProtection="1">
      <alignment horizontal="center"/>
    </xf>
    <xf numFmtId="166" fontId="3" fillId="0" borderId="15" xfId="0" applyNumberFormat="1" applyFont="1" applyFill="1" applyBorder="1" applyAlignment="1" applyProtection="1">
      <alignment horizontal="center"/>
    </xf>
    <xf numFmtId="166" fontId="3" fillId="0" borderId="16" xfId="0" applyNumberFormat="1" applyFont="1" applyFill="1" applyBorder="1" applyAlignment="1" applyProtection="1">
      <alignment horizontal="center"/>
    </xf>
    <xf numFmtId="166" fontId="2" fillId="0" borderId="13" xfId="0" applyNumberFormat="1" applyFont="1" applyFill="1" applyBorder="1" applyAlignment="1" applyProtection="1">
      <alignment horizontal="center"/>
    </xf>
    <xf numFmtId="166" fontId="3" fillId="0" borderId="13" xfId="0" applyNumberFormat="1" applyFont="1" applyFill="1" applyBorder="1" applyAlignment="1" applyProtection="1">
      <alignment horizontal="center"/>
    </xf>
    <xf numFmtId="9" fontId="3" fillId="3" borderId="16" xfId="0" applyNumberFormat="1" applyFont="1" applyFill="1" applyBorder="1" applyAlignment="1" applyProtection="1">
      <alignment horizontal="right" vertical="center" indent="2"/>
    </xf>
    <xf numFmtId="9" fontId="3" fillId="3" borderId="22" xfId="0" applyNumberFormat="1" applyFont="1" applyFill="1" applyBorder="1" applyAlignment="1" applyProtection="1">
      <alignment horizontal="right" vertical="center" indent="2"/>
    </xf>
    <xf numFmtId="9" fontId="3" fillId="3" borderId="15" xfId="0" applyNumberFormat="1" applyFont="1" applyFill="1" applyBorder="1" applyAlignment="1" applyProtection="1">
      <alignment horizontal="right" vertical="center" indent="2"/>
    </xf>
    <xf numFmtId="9" fontId="3" fillId="3" borderId="23" xfId="0" applyNumberFormat="1" applyFont="1" applyFill="1" applyBorder="1" applyAlignment="1" applyProtection="1">
      <alignment horizontal="right" vertical="center" indent="2"/>
    </xf>
    <xf numFmtId="9" fontId="3" fillId="0" borderId="15" xfId="0" applyNumberFormat="1" applyFont="1" applyFill="1" applyBorder="1" applyAlignment="1" applyProtection="1">
      <alignment horizontal="right" vertical="center" indent="2"/>
    </xf>
    <xf numFmtId="9" fontId="3" fillId="3" borderId="25" xfId="0" applyNumberFormat="1" applyFont="1" applyFill="1" applyBorder="1" applyAlignment="1" applyProtection="1">
      <alignment horizontal="right" vertical="center" indent="2"/>
    </xf>
    <xf numFmtId="9" fontId="3" fillId="0" borderId="25" xfId="0" applyNumberFormat="1" applyFont="1" applyFill="1" applyBorder="1" applyAlignment="1" applyProtection="1">
      <alignment horizontal="right" vertical="center" indent="2"/>
    </xf>
    <xf numFmtId="9" fontId="2" fillId="3" borderId="15" xfId="0" applyNumberFormat="1" applyFont="1" applyFill="1" applyBorder="1" applyAlignment="1" applyProtection="1">
      <alignment horizontal="right" vertical="center" indent="2"/>
    </xf>
    <xf numFmtId="9" fontId="2" fillId="0" borderId="15" xfId="0" applyNumberFormat="1" applyFont="1" applyFill="1" applyBorder="1" applyAlignment="1" applyProtection="1">
      <alignment horizontal="right" vertical="center" indent="2"/>
    </xf>
    <xf numFmtId="9" fontId="3" fillId="0" borderId="16" xfId="0" applyNumberFormat="1" applyFont="1" applyFill="1" applyBorder="1" applyAlignment="1" applyProtection="1">
      <alignment horizontal="right" vertical="center" indent="2"/>
    </xf>
    <xf numFmtId="9" fontId="2" fillId="3" borderId="16" xfId="0" applyNumberFormat="1" applyFont="1" applyFill="1" applyBorder="1" applyAlignment="1" applyProtection="1">
      <alignment horizontal="right" vertical="center" indent="2"/>
    </xf>
    <xf numFmtId="168" fontId="3" fillId="4" borderId="35" xfId="1" applyNumberFormat="1" applyFont="1" applyFill="1" applyBorder="1" applyAlignment="1">
      <alignment horizontal="right" vertical="center"/>
    </xf>
    <xf numFmtId="168" fontId="3" fillId="4" borderId="25" xfId="1" applyNumberFormat="1" applyFont="1" applyFill="1" applyBorder="1" applyAlignment="1">
      <alignment horizontal="right" vertical="center"/>
    </xf>
    <xf numFmtId="168" fontId="2" fillId="4" borderId="25" xfId="1" applyNumberFormat="1" applyFont="1" applyFill="1" applyBorder="1" applyAlignment="1">
      <alignment horizontal="right" vertical="center"/>
    </xf>
    <xf numFmtId="168" fontId="4" fillId="4" borderId="34" xfId="1" applyNumberFormat="1" applyFont="1" applyFill="1" applyBorder="1" applyAlignment="1">
      <alignment horizontal="right" vertical="center"/>
    </xf>
    <xf numFmtId="0" fontId="2" fillId="2" borderId="23" xfId="0" applyFont="1" applyFill="1" applyBorder="1" applyAlignment="1">
      <alignment vertical="center"/>
    </xf>
    <xf numFmtId="0" fontId="3" fillId="4" borderId="29" xfId="0" applyFont="1" applyFill="1" applyBorder="1" applyAlignment="1">
      <alignment horizontal="left" wrapText="1"/>
    </xf>
    <xf numFmtId="0" fontId="4" fillId="4" borderId="30" xfId="0" applyFont="1" applyFill="1" applyBorder="1" applyAlignment="1">
      <alignment horizontal="right" vertical="center" wrapText="1"/>
    </xf>
    <xf numFmtId="0" fontId="2" fillId="4" borderId="26" xfId="0" applyFont="1" applyFill="1" applyBorder="1" applyAlignment="1">
      <alignment vertical="center" wrapText="1"/>
    </xf>
    <xf numFmtId="0" fontId="3" fillId="0" borderId="14" xfId="0" applyFont="1" applyFill="1" applyBorder="1" applyAlignment="1">
      <alignment horizontal="left" wrapText="1"/>
    </xf>
    <xf numFmtId="0" fontId="3" fillId="0" borderId="15" xfId="0" applyFont="1" applyFill="1" applyBorder="1" applyAlignment="1">
      <alignment horizontal="left" wrapText="1"/>
    </xf>
    <xf numFmtId="0" fontId="2" fillId="0" borderId="15" xfId="0" applyFont="1" applyFill="1" applyBorder="1" applyAlignment="1">
      <alignment vertical="center" wrapText="1"/>
    </xf>
    <xf numFmtId="0" fontId="4" fillId="0" borderId="16" xfId="0" applyFont="1" applyFill="1" applyBorder="1" applyAlignment="1">
      <alignment horizontal="right" vertical="center" wrapText="1"/>
    </xf>
    <xf numFmtId="167" fontId="3" fillId="4" borderId="14" xfId="1" applyNumberFormat="1" applyFont="1" applyFill="1" applyBorder="1" applyAlignment="1">
      <alignment vertical="center"/>
    </xf>
    <xf numFmtId="167" fontId="3" fillId="4" borderId="18" xfId="1" applyNumberFormat="1" applyFont="1" applyFill="1" applyBorder="1" applyAlignment="1">
      <alignment vertical="center"/>
    </xf>
    <xf numFmtId="167" fontId="3" fillId="4" borderId="24" xfId="1" applyNumberFormat="1" applyFont="1" applyFill="1" applyBorder="1" applyAlignment="1">
      <alignment vertical="center"/>
    </xf>
    <xf numFmtId="167" fontId="3" fillId="4" borderId="15" xfId="1" applyNumberFormat="1" applyFont="1" applyFill="1" applyBorder="1" applyAlignment="1">
      <alignment vertical="center"/>
    </xf>
    <xf numFmtId="167" fontId="3" fillId="4" borderId="0" xfId="1" applyNumberFormat="1" applyFont="1" applyFill="1" applyBorder="1" applyAlignment="1">
      <alignment vertical="center"/>
    </xf>
    <xf numFmtId="167" fontId="3" fillId="4" borderId="25" xfId="1" applyNumberFormat="1" applyFont="1" applyFill="1" applyBorder="1" applyAlignment="1">
      <alignment vertical="center"/>
    </xf>
    <xf numFmtId="167" fontId="2" fillId="4" borderId="15" xfId="1" applyNumberFormat="1" applyFont="1" applyFill="1" applyBorder="1" applyAlignment="1">
      <alignment vertical="center"/>
    </xf>
    <xf numFmtId="167" fontId="2" fillId="4" borderId="0" xfId="1" applyNumberFormat="1" applyFont="1" applyFill="1" applyBorder="1" applyAlignment="1">
      <alignment vertical="center"/>
    </xf>
    <xf numFmtId="167" fontId="2" fillId="4" borderId="25" xfId="1" applyNumberFormat="1" applyFont="1" applyFill="1" applyBorder="1" applyAlignment="1">
      <alignment vertical="center"/>
    </xf>
    <xf numFmtId="167" fontId="4" fillId="4" borderId="16" xfId="1" applyNumberFormat="1" applyFont="1" applyFill="1" applyBorder="1" applyAlignment="1">
      <alignment vertical="center"/>
    </xf>
    <xf numFmtId="167" fontId="4" fillId="4" borderId="12" xfId="1" applyNumberFormat="1" applyFont="1" applyFill="1" applyBorder="1" applyAlignment="1">
      <alignment vertical="center"/>
    </xf>
    <xf numFmtId="167" fontId="4" fillId="4" borderId="11" xfId="1" applyNumberFormat="1" applyFont="1" applyFill="1" applyBorder="1" applyAlignment="1">
      <alignment vertical="center"/>
    </xf>
    <xf numFmtId="167" fontId="2" fillId="4" borderId="16" xfId="1" applyNumberFormat="1" applyFont="1" applyFill="1" applyBorder="1" applyAlignment="1">
      <alignment vertical="center"/>
    </xf>
    <xf numFmtId="167" fontId="2" fillId="4" borderId="12" xfId="1" applyNumberFormat="1" applyFont="1" applyFill="1" applyBorder="1" applyAlignment="1">
      <alignment vertical="center"/>
    </xf>
    <xf numFmtId="167" fontId="2" fillId="4" borderId="11" xfId="1" applyNumberFormat="1" applyFont="1" applyFill="1" applyBorder="1" applyAlignment="1">
      <alignment vertical="center"/>
    </xf>
    <xf numFmtId="167" fontId="2" fillId="4" borderId="26" xfId="1" applyNumberFormat="1" applyFont="1" applyFill="1" applyBorder="1" applyAlignment="1">
      <alignment vertical="center"/>
    </xf>
    <xf numFmtId="167" fontId="3" fillId="2" borderId="14" xfId="1" applyNumberFormat="1" applyFont="1" applyFill="1" applyBorder="1" applyAlignment="1">
      <alignment vertical="center"/>
    </xf>
    <xf numFmtId="167" fontId="3" fillId="2" borderId="18" xfId="1" applyNumberFormat="1" applyFont="1" applyFill="1" applyBorder="1" applyAlignment="1">
      <alignment vertical="center"/>
    </xf>
    <xf numFmtId="167" fontId="3" fillId="2" borderId="29" xfId="1" applyNumberFormat="1" applyFont="1" applyFill="1" applyBorder="1" applyAlignment="1">
      <alignment vertical="center"/>
    </xf>
    <xf numFmtId="167" fontId="3" fillId="2" borderId="15" xfId="1" applyNumberFormat="1" applyFont="1" applyFill="1" applyBorder="1" applyAlignment="1">
      <alignment vertical="center"/>
    </xf>
    <xf numFmtId="167" fontId="3" fillId="2" borderId="0" xfId="1" applyNumberFormat="1" applyFont="1" applyFill="1" applyBorder="1" applyAlignment="1">
      <alignment vertical="center"/>
    </xf>
    <xf numFmtId="167" fontId="2" fillId="2" borderId="15" xfId="1" applyNumberFormat="1" applyFont="1" applyFill="1" applyBorder="1" applyAlignment="1">
      <alignment vertical="center"/>
    </xf>
    <xf numFmtId="167" fontId="2" fillId="2" borderId="0" xfId="1" applyNumberFormat="1" applyFont="1" applyFill="1" applyBorder="1" applyAlignment="1">
      <alignment vertical="center"/>
    </xf>
    <xf numFmtId="167" fontId="4" fillId="2" borderId="16" xfId="1" applyNumberFormat="1" applyFont="1" applyFill="1" applyBorder="1" applyAlignment="1">
      <alignment vertical="center"/>
    </xf>
    <xf numFmtId="167" fontId="4" fillId="2" borderId="12" xfId="1" applyNumberFormat="1" applyFont="1" applyFill="1" applyBorder="1" applyAlignment="1">
      <alignment vertical="center"/>
    </xf>
    <xf numFmtId="167" fontId="4" fillId="2" borderId="30" xfId="1" applyNumberFormat="1" applyFont="1" applyFill="1" applyBorder="1" applyAlignment="1">
      <alignment vertical="center"/>
    </xf>
    <xf numFmtId="167" fontId="4" fillId="0" borderId="16" xfId="1" applyNumberFormat="1" applyFont="1" applyFill="1" applyBorder="1" applyAlignment="1">
      <alignment vertical="center"/>
    </xf>
    <xf numFmtId="167" fontId="3" fillId="0" borderId="15" xfId="1" applyNumberFormat="1" applyFont="1" applyFill="1" applyBorder="1" applyAlignment="1">
      <alignment vertical="center"/>
    </xf>
    <xf numFmtId="167" fontId="2" fillId="0" borderId="15" xfId="1" applyNumberFormat="1" applyFont="1" applyFill="1" applyBorder="1" applyAlignment="1">
      <alignment vertical="center"/>
    </xf>
    <xf numFmtId="167" fontId="3" fillId="0" borderId="14" xfId="1" applyNumberFormat="1" applyFont="1" applyFill="1" applyBorder="1" applyAlignment="1">
      <alignment vertical="center"/>
    </xf>
    <xf numFmtId="167" fontId="2" fillId="2" borderId="16" xfId="1" applyNumberFormat="1" applyFont="1" applyFill="1" applyBorder="1" applyAlignment="1">
      <alignment vertical="center"/>
    </xf>
    <xf numFmtId="167" fontId="2" fillId="2" borderId="12" xfId="1" applyNumberFormat="1" applyFont="1" applyFill="1" applyBorder="1" applyAlignment="1">
      <alignment vertical="center"/>
    </xf>
    <xf numFmtId="167" fontId="2" fillId="2" borderId="30" xfId="1" applyNumberFormat="1" applyFont="1" applyFill="1" applyBorder="1" applyAlignment="1">
      <alignment vertical="center"/>
    </xf>
    <xf numFmtId="167" fontId="2" fillId="0" borderId="16" xfId="1" applyNumberFormat="1" applyFont="1" applyFill="1" applyBorder="1" applyAlignment="1">
      <alignment vertical="center"/>
    </xf>
    <xf numFmtId="167" fontId="2" fillId="0" borderId="0" xfId="0" applyNumberFormat="1" applyFont="1" applyFill="1" applyBorder="1" applyAlignment="1">
      <alignment vertical="top"/>
    </xf>
    <xf numFmtId="167" fontId="3" fillId="0" borderId="25" xfId="0" applyNumberFormat="1" applyFont="1" applyFill="1" applyBorder="1" applyAlignment="1">
      <alignment horizontal="right" vertical="center"/>
    </xf>
    <xf numFmtId="0" fontId="2" fillId="2" borderId="36" xfId="0" applyFont="1" applyFill="1" applyBorder="1" applyAlignment="1">
      <alignment horizontal="center"/>
    </xf>
    <xf numFmtId="167" fontId="4" fillId="4" borderId="39" xfId="1" applyNumberFormat="1" applyFont="1" applyFill="1" applyBorder="1" applyAlignment="1">
      <alignment vertical="center"/>
    </xf>
    <xf numFmtId="167" fontId="2" fillId="4" borderId="39" xfId="1" applyNumberFormat="1" applyFont="1" applyFill="1" applyBorder="1" applyAlignment="1">
      <alignment vertical="center"/>
    </xf>
    <xf numFmtId="167" fontId="2" fillId="4" borderId="36" xfId="1" applyNumberFormat="1" applyFont="1" applyFill="1" applyBorder="1" applyAlignment="1">
      <alignment vertical="center"/>
    </xf>
    <xf numFmtId="167" fontId="4" fillId="2" borderId="39" xfId="1" applyNumberFormat="1" applyFont="1" applyFill="1" applyBorder="1" applyAlignment="1">
      <alignment vertical="center"/>
    </xf>
    <xf numFmtId="167" fontId="2" fillId="2" borderId="39" xfId="1" applyNumberFormat="1" applyFont="1" applyFill="1" applyBorder="1" applyAlignment="1">
      <alignment vertical="center"/>
    </xf>
    <xf numFmtId="168" fontId="3" fillId="4" borderId="31" xfId="1" applyNumberFormat="1" applyFont="1" applyFill="1" applyBorder="1" applyAlignment="1">
      <alignment horizontal="right" vertical="center"/>
    </xf>
    <xf numFmtId="168" fontId="3" fillId="4" borderId="32" xfId="1" applyNumberFormat="1" applyFont="1" applyFill="1" applyBorder="1" applyAlignment="1">
      <alignment horizontal="right" vertical="center"/>
    </xf>
    <xf numFmtId="168" fontId="2" fillId="4" borderId="32" xfId="1" applyNumberFormat="1" applyFont="1" applyFill="1" applyBorder="1" applyAlignment="1">
      <alignment horizontal="right" vertical="center"/>
    </xf>
    <xf numFmtId="168" fontId="4" fillId="4" borderId="33" xfId="1" applyNumberFormat="1" applyFont="1" applyFill="1" applyBorder="1" applyAlignment="1">
      <alignment horizontal="right" vertical="center"/>
    </xf>
    <xf numFmtId="168" fontId="2" fillId="4" borderId="33" xfId="1" applyNumberFormat="1" applyFont="1" applyFill="1" applyBorder="1" applyAlignment="1">
      <alignment horizontal="right" vertical="center"/>
    </xf>
    <xf numFmtId="167" fontId="3" fillId="4" borderId="29" xfId="1" applyNumberFormat="1" applyFont="1" applyFill="1" applyBorder="1" applyAlignment="1">
      <alignment vertical="center"/>
    </xf>
    <xf numFmtId="167" fontId="3" fillId="4" borderId="28" xfId="1" applyNumberFormat="1" applyFont="1" applyFill="1" applyBorder="1" applyAlignment="1">
      <alignment vertical="center"/>
    </xf>
    <xf numFmtId="167" fontId="2" fillId="4" borderId="28" xfId="1" applyNumberFormat="1" applyFont="1" applyFill="1" applyBorder="1" applyAlignment="1">
      <alignment vertical="center"/>
    </xf>
    <xf numFmtId="167" fontId="4" fillId="4" borderId="30" xfId="1" applyNumberFormat="1" applyFont="1" applyFill="1" applyBorder="1" applyAlignment="1">
      <alignment vertical="center"/>
    </xf>
    <xf numFmtId="167" fontId="2" fillId="4" borderId="30" xfId="1" applyNumberFormat="1" applyFont="1" applyFill="1" applyBorder="1" applyAlignment="1">
      <alignment vertical="center"/>
    </xf>
    <xf numFmtId="167" fontId="3" fillId="2" borderId="28" xfId="1" applyNumberFormat="1" applyFont="1" applyFill="1" applyBorder="1" applyAlignment="1">
      <alignment vertical="center"/>
    </xf>
    <xf numFmtId="167" fontId="2" fillId="2" borderId="28" xfId="1" applyNumberFormat="1" applyFont="1" applyFill="1" applyBorder="1" applyAlignment="1">
      <alignment vertical="center"/>
    </xf>
    <xf numFmtId="168" fontId="3" fillId="4" borderId="29" xfId="1" applyNumberFormat="1" applyFont="1" applyFill="1" applyBorder="1" applyAlignment="1">
      <alignment horizontal="right" vertical="center"/>
    </xf>
    <xf numFmtId="168" fontId="3" fillId="4" borderId="28" xfId="1" applyNumberFormat="1" applyFont="1" applyFill="1" applyBorder="1" applyAlignment="1">
      <alignment horizontal="right" vertical="center"/>
    </xf>
    <xf numFmtId="168" fontId="2" fillId="4" borderId="28" xfId="1" applyNumberFormat="1" applyFont="1" applyFill="1" applyBorder="1" applyAlignment="1">
      <alignment horizontal="right" vertical="center"/>
    </xf>
    <xf numFmtId="168" fontId="4" fillId="4" borderId="30" xfId="1" applyNumberFormat="1" applyFont="1" applyFill="1" applyBorder="1" applyAlignment="1">
      <alignment horizontal="right" vertical="center"/>
    </xf>
    <xf numFmtId="168" fontId="2" fillId="4" borderId="30" xfId="1" applyNumberFormat="1" applyFont="1" applyFill="1" applyBorder="1" applyAlignment="1">
      <alignment horizontal="right" vertical="center"/>
    </xf>
    <xf numFmtId="167" fontId="2" fillId="0" borderId="35" xfId="0" applyNumberFormat="1" applyFont="1" applyFill="1" applyBorder="1" applyAlignment="1">
      <alignment horizontal="right" vertical="center"/>
    </xf>
    <xf numFmtId="167" fontId="2" fillId="0" borderId="25" xfId="0" applyNumberFormat="1" applyFont="1" applyFill="1" applyBorder="1" applyAlignment="1">
      <alignment horizontal="right" vertical="center"/>
    </xf>
    <xf numFmtId="0" fontId="2" fillId="2" borderId="31" xfId="0" applyFont="1" applyFill="1" applyBorder="1" applyAlignment="1">
      <alignment vertical="center" wrapText="1"/>
    </xf>
    <xf numFmtId="0" fontId="3" fillId="0" borderId="16" xfId="0" applyNumberFormat="1" applyFont="1" applyFill="1" applyBorder="1" applyAlignment="1" applyProtection="1">
      <alignment horizontal="left" vertical="center" wrapText="1"/>
    </xf>
    <xf numFmtId="0" fontId="9" fillId="0" borderId="0" xfId="0" applyFont="1" applyFill="1" applyAlignment="1"/>
    <xf numFmtId="0" fontId="3" fillId="0" borderId="26" xfId="0" applyFont="1" applyFill="1" applyBorder="1" applyAlignment="1">
      <alignment horizontal="center" vertical="center" wrapText="1"/>
    </xf>
    <xf numFmtId="1" fontId="3" fillId="2" borderId="28" xfId="0" applyNumberFormat="1" applyFont="1" applyFill="1" applyBorder="1" applyAlignment="1">
      <alignment horizontal="right" vertical="center"/>
    </xf>
    <xf numFmtId="1" fontId="3" fillId="2" borderId="29" xfId="0" applyNumberFormat="1" applyFont="1" applyFill="1" applyBorder="1" applyAlignment="1">
      <alignment horizontal="right" vertical="center"/>
    </xf>
    <xf numFmtId="1" fontId="4" fillId="2" borderId="30" xfId="0" applyNumberFormat="1" applyFont="1" applyFill="1" applyBorder="1" applyAlignment="1">
      <alignment horizontal="right" vertical="center"/>
    </xf>
    <xf numFmtId="1" fontId="4" fillId="2" borderId="8" xfId="0" applyNumberFormat="1" applyFont="1" applyFill="1" applyBorder="1" applyAlignment="1">
      <alignment horizontal="right" vertical="center"/>
    </xf>
    <xf numFmtId="167" fontId="4" fillId="0" borderId="25" xfId="0" applyNumberFormat="1" applyFont="1" applyFill="1" applyBorder="1" applyAlignment="1">
      <alignment horizontal="right" vertical="center"/>
    </xf>
    <xf numFmtId="0" fontId="3" fillId="2" borderId="38" xfId="0" applyFont="1" applyFill="1" applyBorder="1" applyAlignment="1">
      <alignment horizontal="center" vertical="center" wrapText="1"/>
    </xf>
    <xf numFmtId="167" fontId="3" fillId="0" borderId="25" xfId="0" applyNumberFormat="1" applyFont="1" applyFill="1" applyBorder="1" applyAlignment="1">
      <alignment vertical="center"/>
    </xf>
    <xf numFmtId="0" fontId="3" fillId="2" borderId="26" xfId="0" applyFont="1" applyFill="1" applyBorder="1" applyAlignment="1">
      <alignment horizontal="center" vertical="center" wrapText="1"/>
    </xf>
    <xf numFmtId="0" fontId="7" fillId="2" borderId="36" xfId="0" applyFont="1" applyFill="1" applyBorder="1" applyAlignment="1">
      <alignment horizontal="center" vertical="center" wrapText="1"/>
    </xf>
    <xf numFmtId="0" fontId="3" fillId="2" borderId="33" xfId="0" applyFont="1" applyFill="1" applyBorder="1" applyAlignment="1">
      <alignment horizontal="left" vertical="center" wrapText="1" indent="1"/>
    </xf>
    <xf numFmtId="166" fontId="9" fillId="0" borderId="25" xfId="0" applyNumberFormat="1" applyFont="1" applyBorder="1"/>
    <xf numFmtId="166" fontId="9" fillId="0" borderId="30" xfId="0" applyNumberFormat="1" applyFont="1" applyBorder="1"/>
    <xf numFmtId="166" fontId="11" fillId="0" borderId="29" xfId="0" applyNumberFormat="1" applyFont="1" applyBorder="1"/>
    <xf numFmtId="166" fontId="24" fillId="0" borderId="30" xfId="0" applyNumberFormat="1" applyFont="1" applyBorder="1"/>
    <xf numFmtId="166" fontId="24" fillId="0" borderId="25" xfId="0" applyNumberFormat="1" applyFont="1" applyBorder="1"/>
    <xf numFmtId="166" fontId="24" fillId="0" borderId="34" xfId="0" applyNumberFormat="1" applyFont="1" applyBorder="1"/>
    <xf numFmtId="3" fontId="3" fillId="3" borderId="21" xfId="0" applyNumberFormat="1" applyFont="1" applyFill="1" applyBorder="1" applyAlignment="1" applyProtection="1">
      <alignment horizontal="right" vertical="center" indent="2"/>
    </xf>
    <xf numFmtId="3" fontId="3" fillId="3" borderId="14" xfId="0" applyNumberFormat="1" applyFont="1" applyFill="1" applyBorder="1" applyAlignment="1" applyProtection="1">
      <alignment horizontal="right" vertical="center" indent="2"/>
    </xf>
    <xf numFmtId="3" fontId="2" fillId="3" borderId="21" xfId="0" applyNumberFormat="1" applyFont="1" applyFill="1" applyBorder="1" applyAlignment="1" applyProtection="1">
      <alignment horizontal="right" vertical="center" indent="2"/>
    </xf>
    <xf numFmtId="3" fontId="2" fillId="3" borderId="14" xfId="0" applyNumberFormat="1" applyFont="1" applyFill="1" applyBorder="1" applyAlignment="1" applyProtection="1">
      <alignment horizontal="right" vertical="center" indent="2"/>
    </xf>
    <xf numFmtId="166" fontId="25" fillId="0" borderId="29" xfId="0" applyNumberFormat="1" applyFont="1" applyBorder="1"/>
    <xf numFmtId="166" fontId="25" fillId="0" borderId="35" xfId="0" applyNumberFormat="1" applyFont="1" applyBorder="1"/>
    <xf numFmtId="0" fontId="4" fillId="2" borderId="32" xfId="0" applyFont="1" applyFill="1" applyBorder="1" applyAlignment="1">
      <alignment vertical="center" wrapText="1"/>
    </xf>
    <xf numFmtId="166" fontId="9" fillId="0" borderId="28" xfId="0" applyNumberFormat="1" applyFont="1" applyBorder="1"/>
    <xf numFmtId="166" fontId="24" fillId="0" borderId="28" xfId="0" applyNumberFormat="1" applyFont="1" applyBorder="1"/>
    <xf numFmtId="0" fontId="3" fillId="2" borderId="32" xfId="0" applyFont="1" applyFill="1" applyBorder="1" applyAlignment="1">
      <alignment horizontal="left" vertical="center" wrapText="1" indent="1"/>
    </xf>
    <xf numFmtId="0" fontId="3" fillId="0" borderId="32" xfId="0" applyFont="1" applyFill="1" applyBorder="1" applyAlignment="1">
      <alignment horizontal="left" vertical="center" wrapText="1" indent="1"/>
    </xf>
    <xf numFmtId="2" fontId="4" fillId="0" borderId="32" xfId="0" applyNumberFormat="1" applyFont="1" applyFill="1" applyBorder="1" applyAlignment="1">
      <alignment horizontal="left" vertical="center" wrapText="1" indent="4"/>
    </xf>
    <xf numFmtId="166" fontId="12" fillId="0" borderId="28" xfId="0" applyNumberFormat="1" applyFont="1" applyBorder="1"/>
    <xf numFmtId="167" fontId="3" fillId="0" borderId="34" xfId="0" applyNumberFormat="1" applyFont="1" applyFill="1" applyBorder="1" applyAlignment="1">
      <alignment horizontal="right" vertical="center"/>
    </xf>
    <xf numFmtId="0" fontId="9" fillId="0" borderId="0" xfId="0" applyFont="1" applyAlignment="1">
      <alignment horizontal="left" wrapText="1"/>
    </xf>
    <xf numFmtId="0" fontId="3" fillId="0" borderId="0" xfId="0" applyFont="1" applyFill="1" applyBorder="1" applyAlignment="1">
      <alignment horizontal="left" vertical="center" wrapText="1"/>
    </xf>
    <xf numFmtId="4" fontId="9" fillId="0" borderId="0" xfId="0" applyNumberFormat="1" applyFont="1"/>
    <xf numFmtId="172" fontId="9" fillId="0" borderId="0" xfId="0" applyNumberFormat="1" applyFont="1"/>
    <xf numFmtId="2" fontId="26" fillId="0" borderId="0" xfId="0" applyNumberFormat="1" applyFont="1" applyFill="1" applyBorder="1" applyAlignment="1" applyProtection="1"/>
    <xf numFmtId="0" fontId="4" fillId="0" borderId="40" xfId="0" applyNumberFormat="1" applyFont="1" applyFill="1" applyBorder="1" applyAlignment="1" applyProtection="1">
      <alignment horizontal="left" vertical="center" wrapText="1"/>
    </xf>
    <xf numFmtId="1" fontId="4" fillId="3" borderId="40" xfId="0" applyNumberFormat="1" applyFont="1" applyFill="1" applyBorder="1" applyAlignment="1" applyProtection="1">
      <alignment horizontal="right" vertical="center" indent="2"/>
    </xf>
    <xf numFmtId="1" fontId="4" fillId="3" borderId="41" xfId="0" applyNumberFormat="1" applyFont="1" applyFill="1" applyBorder="1" applyAlignment="1" applyProtection="1">
      <alignment horizontal="right" vertical="center" indent="2"/>
    </xf>
    <xf numFmtId="0" fontId="4" fillId="3" borderId="40" xfId="0" applyNumberFormat="1" applyFont="1" applyFill="1" applyBorder="1" applyAlignment="1" applyProtection="1">
      <alignment horizontal="left" vertical="center" wrapText="1"/>
    </xf>
    <xf numFmtId="0" fontId="27" fillId="3" borderId="40" xfId="0" applyNumberFormat="1" applyFont="1" applyFill="1" applyBorder="1" applyAlignment="1" applyProtection="1">
      <alignment horizontal="left" vertical="center" wrapText="1"/>
    </xf>
    <xf numFmtId="1" fontId="27" fillId="3" borderId="40" xfId="0" applyNumberFormat="1" applyFont="1" applyFill="1" applyBorder="1" applyAlignment="1" applyProtection="1">
      <alignment horizontal="right" vertical="center" indent="2"/>
    </xf>
    <xf numFmtId="1" fontId="27" fillId="3" borderId="41" xfId="0" applyNumberFormat="1" applyFont="1" applyFill="1" applyBorder="1" applyAlignment="1" applyProtection="1">
      <alignment horizontal="right" vertical="center" indent="2"/>
    </xf>
    <xf numFmtId="1" fontId="2" fillId="0" borderId="38" xfId="0" applyNumberFormat="1" applyFont="1" applyFill="1" applyBorder="1" applyAlignment="1" applyProtection="1">
      <alignment horizontal="center"/>
    </xf>
    <xf numFmtId="3" fontId="3" fillId="3" borderId="35" xfId="0" applyNumberFormat="1" applyFont="1" applyFill="1" applyBorder="1" applyAlignment="1" applyProtection="1">
      <alignment horizontal="right" vertical="center" indent="2"/>
    </xf>
    <xf numFmtId="1" fontId="4" fillId="3" borderId="43" xfId="0" applyNumberFormat="1" applyFont="1" applyFill="1" applyBorder="1" applyAlignment="1" applyProtection="1">
      <alignment horizontal="right" vertical="center" indent="2"/>
    </xf>
    <xf numFmtId="3" fontId="2" fillId="3" borderId="35" xfId="0" applyNumberFormat="1" applyFont="1" applyFill="1" applyBorder="1" applyAlignment="1" applyProtection="1">
      <alignment horizontal="right" vertical="center" indent="2"/>
    </xf>
    <xf numFmtId="1" fontId="27" fillId="3" borderId="43" xfId="0" applyNumberFormat="1" applyFont="1" applyFill="1" applyBorder="1" applyAlignment="1" applyProtection="1">
      <alignment horizontal="right" vertical="center" indent="2"/>
    </xf>
    <xf numFmtId="1" fontId="2" fillId="0" borderId="42" xfId="0" applyNumberFormat="1" applyFont="1" applyFill="1" applyBorder="1" applyAlignment="1" applyProtection="1">
      <alignment horizontal="center"/>
    </xf>
    <xf numFmtId="3" fontId="3" fillId="3" borderId="44" xfId="0" applyNumberFormat="1" applyFont="1" applyFill="1" applyBorder="1" applyAlignment="1" applyProtection="1">
      <alignment horizontal="right" vertical="center" indent="2"/>
    </xf>
    <xf numFmtId="1" fontId="4" fillId="3" borderId="45" xfId="0" applyNumberFormat="1" applyFont="1" applyFill="1" applyBorder="1" applyAlignment="1" applyProtection="1">
      <alignment horizontal="right" vertical="center" indent="2"/>
    </xf>
    <xf numFmtId="3" fontId="2" fillId="3" borderId="44" xfId="0" applyNumberFormat="1" applyFont="1" applyFill="1" applyBorder="1" applyAlignment="1" applyProtection="1">
      <alignment horizontal="right" vertical="center" indent="2"/>
    </xf>
    <xf numFmtId="1" fontId="27" fillId="3" borderId="45" xfId="0" applyNumberFormat="1" applyFont="1" applyFill="1" applyBorder="1" applyAlignment="1" applyProtection="1">
      <alignment horizontal="right" vertical="center" indent="2"/>
    </xf>
    <xf numFmtId="0" fontId="2" fillId="2" borderId="0" xfId="0" applyFont="1" applyFill="1" applyBorder="1" applyAlignment="1">
      <alignment horizontal="center" vertical="center"/>
    </xf>
    <xf numFmtId="0" fontId="3" fillId="2" borderId="0" xfId="0" applyFont="1" applyFill="1" applyBorder="1" applyAlignment="1">
      <alignment horizontal="center" vertical="center" wrapText="1"/>
    </xf>
    <xf numFmtId="166" fontId="25" fillId="0" borderId="0" xfId="0" applyNumberFormat="1" applyFont="1" applyBorder="1"/>
    <xf numFmtId="166" fontId="24" fillId="0" borderId="0" xfId="0" applyNumberFormat="1" applyFont="1" applyBorder="1"/>
    <xf numFmtId="3" fontId="2" fillId="0" borderId="35" xfId="0" applyNumberFormat="1" applyFont="1" applyFill="1" applyBorder="1" applyAlignment="1">
      <alignment horizontal="right" vertical="center"/>
    </xf>
    <xf numFmtId="3" fontId="2" fillId="0" borderId="25" xfId="0" applyNumberFormat="1" applyFont="1" applyFill="1" applyBorder="1" applyAlignment="1">
      <alignment horizontal="right" vertical="center"/>
    </xf>
    <xf numFmtId="3" fontId="3" fillId="0" borderId="25" xfId="0" applyNumberFormat="1" applyFont="1" applyFill="1" applyBorder="1" applyAlignment="1">
      <alignment horizontal="right" vertical="center"/>
    </xf>
    <xf numFmtId="3" fontId="4" fillId="0" borderId="25" xfId="0" applyNumberFormat="1" applyFont="1" applyFill="1" applyBorder="1" applyAlignment="1">
      <alignment horizontal="right" vertical="center"/>
    </xf>
    <xf numFmtId="3" fontId="3" fillId="0" borderId="25" xfId="0" applyNumberFormat="1" applyFont="1" applyFill="1" applyBorder="1" applyAlignment="1">
      <alignment vertical="center"/>
    </xf>
    <xf numFmtId="3" fontId="3" fillId="0" borderId="34" xfId="0" applyNumberFormat="1" applyFont="1" applyFill="1" applyBorder="1" applyAlignment="1">
      <alignment horizontal="right" vertical="center"/>
    </xf>
    <xf numFmtId="174" fontId="3" fillId="0" borderId="0" xfId="0" applyNumberFormat="1" applyFont="1" applyFill="1" applyBorder="1" applyAlignment="1">
      <alignment vertical="center"/>
    </xf>
    <xf numFmtId="0" fontId="3" fillId="0" borderId="29" xfId="0" applyFont="1" applyFill="1" applyBorder="1" applyAlignment="1">
      <alignment horizontal="left" wrapText="1"/>
    </xf>
    <xf numFmtId="173" fontId="3" fillId="0" borderId="35" xfId="1" applyNumberFormat="1" applyFont="1" applyFill="1" applyBorder="1" applyAlignment="1">
      <alignment horizontal="right" vertical="center"/>
    </xf>
    <xf numFmtId="173" fontId="3" fillId="0" borderId="31" xfId="1" applyNumberFormat="1" applyFont="1" applyFill="1" applyBorder="1" applyAlignment="1">
      <alignment horizontal="right" vertical="center"/>
    </xf>
    <xf numFmtId="173" fontId="3" fillId="0" borderId="29" xfId="1" applyNumberFormat="1" applyFont="1" applyFill="1" applyBorder="1" applyAlignment="1">
      <alignment horizontal="right" vertical="center"/>
    </xf>
    <xf numFmtId="173" fontId="3" fillId="0" borderId="14" xfId="1" applyNumberFormat="1" applyFont="1" applyFill="1" applyBorder="1" applyAlignment="1">
      <alignment horizontal="right" vertical="center"/>
    </xf>
    <xf numFmtId="173" fontId="3" fillId="0" borderId="25" xfId="1" applyNumberFormat="1" applyFont="1" applyFill="1" applyBorder="1" applyAlignment="1">
      <alignment horizontal="right" vertical="center"/>
    </xf>
    <xf numFmtId="173" fontId="3" fillId="0" borderId="32" xfId="1" applyNumberFormat="1" applyFont="1" applyFill="1" applyBorder="1" applyAlignment="1">
      <alignment horizontal="right" vertical="center"/>
    </xf>
    <xf numFmtId="173" fontId="3" fillId="0" borderId="28" xfId="1" applyNumberFormat="1" applyFont="1" applyFill="1" applyBorder="1" applyAlignment="1">
      <alignment horizontal="right" vertical="center"/>
    </xf>
    <xf numFmtId="173" fontId="3" fillId="0" borderId="15" xfId="1" applyNumberFormat="1" applyFont="1" applyFill="1" applyBorder="1" applyAlignment="1">
      <alignment horizontal="right" vertical="center"/>
    </xf>
    <xf numFmtId="173" fontId="2" fillId="0" borderId="25" xfId="1" applyNumberFormat="1" applyFont="1" applyFill="1" applyBorder="1" applyAlignment="1">
      <alignment horizontal="right" vertical="center"/>
    </xf>
    <xf numFmtId="173" fontId="2" fillId="0" borderId="32" xfId="1" applyNumberFormat="1" applyFont="1" applyFill="1" applyBorder="1" applyAlignment="1">
      <alignment horizontal="right" vertical="center"/>
    </xf>
    <xf numFmtId="173" fontId="2" fillId="0" borderId="28" xfId="1" applyNumberFormat="1" applyFont="1" applyFill="1" applyBorder="1" applyAlignment="1">
      <alignment horizontal="right" vertical="center"/>
    </xf>
    <xf numFmtId="173" fontId="2" fillId="0" borderId="15" xfId="1" applyNumberFormat="1" applyFont="1" applyFill="1" applyBorder="1" applyAlignment="1">
      <alignment horizontal="right" vertical="center"/>
    </xf>
    <xf numFmtId="0" fontId="4" fillId="0" borderId="30" xfId="0" applyFont="1" applyFill="1" applyBorder="1" applyAlignment="1">
      <alignment horizontal="right" vertical="center" wrapText="1"/>
    </xf>
    <xf numFmtId="173" fontId="4" fillId="0" borderId="34" xfId="1" applyNumberFormat="1" applyFont="1" applyFill="1" applyBorder="1" applyAlignment="1">
      <alignment horizontal="right" vertical="center"/>
    </xf>
    <xf numFmtId="173" fontId="4" fillId="0" borderId="33" xfId="1" applyNumberFormat="1" applyFont="1" applyFill="1" applyBorder="1" applyAlignment="1">
      <alignment horizontal="right" vertical="center"/>
    </xf>
    <xf numFmtId="173" fontId="4" fillId="0" borderId="30" xfId="1" applyNumberFormat="1" applyFont="1" applyFill="1" applyBorder="1" applyAlignment="1">
      <alignment horizontal="right" vertical="center"/>
    </xf>
    <xf numFmtId="173" fontId="4" fillId="0" borderId="16" xfId="1" applyNumberFormat="1" applyFont="1" applyFill="1" applyBorder="1" applyAlignment="1">
      <alignment horizontal="right" vertical="center"/>
    </xf>
    <xf numFmtId="0" fontId="2" fillId="0" borderId="16" xfId="0" applyFont="1" applyFill="1" applyBorder="1" applyAlignment="1">
      <alignment horizontal="left" wrapText="1"/>
    </xf>
    <xf numFmtId="0" fontId="3" fillId="0" borderId="14" xfId="0" applyFont="1" applyFill="1" applyBorder="1" applyAlignment="1">
      <alignment horizontal="left"/>
    </xf>
    <xf numFmtId="0" fontId="3" fillId="0" borderId="15" xfId="0" applyFont="1" applyFill="1" applyBorder="1" applyAlignment="1">
      <alignment horizontal="left"/>
    </xf>
    <xf numFmtId="0" fontId="2" fillId="0" borderId="16" xfId="0" applyFont="1" applyFill="1" applyBorder="1" applyAlignment="1">
      <alignment vertical="center"/>
    </xf>
    <xf numFmtId="173" fontId="2" fillId="0" borderId="16" xfId="1" applyNumberFormat="1" applyFont="1" applyFill="1" applyBorder="1" applyAlignment="1">
      <alignment horizontal="right" vertical="center"/>
    </xf>
    <xf numFmtId="173" fontId="2" fillId="0" borderId="33" xfId="1" applyNumberFormat="1" applyFont="1" applyFill="1" applyBorder="1" applyAlignment="1">
      <alignment horizontal="right" vertical="center"/>
    </xf>
    <xf numFmtId="173" fontId="2" fillId="0" borderId="30" xfId="1" applyNumberFormat="1" applyFont="1" applyFill="1" applyBorder="1" applyAlignment="1">
      <alignment horizontal="right" vertical="center"/>
    </xf>
    <xf numFmtId="0" fontId="2" fillId="0" borderId="22" xfId="0" applyFont="1" applyFill="1" applyBorder="1" applyAlignment="1">
      <alignment vertical="center"/>
    </xf>
    <xf numFmtId="0" fontId="2" fillId="0" borderId="26" xfId="0" applyFont="1" applyFill="1" applyBorder="1" applyAlignment="1">
      <alignment vertical="center" wrapText="1"/>
    </xf>
    <xf numFmtId="0" fontId="13" fillId="0" borderId="36" xfId="3" applyFont="1" applyBorder="1" applyAlignment="1">
      <alignment horizontal="left"/>
    </xf>
    <xf numFmtId="0" fontId="3" fillId="4" borderId="26" xfId="0" applyFont="1" applyFill="1" applyBorder="1" applyAlignment="1">
      <alignment horizontal="center" vertical="center" wrapText="1"/>
    </xf>
    <xf numFmtId="0" fontId="3" fillId="4" borderId="38" xfId="0" applyFont="1" applyFill="1" applyBorder="1" applyAlignment="1">
      <alignment horizontal="center" vertical="center" wrapText="1"/>
    </xf>
    <xf numFmtId="166" fontId="11" fillId="4" borderId="29" xfId="0" applyNumberFormat="1" applyFont="1" applyFill="1" applyBorder="1"/>
    <xf numFmtId="167" fontId="2" fillId="4" borderId="35" xfId="0" applyNumberFormat="1" applyFont="1" applyFill="1" applyBorder="1" applyAlignment="1">
      <alignment horizontal="right" vertical="center"/>
    </xf>
    <xf numFmtId="3" fontId="2" fillId="4" borderId="35" xfId="0" applyNumberFormat="1" applyFont="1" applyFill="1" applyBorder="1" applyAlignment="1">
      <alignment horizontal="right" vertical="center"/>
    </xf>
    <xf numFmtId="166" fontId="9" fillId="4" borderId="28" xfId="0" applyNumberFormat="1" applyFont="1" applyFill="1" applyBorder="1"/>
    <xf numFmtId="166" fontId="9" fillId="4" borderId="25" xfId="0" applyNumberFormat="1" applyFont="1" applyFill="1" applyBorder="1"/>
    <xf numFmtId="167" fontId="2" fillId="4" borderId="25" xfId="0" applyNumberFormat="1" applyFont="1" applyFill="1" applyBorder="1" applyAlignment="1">
      <alignment horizontal="right" vertical="center"/>
    </xf>
    <xf numFmtId="3" fontId="2" fillId="4" borderId="25" xfId="0" applyNumberFormat="1" applyFont="1" applyFill="1" applyBorder="1" applyAlignment="1">
      <alignment horizontal="right" vertical="center"/>
    </xf>
    <xf numFmtId="167" fontId="3" fillId="4" borderId="25" xfId="0" applyNumberFormat="1" applyFont="1" applyFill="1" applyBorder="1" applyAlignment="1">
      <alignment horizontal="right" vertical="center"/>
    </xf>
    <xf numFmtId="3" fontId="3" fillId="4" borderId="25" xfId="0" applyNumberFormat="1" applyFont="1" applyFill="1" applyBorder="1" applyAlignment="1">
      <alignment horizontal="right" vertical="center"/>
    </xf>
    <xf numFmtId="166" fontId="12" fillId="4" borderId="28" xfId="0" applyNumberFormat="1" applyFont="1" applyFill="1" applyBorder="1"/>
    <xf numFmtId="167" fontId="4" fillId="4" borderId="25" xfId="0" applyNumberFormat="1" applyFont="1" applyFill="1" applyBorder="1" applyAlignment="1">
      <alignment horizontal="right" vertical="center"/>
    </xf>
    <xf numFmtId="3" fontId="4" fillId="4" borderId="25" xfId="0" applyNumberFormat="1" applyFont="1" applyFill="1" applyBorder="1" applyAlignment="1">
      <alignment horizontal="right" vertical="center"/>
    </xf>
    <xf numFmtId="167" fontId="3" fillId="4" borderId="25" xfId="0" applyNumberFormat="1" applyFont="1" applyFill="1" applyBorder="1" applyAlignment="1">
      <alignment vertical="center"/>
    </xf>
    <xf numFmtId="3" fontId="3" fillId="4" borderId="25" xfId="0" applyNumberFormat="1" applyFont="1" applyFill="1" applyBorder="1" applyAlignment="1">
      <alignment vertical="center"/>
    </xf>
    <xf numFmtId="166" fontId="9" fillId="4" borderId="30" xfId="0" applyNumberFormat="1" applyFont="1" applyFill="1" applyBorder="1"/>
    <xf numFmtId="167" fontId="3" fillId="4" borderId="34" xfId="0" applyNumberFormat="1" applyFont="1" applyFill="1" applyBorder="1" applyAlignment="1">
      <alignment horizontal="right" vertical="center"/>
    </xf>
    <xf numFmtId="3" fontId="3" fillId="4" borderId="34" xfId="0" applyNumberFormat="1" applyFont="1" applyFill="1" applyBorder="1" applyAlignment="1">
      <alignment horizontal="right" vertical="center"/>
    </xf>
    <xf numFmtId="0" fontId="4" fillId="2" borderId="10" xfId="0" applyFont="1" applyFill="1" applyBorder="1" applyAlignment="1">
      <alignment horizontal="right" vertical="center"/>
    </xf>
    <xf numFmtId="0" fontId="29" fillId="0" borderId="0" xfId="0" applyFont="1"/>
    <xf numFmtId="0" fontId="20" fillId="0" borderId="26" xfId="0" applyFont="1" applyBorder="1" applyAlignment="1">
      <alignment horizontal="center"/>
    </xf>
    <xf numFmtId="167" fontId="9" fillId="0" borderId="0" xfId="0" applyNumberFormat="1" applyFont="1"/>
    <xf numFmtId="175" fontId="11" fillId="0" borderId="29" xfId="1" applyNumberFormat="1" applyFont="1" applyBorder="1"/>
    <xf numFmtId="175" fontId="9" fillId="0" borderId="28" xfId="1" applyNumberFormat="1" applyFont="1" applyBorder="1"/>
    <xf numFmtId="175" fontId="12" fillId="0" borderId="28" xfId="1" applyNumberFormat="1" applyFont="1" applyBorder="1"/>
    <xf numFmtId="175" fontId="9" fillId="0" borderId="30" xfId="1" applyNumberFormat="1" applyFont="1" applyBorder="1"/>
    <xf numFmtId="1" fontId="2" fillId="2" borderId="28" xfId="0" applyNumberFormat="1" applyFont="1" applyFill="1" applyBorder="1" applyAlignment="1">
      <alignment horizontal="right" vertical="center"/>
    </xf>
    <xf numFmtId="0" fontId="30" fillId="0" borderId="0" xfId="0" applyFont="1"/>
    <xf numFmtId="0" fontId="3" fillId="0" borderId="0" xfId="0" applyNumberFormat="1" applyFont="1" applyFill="1" applyBorder="1" applyAlignment="1" applyProtection="1">
      <alignment horizontal="left" wrapText="1"/>
    </xf>
    <xf numFmtId="0" fontId="3" fillId="0" borderId="0" xfId="0" applyNumberFormat="1" applyFont="1" applyFill="1" applyBorder="1" applyAlignment="1" applyProtection="1">
      <alignment horizontal="left" vertical="top" wrapText="1"/>
    </xf>
    <xf numFmtId="0" fontId="3" fillId="3" borderId="19" xfId="0" applyNumberFormat="1" applyFont="1" applyFill="1" applyBorder="1" applyAlignment="1" applyProtection="1">
      <alignment horizontal="left" vertical="center" wrapText="1"/>
    </xf>
    <xf numFmtId="0" fontId="3" fillId="3" borderId="20" xfId="0" applyNumberFormat="1" applyFont="1" applyFill="1" applyBorder="1" applyAlignment="1" applyProtection="1">
      <alignment horizontal="left" vertical="center" wrapText="1"/>
    </xf>
    <xf numFmtId="0" fontId="2" fillId="3" borderId="19" xfId="0" applyNumberFormat="1" applyFont="1" applyFill="1" applyBorder="1" applyAlignment="1" applyProtection="1">
      <alignment horizontal="left" vertical="center" wrapText="1"/>
    </xf>
    <xf numFmtId="0" fontId="2" fillId="3" borderId="20" xfId="0" applyNumberFormat="1" applyFont="1" applyFill="1" applyBorder="1" applyAlignment="1" applyProtection="1">
      <alignment horizontal="left" vertical="center" wrapText="1"/>
    </xf>
    <xf numFmtId="0" fontId="3" fillId="3" borderId="0" xfId="0" quotePrefix="1" applyNumberFormat="1" applyFont="1" applyFill="1" applyBorder="1" applyAlignment="1" applyProtection="1">
      <alignment horizontal="left" vertical="top" wrapText="1"/>
    </xf>
    <xf numFmtId="0" fontId="2" fillId="2" borderId="21"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3" fillId="2" borderId="21" xfId="0" applyFont="1" applyFill="1" applyBorder="1" applyAlignment="1">
      <alignment horizontal="left" vertical="center" wrapText="1"/>
    </xf>
    <xf numFmtId="0" fontId="9" fillId="2" borderId="23" xfId="0" applyFont="1" applyFill="1" applyBorder="1" applyAlignment="1">
      <alignment horizontal="left" vertical="center" wrapText="1"/>
    </xf>
    <xf numFmtId="0" fontId="9" fillId="2" borderId="22" xfId="0" applyFont="1" applyFill="1" applyBorder="1" applyAlignment="1">
      <alignment horizontal="left" vertical="center" wrapText="1"/>
    </xf>
    <xf numFmtId="0" fontId="9" fillId="0" borderId="0" xfId="0" applyFont="1" applyAlignment="1">
      <alignment horizontal="left" wrapText="1"/>
    </xf>
    <xf numFmtId="0" fontId="3" fillId="0" borderId="0" xfId="0" applyFont="1" applyFill="1" applyBorder="1" applyAlignment="1">
      <alignment horizontal="left" vertical="center" wrapText="1"/>
    </xf>
    <xf numFmtId="0" fontId="2" fillId="2" borderId="36" xfId="0" applyFont="1" applyFill="1" applyBorder="1" applyAlignment="1">
      <alignment horizontal="center" vertical="center"/>
    </xf>
    <xf numFmtId="0" fontId="2" fillId="2" borderId="37" xfId="0" applyFont="1" applyFill="1" applyBorder="1" applyAlignment="1">
      <alignment horizontal="center" vertical="center"/>
    </xf>
    <xf numFmtId="0" fontId="2" fillId="2" borderId="38" xfId="0" applyFont="1" applyFill="1" applyBorder="1" applyAlignment="1">
      <alignment horizontal="center" vertical="center"/>
    </xf>
    <xf numFmtId="0" fontId="2" fillId="4" borderId="36" xfId="0" applyFont="1" applyFill="1" applyBorder="1" applyAlignment="1">
      <alignment horizontal="center" vertical="center"/>
    </xf>
    <xf numFmtId="0" fontId="2" fillId="4" borderId="37" xfId="0" applyFont="1" applyFill="1" applyBorder="1" applyAlignment="1">
      <alignment horizontal="center" vertical="center"/>
    </xf>
    <xf numFmtId="0" fontId="2" fillId="4" borderId="38" xfId="0" applyFont="1" applyFill="1" applyBorder="1" applyAlignment="1">
      <alignment horizontal="center" vertical="center"/>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29" xfId="0" applyFont="1" applyFill="1" applyBorder="1" applyAlignment="1">
      <alignment horizontal="center" vertical="center"/>
    </xf>
    <xf numFmtId="0" fontId="3" fillId="2" borderId="16" xfId="0" applyFont="1" applyFill="1" applyBorder="1" applyAlignment="1">
      <alignment horizontal="center" vertical="center"/>
    </xf>
    <xf numFmtId="0" fontId="16" fillId="6" borderId="0" xfId="0" applyFont="1" applyFill="1" applyAlignment="1">
      <alignment horizontal="center" vertical="center"/>
    </xf>
    <xf numFmtId="0" fontId="17" fillId="6" borderId="0" xfId="0" applyFont="1" applyFill="1" applyAlignment="1">
      <alignment vertical="center"/>
    </xf>
    <xf numFmtId="0" fontId="20" fillId="0" borderId="26" xfId="0" applyFont="1" applyBorder="1" applyAlignment="1">
      <alignment horizontal="center"/>
    </xf>
    <xf numFmtId="0" fontId="3" fillId="2" borderId="0" xfId="4" applyFont="1" applyFill="1" applyBorder="1" applyAlignment="1">
      <alignment horizontal="left" vertical="center" wrapText="1"/>
    </xf>
    <xf numFmtId="0" fontId="3" fillId="2" borderId="24" xfId="4" applyFont="1" applyFill="1" applyBorder="1" applyAlignment="1">
      <alignment horizontal="right" vertical="center"/>
    </xf>
    <xf numFmtId="0" fontId="3" fillId="2" borderId="25" xfId="4" applyFont="1" applyFill="1" applyBorder="1" applyAlignment="1">
      <alignment horizontal="right" vertical="center"/>
    </xf>
    <xf numFmtId="0" fontId="3" fillId="2" borderId="11" xfId="4" applyFont="1" applyFill="1" applyBorder="1" applyAlignment="1">
      <alignment horizontal="right" vertical="center"/>
    </xf>
    <xf numFmtId="0" fontId="2" fillId="2" borderId="24" xfId="4" applyFont="1" applyFill="1" applyBorder="1" applyAlignment="1">
      <alignment horizontal="center" vertical="center"/>
    </xf>
    <xf numFmtId="0" fontId="2" fillId="2" borderId="25" xfId="4" applyFont="1" applyFill="1" applyBorder="1" applyAlignment="1">
      <alignment horizontal="center" vertical="center"/>
    </xf>
    <xf numFmtId="0" fontId="2" fillId="2" borderId="11" xfId="4" applyFont="1" applyFill="1" applyBorder="1" applyAlignment="1">
      <alignment horizontal="center" vertical="center"/>
    </xf>
  </cellXfs>
  <cellStyles count="7">
    <cellStyle name="Lien hypertexte" xfId="3" builtinId="8"/>
    <cellStyle name="Milliers" xfId="1" builtinId="3"/>
    <cellStyle name="Milliers 2" xfId="5" xr:uid="{796DC158-2549-4B32-9CC2-1AC5F916E4C8}"/>
    <cellStyle name="Milliers 3" xfId="6" xr:uid="{0E4E5EA4-1AC2-43EF-B959-773027FA154C}"/>
    <cellStyle name="Normal" xfId="0" builtinId="0"/>
    <cellStyle name="Normal 2" xfId="4" xr:uid="{00000000-0005-0000-0000-000003000000}"/>
    <cellStyle name="Pourcentage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95249</xdr:colOff>
      <xdr:row>13</xdr:row>
      <xdr:rowOff>31748</xdr:rowOff>
    </xdr:from>
    <xdr:to>
      <xdr:col>1</xdr:col>
      <xdr:colOff>224118</xdr:colOff>
      <xdr:row>78</xdr:row>
      <xdr:rowOff>78440</xdr:rowOff>
    </xdr:to>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95249" y="1959160"/>
          <a:ext cx="11088222" cy="10244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fr-FR" sz="1100">
              <a:solidFill>
                <a:schemeClr val="dk1"/>
              </a:solidFill>
              <a:effectLst/>
              <a:latin typeface="+mn-lt"/>
              <a:ea typeface="+mn-ea"/>
              <a:cs typeface="+mn-cs"/>
            </a:rPr>
            <a:t>Les éléments statistiques sur les</a:t>
          </a:r>
          <a:r>
            <a:rPr lang="fr-FR" sz="1100" baseline="0">
              <a:solidFill>
                <a:schemeClr val="dk1"/>
              </a:solidFill>
              <a:effectLst/>
              <a:latin typeface="+mn-lt"/>
              <a:ea typeface="+mn-ea"/>
              <a:cs typeface="+mn-cs"/>
            </a:rPr>
            <a:t> </a:t>
          </a:r>
          <a:r>
            <a:rPr lang="fr-FR" sz="1100" b="1" baseline="0">
              <a:solidFill>
                <a:schemeClr val="dk1"/>
              </a:solidFill>
              <a:effectLst/>
              <a:latin typeface="+mn-lt"/>
              <a:ea typeface="+mn-ea"/>
              <a:cs typeface="+mn-cs"/>
            </a:rPr>
            <a:t>travailleurs handicapés </a:t>
          </a:r>
          <a:r>
            <a:rPr lang="fr-FR" sz="1100" baseline="0">
              <a:solidFill>
                <a:schemeClr val="dk1"/>
              </a:solidFill>
              <a:effectLst/>
              <a:latin typeface="+mn-lt"/>
              <a:ea typeface="+mn-ea"/>
              <a:cs typeface="+mn-cs"/>
            </a:rPr>
            <a:t>sont </a:t>
          </a:r>
          <a:r>
            <a:rPr lang="fr-FR" sz="1100">
              <a:solidFill>
                <a:schemeClr val="dk1"/>
              </a:solidFill>
              <a:effectLst/>
              <a:latin typeface="+mn-lt"/>
              <a:ea typeface="+mn-ea"/>
              <a:cs typeface="+mn-cs"/>
            </a:rPr>
            <a:t>issus des déclarations auprès du FIPHFP et de l’enquête emploi en continu. Ces deux sources traitent des travailleurs handicapés, mais ne concernent pas les mêmes personnes.</a:t>
          </a:r>
        </a:p>
        <a:p>
          <a:pPr algn="just"/>
          <a:r>
            <a:rPr lang="fr-FR" sz="1100">
              <a:solidFill>
                <a:schemeClr val="dk1"/>
              </a:solidFill>
              <a:effectLst/>
              <a:latin typeface="+mn-lt"/>
              <a:ea typeface="+mn-ea"/>
              <a:cs typeface="+mn-cs"/>
            </a:rPr>
            <a:t> </a:t>
          </a:r>
        </a:p>
        <a:p>
          <a:pPr algn="just"/>
          <a:r>
            <a:rPr lang="fr-FR" sz="1100" b="1">
              <a:solidFill>
                <a:schemeClr val="dk1"/>
              </a:solidFill>
              <a:effectLst/>
              <a:latin typeface="+mn-lt"/>
              <a:ea typeface="+mn-ea"/>
              <a:cs typeface="+mn-cs"/>
            </a:rPr>
            <a:t>Le Fonds pour l'insertion des personnes handicapées dans la fonction publique (FIPHFP</a:t>
          </a:r>
          <a:r>
            <a:rPr lang="fr-FR" sz="1100">
              <a:solidFill>
                <a:schemeClr val="dk1"/>
              </a:solidFill>
              <a:effectLst/>
              <a:latin typeface="+mn-lt"/>
              <a:ea typeface="+mn-ea"/>
              <a:cs typeface="+mn-cs"/>
            </a:rPr>
            <a:t>) </a:t>
          </a:r>
        </a:p>
        <a:p>
          <a:pPr algn="just"/>
          <a:r>
            <a:rPr lang="fr-FR" sz="1100">
              <a:solidFill>
                <a:schemeClr val="dk1"/>
              </a:solidFill>
              <a:effectLst/>
              <a:latin typeface="+mn-lt"/>
              <a:ea typeface="+mn-ea"/>
              <a:cs typeface="+mn-cs"/>
            </a:rPr>
            <a:t>Depuis la loi n° 2005-102 du 11 février 2005 pour l’égalité des droits et des chances, la participation et la citoyenneté des personnes handicapées, les employeurs publics de plus de vingt salariés sont tenus d’effectuer une déclaration au Fonds pour l’insertion des personnes handicapées dans la fonction publique (FIPHFP). Ces employeurs ont l'obligation d'employer 6 % de travailleurs</a:t>
          </a:r>
          <a:r>
            <a:rPr lang="fr-FR" sz="1100" baseline="0">
              <a:solidFill>
                <a:schemeClr val="dk1"/>
              </a:solidFill>
              <a:effectLst/>
              <a:latin typeface="+mn-lt"/>
              <a:ea typeface="+mn-ea"/>
              <a:cs typeface="+mn-cs"/>
            </a:rPr>
            <a:t> en situation de handicap.</a:t>
          </a:r>
          <a:r>
            <a:rPr lang="fr-FR" sz="1100">
              <a:solidFill>
                <a:schemeClr val="dk1"/>
              </a:solidFill>
              <a:effectLst/>
              <a:latin typeface="+mn-lt"/>
              <a:ea typeface="+mn-ea"/>
              <a:cs typeface="+mn-cs"/>
            </a:rPr>
            <a:t> Les bénéficiaires de l’obligation d’emploi en faveur des travailleurs handicapés (BOETH) sont :</a:t>
          </a:r>
        </a:p>
        <a:p>
          <a:pPr algn="just"/>
          <a:endParaRPr lang="fr-FR" sz="1100">
            <a:solidFill>
              <a:schemeClr val="dk1"/>
            </a:solidFill>
            <a:effectLst/>
            <a:latin typeface="+mn-lt"/>
            <a:ea typeface="+mn-ea"/>
            <a:cs typeface="+mn-cs"/>
          </a:endParaRPr>
        </a:p>
        <a:p>
          <a:pPr algn="just"/>
          <a:r>
            <a:rPr lang="fr-FR" sz="1100">
              <a:solidFill>
                <a:schemeClr val="dk1"/>
              </a:solidFill>
              <a:effectLst/>
              <a:latin typeface="+mn-lt"/>
              <a:ea typeface="+mn-ea"/>
              <a:cs typeface="+mn-cs"/>
            </a:rPr>
            <a:t>- les personnes ayant obtenu la reconnaissance de la qualité de travailleur handicapé (RQTH) ; </a:t>
          </a:r>
        </a:p>
        <a:p>
          <a:pPr algn="just"/>
          <a:r>
            <a:rPr lang="fr-FR" sz="1100">
              <a:solidFill>
                <a:schemeClr val="dk1"/>
              </a:solidFill>
              <a:effectLst/>
              <a:latin typeface="+mn-lt"/>
              <a:ea typeface="+mn-ea"/>
              <a:cs typeface="+mn-cs"/>
            </a:rPr>
            <a:t>- les victimes d’accident du travail ou de maladie professionnelle, titulaires d’une rente, ayant une incapacité partielle permanente au moins égale à 10 % ;</a:t>
          </a:r>
        </a:p>
        <a:p>
          <a:pPr algn="just"/>
          <a:r>
            <a:rPr lang="fr-FR" sz="1100">
              <a:solidFill>
                <a:schemeClr val="dk1"/>
              </a:solidFill>
              <a:effectLst/>
              <a:latin typeface="+mn-lt"/>
              <a:ea typeface="+mn-ea"/>
              <a:cs typeface="+mn-cs"/>
            </a:rPr>
            <a:t>- les titulaires d’une pension d’invalidité, si l’invalidité réduit leur capacité de travail d’au moins les deux tiers ;</a:t>
          </a:r>
        </a:p>
        <a:p>
          <a:pPr algn="just"/>
          <a:r>
            <a:rPr lang="fr-FR" sz="1100">
              <a:solidFill>
                <a:schemeClr val="dk1"/>
              </a:solidFill>
              <a:effectLst/>
              <a:latin typeface="+mn-lt"/>
              <a:ea typeface="+mn-ea"/>
              <a:cs typeface="+mn-cs"/>
            </a:rPr>
            <a:t>- les anciens militaires titulaires d’une pension d’invalidité ;</a:t>
          </a:r>
        </a:p>
        <a:p>
          <a:pPr algn="just"/>
          <a:r>
            <a:rPr lang="fr-FR" sz="1100">
              <a:solidFill>
                <a:schemeClr val="dk1"/>
              </a:solidFill>
              <a:effectLst/>
              <a:latin typeface="+mn-lt"/>
              <a:ea typeface="+mn-ea"/>
              <a:cs typeface="+mn-cs"/>
            </a:rPr>
            <a:t>- les sapeurs-pompiers volontaires victimes d’un accident dans l’exercice de leurs fonctions ;</a:t>
          </a:r>
        </a:p>
        <a:p>
          <a:pPr algn="just"/>
          <a:r>
            <a:rPr lang="fr-FR" sz="1100">
              <a:solidFill>
                <a:schemeClr val="dk1"/>
              </a:solidFill>
              <a:effectLst/>
              <a:latin typeface="+mn-lt"/>
              <a:ea typeface="+mn-ea"/>
              <a:cs typeface="+mn-cs"/>
            </a:rPr>
            <a:t>- les titulaires de la carte d’invalidité ;</a:t>
          </a:r>
        </a:p>
        <a:p>
          <a:pPr algn="just"/>
          <a:r>
            <a:rPr lang="fr-FR" sz="1100">
              <a:solidFill>
                <a:schemeClr val="dk1"/>
              </a:solidFill>
              <a:effectLst/>
              <a:latin typeface="+mn-lt"/>
              <a:ea typeface="+mn-ea"/>
              <a:cs typeface="+mn-cs"/>
            </a:rPr>
            <a:t>- les bénéficiaires de l’allocation adulte handicapé (AAH).</a:t>
          </a:r>
        </a:p>
        <a:p>
          <a:pPr algn="just"/>
          <a:endParaRPr lang="fr-FR" sz="1100">
            <a:solidFill>
              <a:schemeClr val="dk1"/>
            </a:solidFill>
            <a:effectLst/>
            <a:latin typeface="+mn-lt"/>
            <a:ea typeface="+mn-ea"/>
            <a:cs typeface="+mn-cs"/>
          </a:endParaRPr>
        </a:p>
        <a:p>
          <a:pPr algn="just"/>
          <a:r>
            <a:rPr lang="fr-FR" sz="1100">
              <a:solidFill>
                <a:schemeClr val="dk1"/>
              </a:solidFill>
              <a:effectLst/>
              <a:latin typeface="+mn-lt"/>
              <a:ea typeface="+mn-ea"/>
              <a:cs typeface="+mn-cs"/>
            </a:rPr>
            <a:t>S’y ajoutent les agents reclassés, les agents bénéficiant d’une allocation temporaire d’invalidité ainsi que les anciens emplois réservés.</a:t>
          </a:r>
        </a:p>
        <a:p>
          <a:pPr algn="just"/>
          <a:r>
            <a:rPr lang="fr-FR" sz="1100">
              <a:solidFill>
                <a:schemeClr val="dk1"/>
              </a:solidFill>
              <a:effectLst/>
              <a:latin typeface="+mn-lt"/>
              <a:ea typeface="+mn-ea"/>
              <a:cs typeface="+mn-cs"/>
            </a:rPr>
            <a:t>Ce dispositif a fait l’objet d’une refonte à partir</a:t>
          </a:r>
          <a:r>
            <a:rPr lang="fr-FR" sz="1100" baseline="0">
              <a:solidFill>
                <a:schemeClr val="dk1"/>
              </a:solidFill>
              <a:effectLst/>
              <a:latin typeface="+mn-lt"/>
              <a:ea typeface="+mn-ea"/>
              <a:cs typeface="+mn-cs"/>
            </a:rPr>
            <a:t> du milléssime 2020</a:t>
          </a:r>
          <a:r>
            <a:rPr lang="fr-FR" sz="1100">
              <a:solidFill>
                <a:schemeClr val="dk1"/>
              </a:solidFill>
              <a:effectLst/>
              <a:latin typeface="+mn-lt"/>
              <a:ea typeface="+mn-ea"/>
              <a:cs typeface="+mn-cs"/>
            </a:rPr>
            <a:t>. La réforme a notamment des répercutions sur le calcul et la déclaration des dépenses déductibles. Le taux d’emploi légal était calculé en ajoutant les dépenses déductibles (nombre d’équivalents bénéficiaires) aux bénéficiaires. Il disparait avec la refonte au profit de l’utilisation du taux d’emploi direct, qui ne prend en compte que la part de personnes handicapées effectivement employées dans l’organisme.</a:t>
          </a:r>
        </a:p>
        <a:p>
          <a:pPr algn="just"/>
          <a:endParaRPr lang="fr-FR" sz="1100">
            <a:solidFill>
              <a:schemeClr val="dk1"/>
            </a:solidFill>
            <a:effectLst/>
            <a:latin typeface="+mn-lt"/>
            <a:ea typeface="+mn-ea"/>
            <a:cs typeface="+mn-cs"/>
          </a:endParaRPr>
        </a:p>
        <a:p>
          <a:pPr algn="just"/>
          <a:r>
            <a:rPr lang="fr-FR" sz="1100" b="1">
              <a:solidFill>
                <a:schemeClr val="dk1"/>
              </a:solidFill>
              <a:effectLst/>
              <a:latin typeface="+mn-lt"/>
              <a:ea typeface="+mn-ea"/>
              <a:cs typeface="+mn-cs"/>
            </a:rPr>
            <a:t>L’Enquête emploi en continu (EEC)</a:t>
          </a:r>
          <a:endParaRPr lang="fr-FR" sz="1100">
            <a:solidFill>
              <a:schemeClr val="dk1"/>
            </a:solidFill>
            <a:effectLst/>
            <a:latin typeface="+mn-lt"/>
            <a:ea typeface="+mn-ea"/>
            <a:cs typeface="+mn-cs"/>
          </a:endParaRPr>
        </a:p>
        <a:p>
          <a:pPr algn="just"/>
          <a:r>
            <a:rPr lang="fr-FR" sz="1100">
              <a:solidFill>
                <a:schemeClr val="dk1"/>
              </a:solidFill>
              <a:effectLst/>
              <a:latin typeface="+mn-lt"/>
              <a:ea typeface="+mn-ea"/>
              <a:cs typeface="+mn-cs"/>
            </a:rPr>
            <a:t>L’Enquête Emploi en continu concerne la part des agents de la fonction publique ayant une reconnaissance</a:t>
          </a:r>
          <a:r>
            <a:rPr lang="fr-FR" sz="1100" baseline="0">
              <a:solidFill>
                <a:schemeClr val="dk1"/>
              </a:solidFill>
              <a:effectLst/>
              <a:latin typeface="+mn-lt"/>
              <a:ea typeface="+mn-ea"/>
              <a:cs typeface="+mn-cs"/>
            </a:rPr>
            <a:t> administrative d'un handicap</a:t>
          </a:r>
          <a:r>
            <a:rPr lang="fr-FR" sz="1100">
              <a:solidFill>
                <a:schemeClr val="dk1"/>
              </a:solidFill>
              <a:effectLst/>
              <a:latin typeface="+mn-lt"/>
              <a:ea typeface="+mn-ea"/>
              <a:cs typeface="+mn-cs"/>
            </a:rPr>
            <a:t>. La déclaration est faite par l’individu interrogé contrairement au FIPHFP. Ces individus ne représentent qu’une partie des bénéficiaires de l’obligation emploi, à savoir les personnes reconnus comme travailleurs handicapés ou percevant l'allocation aux adultes handicapés (AAH). </a:t>
          </a:r>
        </a:p>
        <a:p>
          <a:pPr algn="just"/>
          <a:endParaRPr lang="fr-FR" sz="1100">
            <a:solidFill>
              <a:srgbClr val="FF0000"/>
            </a:solidFill>
            <a:effectLst/>
            <a:latin typeface="+mn-lt"/>
            <a:ea typeface="+mn-ea"/>
            <a:cs typeface="+mn-cs"/>
          </a:endParaRPr>
        </a:p>
        <a:p>
          <a:pPr algn="just"/>
          <a:r>
            <a:rPr lang="fr-FR" sz="1100">
              <a:solidFill>
                <a:sysClr val="windowText" lastClr="000000"/>
              </a:solidFill>
              <a:effectLst/>
              <a:latin typeface="+mn-lt"/>
              <a:ea typeface="+mn-ea"/>
              <a:cs typeface="+mn-cs"/>
            </a:rPr>
            <a:t>Les estimations issues de l’enquête sont fragiles car soumises aux aléas de sondage. Mais la précision s’est améliorée avec la refonte de l’enquête en 2020 et l’augmentation de l’échantillon de répondants sur cette question. Ainsi, en 2023,</a:t>
          </a:r>
          <a:r>
            <a:rPr lang="fr-FR" sz="1100" baseline="0">
              <a:solidFill>
                <a:sysClr val="windowText" lastClr="000000"/>
              </a:solidFill>
              <a:effectLst/>
              <a:latin typeface="+mn-lt"/>
              <a:ea typeface="+mn-ea"/>
              <a:cs typeface="+mn-cs"/>
            </a:rPr>
            <a:t> 1 796 </a:t>
          </a:r>
          <a:r>
            <a:rPr lang="fr-FR" sz="1100">
              <a:solidFill>
                <a:sysClr val="windowText" lastClr="000000"/>
              </a:solidFill>
              <a:effectLst/>
              <a:latin typeface="+mn-lt"/>
              <a:ea typeface="+mn-ea"/>
              <a:cs typeface="+mn-cs"/>
            </a:rPr>
            <a:t>personnes répondantes à l’EEC sont des agents de la fonction publique reconnus comme étant travailleurs handicapés ou bénéficiaires l'allocation aux adultes handicapés. En 2020, elles n’étaient que de 477.</a:t>
          </a:r>
        </a:p>
        <a:p>
          <a:pPr algn="just"/>
          <a:r>
            <a:rPr lang="fr-FR"/>
            <a:t>En 2026, l’Insee a  ajusté les pondérations de 2021 à 2025. Par ailleurs, des retraitements ont été effectués sur l’ensemble des années à la suite d’incohérences constatées dans la répartition des agents au sein des versants de la fonction publique . Cela concerne notamment les militaires et les magistrats. Au total, entre 30 000 et 70 000 personnes, selon l’année, ont été reclassés à la suite de ce traitement, ce qui peut entraîner de légères différences dans les résultats par rapport aux publications antérieures.</a:t>
          </a:r>
        </a:p>
        <a:p>
          <a:pPr algn="just"/>
          <a:endParaRPr lang="fr-FR" sz="1100">
            <a:solidFill>
              <a:sysClr val="windowText" lastClr="000000"/>
            </a:solidFill>
            <a:effectLst/>
            <a:latin typeface="+mn-lt"/>
            <a:ea typeface="+mn-ea"/>
            <a:cs typeface="+mn-cs"/>
          </a:endParaRPr>
        </a:p>
        <a:p>
          <a:r>
            <a:rPr lang="fr-FR" sz="1100">
              <a:solidFill>
                <a:sysClr val="windowText" lastClr="000000"/>
              </a:solidFill>
              <a:effectLst/>
              <a:latin typeface="+mn-lt"/>
              <a:ea typeface="+mn-ea"/>
              <a:cs typeface="+mn-cs"/>
            </a:rPr>
            <a:t>Il est à noter que</a:t>
          </a:r>
          <a:r>
            <a:rPr lang="fr-FR" sz="1100" baseline="0">
              <a:solidFill>
                <a:sysClr val="windowText" lastClr="000000"/>
              </a:solidFill>
              <a:effectLst/>
              <a:latin typeface="+mn-lt"/>
              <a:ea typeface="+mn-ea"/>
              <a:cs typeface="+mn-cs"/>
            </a:rPr>
            <a:t> suite à la refonte en 2021 de cette enquête, la formulation de la question sur l'existence d'une reconnaissance administrative d'un handicap a légèrement changé. De 2014 à 2020, la question était formulée telle qu'il suit : </a:t>
          </a:r>
        </a:p>
        <a:p>
          <a:endParaRPr lang="fr-FR" sz="1100" baseline="0">
            <a:solidFill>
              <a:sysClr val="windowText" lastClr="000000"/>
            </a:solidFill>
            <a:effectLst/>
            <a:latin typeface="+mn-lt"/>
            <a:ea typeface="+mn-ea"/>
            <a:cs typeface="+mn-cs"/>
          </a:endParaRPr>
        </a:p>
        <a:p>
          <a:r>
            <a:rPr lang="fr-FR" sz="1100" b="1" i="1" u="none" strike="noStrike" baseline="0">
              <a:solidFill>
                <a:sysClr val="windowText" lastClr="000000"/>
              </a:solidFill>
              <a:latin typeface="+mn-lt"/>
              <a:ea typeface="+mn-ea"/>
              <a:cs typeface="+mn-cs"/>
            </a:rPr>
            <a:t>Avez-vous une reconnaissance administrative d’un handicap ou d’une perte</a:t>
          </a:r>
        </a:p>
        <a:p>
          <a:r>
            <a:rPr lang="fr-FR" sz="1100" b="1" i="1" u="none" strike="noStrike" baseline="0">
              <a:solidFill>
                <a:sysClr val="windowText" lastClr="000000"/>
              </a:solidFill>
              <a:latin typeface="+mn-lt"/>
              <a:ea typeface="+mn-ea"/>
              <a:cs typeface="+mn-cs"/>
            </a:rPr>
            <a:t>d’autonomie ? </a:t>
          </a:r>
        </a:p>
        <a:p>
          <a:endParaRPr lang="fr-FR" sz="1100" b="1" i="1" u="none" strike="noStrike" baseline="0">
            <a:solidFill>
              <a:sysClr val="windowText" lastClr="000000"/>
            </a:solidFill>
            <a:latin typeface="+mn-lt"/>
            <a:ea typeface="+mn-ea"/>
            <a:cs typeface="+mn-cs"/>
          </a:endParaRPr>
        </a:p>
        <a:p>
          <a:r>
            <a:rPr lang="fr-FR" sz="1100" b="0" i="1" u="none" strike="noStrike" baseline="0">
              <a:solidFill>
                <a:sysClr val="windowText" lastClr="000000"/>
              </a:solidFill>
              <a:latin typeface="+mn-lt"/>
              <a:ea typeface="+mn-ea"/>
              <a:cs typeface="+mn-cs"/>
            </a:rPr>
            <a:t>1. Oui</a:t>
          </a:r>
        </a:p>
        <a:p>
          <a:r>
            <a:rPr lang="fr-FR" sz="1100" b="0" i="1" u="none" strike="noStrike" baseline="0">
              <a:solidFill>
                <a:sysClr val="windowText" lastClr="000000"/>
              </a:solidFill>
              <a:latin typeface="+mn-lt"/>
              <a:ea typeface="+mn-ea"/>
              <a:cs typeface="+mn-cs"/>
            </a:rPr>
            <a:t>2. Demande en cours</a:t>
          </a:r>
        </a:p>
        <a:p>
          <a:r>
            <a:rPr lang="fr-FR" sz="1100" b="0" i="1" u="none" strike="noStrike" baseline="0">
              <a:solidFill>
                <a:sysClr val="windowText" lastClr="000000"/>
              </a:solidFill>
              <a:latin typeface="+mn-lt"/>
              <a:ea typeface="+mn-ea"/>
              <a:cs typeface="+mn-cs"/>
            </a:rPr>
            <a:t>3. Non</a:t>
          </a:r>
        </a:p>
        <a:p>
          <a:r>
            <a:rPr lang="fr-FR" sz="1100" b="0" i="1" u="none" strike="noStrike" baseline="0">
              <a:solidFill>
                <a:sysClr val="windowText" lastClr="000000"/>
              </a:solidFill>
              <a:latin typeface="+mn-lt"/>
              <a:ea typeface="+mn-ea"/>
              <a:cs typeface="+mn-cs"/>
            </a:rPr>
            <a:t>Refus.</a:t>
          </a:r>
        </a:p>
        <a:p>
          <a:r>
            <a:rPr lang="fr-FR" sz="1100" b="0" i="1" u="none" strike="noStrike" baseline="0">
              <a:solidFill>
                <a:sysClr val="windowText" lastClr="000000"/>
              </a:solidFill>
              <a:latin typeface="+mn-lt"/>
              <a:ea typeface="+mn-ea"/>
              <a:cs typeface="+mn-cs"/>
            </a:rPr>
            <a:t>Ne sait pas</a:t>
          </a:r>
        </a:p>
        <a:p>
          <a:endParaRPr lang="fr-FR" sz="1100" b="0" i="0" u="none" strike="noStrike" baseline="0">
            <a:solidFill>
              <a:sysClr val="windowText" lastClr="000000"/>
            </a:solidFill>
            <a:effectLst/>
            <a:latin typeface="+mn-lt"/>
            <a:ea typeface="+mn-ea"/>
            <a:cs typeface="+mn-cs"/>
          </a:endParaRPr>
        </a:p>
        <a:p>
          <a:r>
            <a:rPr lang="fr-FR" sz="1100" b="0" i="0" u="none" strike="noStrike" baseline="0">
              <a:solidFill>
                <a:sysClr val="windowText" lastClr="000000"/>
              </a:solidFill>
              <a:effectLst/>
              <a:latin typeface="+mn-lt"/>
              <a:ea typeface="+mn-ea"/>
              <a:cs typeface="+mn-cs"/>
            </a:rPr>
            <a:t>À partir de 2021, la question est formulée de la façon suivante :</a:t>
          </a:r>
        </a:p>
        <a:p>
          <a:endParaRPr lang="fr-FR" sz="1100" b="1" i="0" u="none" strike="noStrike" baseline="0">
            <a:solidFill>
              <a:sysClr val="windowText" lastClr="000000"/>
            </a:solidFill>
            <a:latin typeface="+mn-lt"/>
            <a:ea typeface="+mn-ea"/>
            <a:cs typeface="+mn-cs"/>
          </a:endParaRPr>
        </a:p>
        <a:p>
          <a:r>
            <a:rPr lang="fr-FR" sz="1100" b="1" i="1" u="none" strike="noStrike" baseline="0">
              <a:solidFill>
                <a:sysClr val="windowText" lastClr="000000"/>
              </a:solidFill>
              <a:latin typeface="+mn-lt"/>
              <a:ea typeface="+mn-ea"/>
              <a:cs typeface="+mn-cs"/>
            </a:rPr>
            <a:t>Avez-vous (toujours) une reconnaissance administrative d’un handicap ?</a:t>
          </a:r>
          <a:endParaRPr lang="fr-FR" sz="1100" b="0" i="1" u="none" strike="noStrike" baseline="0">
            <a:solidFill>
              <a:sysClr val="windowText" lastClr="000000"/>
            </a:solidFill>
            <a:latin typeface="+mn-lt"/>
            <a:ea typeface="+mn-ea"/>
            <a:cs typeface="+mn-cs"/>
          </a:endParaRPr>
        </a:p>
        <a:p>
          <a:endParaRPr lang="fr-FR" sz="1100" b="0" i="1" u="none" strike="noStrike" baseline="0">
            <a:solidFill>
              <a:sysClr val="windowText" lastClr="000000"/>
            </a:solidFill>
            <a:latin typeface="+mn-lt"/>
            <a:ea typeface="+mn-ea"/>
            <a:cs typeface="+mn-cs"/>
          </a:endParaRPr>
        </a:p>
        <a:p>
          <a:r>
            <a:rPr lang="fr-FR" sz="1100" b="0" i="1" u="none" strike="noStrike" baseline="0">
              <a:solidFill>
                <a:sysClr val="windowText" lastClr="000000"/>
              </a:solidFill>
              <a:latin typeface="+mn-lt"/>
              <a:ea typeface="+mn-ea"/>
              <a:cs typeface="+mn-cs"/>
            </a:rPr>
            <a:t>1. Oui</a:t>
          </a:r>
        </a:p>
        <a:p>
          <a:r>
            <a:rPr lang="fr-FR" sz="1100" b="0" i="1" u="none" strike="noStrike" baseline="0">
              <a:solidFill>
                <a:sysClr val="windowText" lastClr="000000"/>
              </a:solidFill>
              <a:latin typeface="+mn-lt"/>
              <a:ea typeface="+mn-ea"/>
              <a:cs typeface="+mn-cs"/>
            </a:rPr>
            <a:t>2. Demande en cours</a:t>
          </a:r>
        </a:p>
        <a:p>
          <a:r>
            <a:rPr lang="fr-FR" sz="1100" b="0" i="1" u="none" strike="noStrike" baseline="0">
              <a:solidFill>
                <a:sysClr val="windowText" lastClr="000000"/>
              </a:solidFill>
              <a:latin typeface="+mn-lt"/>
              <a:ea typeface="+mn-ea"/>
              <a:cs typeface="+mn-cs"/>
            </a:rPr>
            <a:t>3. Non </a:t>
          </a:r>
          <a:endParaRPr lang="fr-FR" sz="1100" i="1">
            <a:solidFill>
              <a:sysClr val="windowText" lastClr="000000"/>
            </a:solidFill>
            <a:effectLst/>
            <a:latin typeface="+mn-lt"/>
            <a:ea typeface="+mn-ea"/>
            <a:cs typeface="+mn-cs"/>
          </a:endParaRPr>
        </a:p>
        <a:p>
          <a:pPr algn="just"/>
          <a:endParaRPr lang="fr-FR" sz="11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showGridLines="0" tabSelected="1" zoomScale="90" zoomScaleNormal="90" workbookViewId="0"/>
  </sheetViews>
  <sheetFormatPr baseColWidth="10" defaultRowHeight="12.75"/>
  <cols>
    <col min="1" max="1" width="164.42578125" style="13" bestFit="1" customWidth="1"/>
    <col min="2" max="3" width="22.7109375" style="135" customWidth="1"/>
    <col min="4" max="16384" width="11.42578125" style="13"/>
  </cols>
  <sheetData>
    <row r="1" spans="1:3">
      <c r="A1" s="99" t="s">
        <v>58</v>
      </c>
    </row>
    <row r="2" spans="1:3" ht="49.5" customHeight="1">
      <c r="A2" s="136"/>
      <c r="B2" s="137" t="s">
        <v>157</v>
      </c>
      <c r="C2" s="138" t="s">
        <v>155</v>
      </c>
    </row>
    <row r="3" spans="1:3">
      <c r="A3" s="139" t="str">
        <f>'Figure 1'!A1</f>
        <v xml:space="preserve">Part des agents ou salariés reconnus comme travailleurs handicapés ou percevant l'allocation aux adultes handicapés (AAH) </v>
      </c>
      <c r="B3" s="140" t="s">
        <v>49</v>
      </c>
      <c r="C3" s="141"/>
    </row>
    <row r="4" spans="1:3">
      <c r="A4" s="139" t="str">
        <f>'Figure 2'!A1</f>
        <v xml:space="preserve">Part des agents ou salariés reconnus comme travailleurs handicapés ou percevant l'allocation aux adultes handicapés (AAH) à temps partiel et quotité de travail en EQTP </v>
      </c>
      <c r="B4" s="140" t="s">
        <v>50</v>
      </c>
      <c r="C4" s="141"/>
    </row>
    <row r="5" spans="1:3">
      <c r="A5" s="367" t="str">
        <f>'Figure 3'!A1</f>
        <v xml:space="preserve">Part des femmes parmi les agents ou salariés reconnus comme travailleurs handicapés ou percevant l'allocation aux adultes handicapés (AAH) </v>
      </c>
      <c r="B5" s="140" t="s">
        <v>51</v>
      </c>
      <c r="C5" s="141" t="s">
        <v>156</v>
      </c>
    </row>
    <row r="6" spans="1:3">
      <c r="A6" s="142" t="str">
        <f>'Figure 4'!A1</f>
        <v>Bénéficiaires de l'obligation d'emploi en faveur des travailleurs handicapés dans les trois versants de la fonction publique</v>
      </c>
      <c r="B6" s="140" t="s">
        <v>52</v>
      </c>
      <c r="C6" s="141"/>
    </row>
    <row r="7" spans="1:3">
      <c r="A7" s="142" t="str">
        <f>'Figure 5'!A1</f>
        <v>Bénéficiaires de l'obligation d'emploi en faveur des travailleurs handicapés par type d'employeur de la fonction publique</v>
      </c>
      <c r="B7" s="140" t="s">
        <v>53</v>
      </c>
      <c r="C7" s="141"/>
    </row>
    <row r="8" spans="1:3">
      <c r="A8" s="142" t="str">
        <f>'Figure 6'!A1</f>
        <v>Part des femmes parmi les bénéficiaires de l'obligation d'emploi en faveur des travailleurs handicapés par type d'employeur de la fonction publique</v>
      </c>
      <c r="B8" s="140" t="s">
        <v>54</v>
      </c>
      <c r="C8" s="141" t="s">
        <v>156</v>
      </c>
    </row>
    <row r="9" spans="1:3">
      <c r="A9" s="142" t="str">
        <f>'Figure 7'!A1</f>
        <v>Bénéficiaires de l'obligation d'emploi en faveur des travailleurs handicapés par ministères au 31 décembre 2024</v>
      </c>
      <c r="B9" s="140" t="s">
        <v>55</v>
      </c>
      <c r="C9" s="141" t="s">
        <v>156</v>
      </c>
    </row>
    <row r="10" spans="1:3">
      <c r="A10" s="142" t="str">
        <f>'Figure 8'!A1</f>
        <v>Répartition des bénéficiaires de l'obligation d'emploi en faveur des travailleurs handicapés par statut et par sexe dans les trois versants de la fonction publique au 31 décembre 2024</v>
      </c>
      <c r="B10" s="140" t="s">
        <v>199</v>
      </c>
      <c r="C10" s="141" t="s">
        <v>156</v>
      </c>
    </row>
    <row r="11" spans="1:3">
      <c r="A11" s="142" t="str">
        <f>'Figure 9'!A1</f>
        <v>Bénéficiaires de l'obligation d'emploi en faveur des travailleurs handicapés occupant un emploi particulier(1) par sexe et par versant de la fonction publique</v>
      </c>
      <c r="B11" s="140" t="s">
        <v>200</v>
      </c>
      <c r="C11" s="141" t="s">
        <v>156</v>
      </c>
    </row>
  </sheetData>
  <phoneticPr fontId="28" type="noConversion"/>
  <hyperlinks>
    <hyperlink ref="A4" location="'Figure 2'!A1" display="Figure 2 : Part des agents ou salariés reconnus comme travailleurs handicapés ou percevant l'allocation aux adultes handicapés (AAH) à temps partiel et quotité de travail en EQTP " xr:uid="{00000000-0004-0000-0000-000001000000}"/>
    <hyperlink ref="A6" location="'Figure 3'!A1" display="Bénéficiaires de l'obligation d'emploi en faveur des travailleurs handicapés dans les trois versants de la fonction publique" xr:uid="{00000000-0004-0000-0000-000002000000}"/>
    <hyperlink ref="A7" location="'Figure 4'!A1" display="Bénéficiaires de l'obligation d'emploi en faveur des travailleurs handicapés par type d'employeur de la fonction publique" xr:uid="{00000000-0004-0000-0000-000003000000}"/>
    <hyperlink ref="A9" location="'Figure 5'!A1" display="Bénéficiaires de l'obligation d'emploi en faveur des travailleurs handicapés par employeur dans la Fonction Publique d'Etat au 30 décembre 2020" xr:uid="{00000000-0004-0000-0000-000004000000}"/>
    <hyperlink ref="A10" location="'Figure 6'!A1" display="Répartition des bénéficiaires de l'obligation d'emploi en faveur des travailleurs handicapés par statut et par sexe dans les trois versants de la fonction publique au 30 décembre 2020" xr:uid="{00000000-0004-0000-0000-000005000000}"/>
    <hyperlink ref="A11" location="'Figure 7'!A1" display="Bénéficiaires de l'obligation d'emploi en faveur des travailleurs handicapés occupant un emploi particulier par sexe et par versant de la Fonction Publique" xr:uid="{00000000-0004-0000-0000-000006000000}"/>
    <hyperlink ref="A3" location="'Figure 1'!A1" display="'Figure 1'!A1" xr:uid="{BDD44409-6928-4332-97B6-7A91020094D7}"/>
    <hyperlink ref="A8" location="'Figure 4'!A1" display="Bénéficiaires de l'obligation d'emploi en faveur des travailleurs handicapés par type d'employeur de la fonction publique" xr:uid="{339729FF-0F75-48CB-A592-02931A1A1EFC}"/>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
  <sheetViews>
    <sheetView showGridLines="0" workbookViewId="0"/>
  </sheetViews>
  <sheetFormatPr baseColWidth="10" defaultRowHeight="12.75"/>
  <cols>
    <col min="1" max="1" width="35.5703125" style="13" customWidth="1"/>
    <col min="2" max="16384" width="11.42578125" style="13"/>
  </cols>
  <sheetData>
    <row r="1" spans="1:13">
      <c r="A1" s="60" t="s">
        <v>35</v>
      </c>
      <c r="B1" s="60"/>
      <c r="C1" s="60"/>
      <c r="D1" s="60"/>
      <c r="E1" s="60"/>
      <c r="F1" s="60"/>
      <c r="G1" s="60"/>
      <c r="H1" s="60"/>
    </row>
    <row r="2" spans="1:13">
      <c r="A2" s="14" t="s">
        <v>60</v>
      </c>
      <c r="B2" s="14"/>
      <c r="C2" s="14"/>
      <c r="D2" s="14"/>
      <c r="E2" s="14"/>
      <c r="F2" s="14"/>
      <c r="G2" s="15"/>
      <c r="H2" s="15"/>
    </row>
    <row r="3" spans="1:13">
      <c r="A3" s="17"/>
      <c r="B3" s="16">
        <v>2014</v>
      </c>
      <c r="C3" s="16">
        <v>2015</v>
      </c>
      <c r="D3" s="16">
        <v>2016</v>
      </c>
      <c r="E3" s="16">
        <v>2017</v>
      </c>
      <c r="F3" s="16">
        <v>2018</v>
      </c>
      <c r="G3" s="16">
        <v>2019</v>
      </c>
      <c r="H3" s="16">
        <v>2020</v>
      </c>
      <c r="I3" s="16">
        <v>2021</v>
      </c>
      <c r="J3" s="16">
        <v>2022</v>
      </c>
      <c r="K3" s="16">
        <v>2023</v>
      </c>
      <c r="L3" s="16">
        <v>2024</v>
      </c>
      <c r="M3" s="16">
        <v>2025</v>
      </c>
    </row>
    <row r="4" spans="1:13">
      <c r="A4" s="15" t="s">
        <v>31</v>
      </c>
      <c r="B4" s="184">
        <v>2.44</v>
      </c>
      <c r="C4" s="184">
        <v>2.92</v>
      </c>
      <c r="D4" s="184">
        <v>3.1</v>
      </c>
      <c r="E4" s="184">
        <v>2.92</v>
      </c>
      <c r="F4" s="184">
        <v>2.5</v>
      </c>
      <c r="G4" s="184">
        <v>3.63</v>
      </c>
      <c r="H4" s="184">
        <v>3.29</v>
      </c>
      <c r="I4" s="184">
        <v>3.4501019999999998</v>
      </c>
      <c r="J4" s="184">
        <v>3.6175579999999998</v>
      </c>
      <c r="K4" s="184">
        <v>4.2523580000000001</v>
      </c>
      <c r="L4" s="184">
        <v>4.8334789999999996</v>
      </c>
      <c r="M4" s="184">
        <v>4.7551990000000002</v>
      </c>
    </row>
    <row r="5" spans="1:13">
      <c r="A5" s="15" t="s">
        <v>0</v>
      </c>
      <c r="B5" s="185">
        <v>4.74</v>
      </c>
      <c r="C5" s="185">
        <v>4.5199999999999996</v>
      </c>
      <c r="D5" s="185">
        <v>4.62</v>
      </c>
      <c r="E5" s="185">
        <v>5.41</v>
      </c>
      <c r="F5" s="185">
        <v>4.3600000000000003</v>
      </c>
      <c r="G5" s="185">
        <v>4.67</v>
      </c>
      <c r="H5" s="185">
        <v>5.0599999999999996</v>
      </c>
      <c r="I5" s="185">
        <v>4.9169660000000004</v>
      </c>
      <c r="J5" s="185">
        <v>5.738518</v>
      </c>
      <c r="K5" s="185">
        <v>5.8393009999999999</v>
      </c>
      <c r="L5" s="185">
        <v>6.3296849999999996</v>
      </c>
      <c r="M5" s="185">
        <v>6.8848070000000003</v>
      </c>
    </row>
    <row r="6" spans="1:13">
      <c r="A6" s="15" t="s">
        <v>1</v>
      </c>
      <c r="B6" s="186">
        <v>2.61</v>
      </c>
      <c r="C6" s="186">
        <v>3.33</v>
      </c>
      <c r="D6" s="186">
        <v>3.63</v>
      </c>
      <c r="E6" s="186">
        <v>4.0599999999999996</v>
      </c>
      <c r="F6" s="186">
        <v>4.33</v>
      </c>
      <c r="G6" s="186">
        <v>4.62</v>
      </c>
      <c r="H6" s="186">
        <v>3.9</v>
      </c>
      <c r="I6" s="186">
        <v>3.5297070000000001</v>
      </c>
      <c r="J6" s="186">
        <v>4.3457660000000002</v>
      </c>
      <c r="K6" s="186">
        <v>4.5323669999999998</v>
      </c>
      <c r="L6" s="186">
        <v>5.0848909999999998</v>
      </c>
      <c r="M6" s="186">
        <v>5.2945580000000003</v>
      </c>
    </row>
    <row r="7" spans="1:13">
      <c r="A7" s="21" t="s">
        <v>32</v>
      </c>
      <c r="B7" s="187">
        <v>3.28</v>
      </c>
      <c r="C7" s="187">
        <v>3.56</v>
      </c>
      <c r="D7" s="187">
        <v>3.73</v>
      </c>
      <c r="E7" s="187">
        <v>4.01</v>
      </c>
      <c r="F7" s="187">
        <v>3.52</v>
      </c>
      <c r="G7" s="187">
        <v>4.18</v>
      </c>
      <c r="H7" s="187">
        <v>4.01</v>
      </c>
      <c r="I7" s="187">
        <v>3.9489709999999998</v>
      </c>
      <c r="J7" s="187">
        <v>4.472709</v>
      </c>
      <c r="K7" s="187">
        <v>4.8445580000000001</v>
      </c>
      <c r="L7" s="187">
        <v>5.3921890000000001</v>
      </c>
      <c r="M7" s="187">
        <v>5.5689289999999998</v>
      </c>
    </row>
    <row r="8" spans="1:13">
      <c r="A8" s="18" t="s">
        <v>33</v>
      </c>
      <c r="B8" s="188">
        <v>3.54</v>
      </c>
      <c r="C8" s="188">
        <v>3.7</v>
      </c>
      <c r="D8" s="188">
        <v>3.72</v>
      </c>
      <c r="E8" s="188">
        <v>3.77</v>
      </c>
      <c r="F8" s="188">
        <v>3.89</v>
      </c>
      <c r="G8" s="188">
        <v>3.76</v>
      </c>
      <c r="H8" s="188">
        <v>3.67</v>
      </c>
      <c r="I8" s="188">
        <v>3.7805650000000002</v>
      </c>
      <c r="J8" s="188">
        <v>4.0554490000000003</v>
      </c>
      <c r="K8" s="188">
        <v>4.3224200000000002</v>
      </c>
      <c r="L8" s="188">
        <v>4.7756379999999998</v>
      </c>
      <c r="M8" s="188">
        <v>4.9502870000000003</v>
      </c>
    </row>
    <row r="9" spans="1:13">
      <c r="A9" s="19" t="s">
        <v>20</v>
      </c>
      <c r="B9" s="187">
        <v>3.48</v>
      </c>
      <c r="C9" s="187">
        <v>3.66</v>
      </c>
      <c r="D9" s="187">
        <v>3.73</v>
      </c>
      <c r="E9" s="187">
        <v>3.82</v>
      </c>
      <c r="F9" s="187">
        <v>3.81</v>
      </c>
      <c r="G9" s="187">
        <v>3.86</v>
      </c>
      <c r="H9" s="187">
        <v>3.75</v>
      </c>
      <c r="I9" s="187">
        <v>3.819836</v>
      </c>
      <c r="J9" s="187">
        <v>4.1521140000000001</v>
      </c>
      <c r="K9" s="187">
        <v>4.4440860000000004</v>
      </c>
      <c r="L9" s="187">
        <v>4.9197230000000003</v>
      </c>
      <c r="M9" s="187">
        <v>5.091297</v>
      </c>
    </row>
    <row r="10" spans="1:13">
      <c r="A10" s="58" t="s">
        <v>211</v>
      </c>
      <c r="B10" s="58"/>
      <c r="C10" s="58"/>
      <c r="D10" s="58"/>
      <c r="E10" s="15"/>
      <c r="F10" s="15"/>
      <c r="G10" s="15"/>
      <c r="H10" s="15"/>
    </row>
    <row r="11" spans="1:13">
      <c r="A11" s="63" t="s">
        <v>182</v>
      </c>
      <c r="B11" s="63"/>
      <c r="C11" s="59"/>
      <c r="D11" s="59"/>
      <c r="E11" s="59"/>
      <c r="F11" s="59"/>
      <c r="G11" s="59"/>
      <c r="H11" s="59"/>
    </row>
    <row r="12" spans="1:13">
      <c r="A12" s="398" t="s">
        <v>213</v>
      </c>
      <c r="B12" s="398"/>
      <c r="C12" s="398"/>
      <c r="D12" s="398"/>
      <c r="E12" s="398"/>
      <c r="F12" s="398"/>
      <c r="G12" s="398"/>
      <c r="H12" s="398"/>
      <c r="I12" s="398"/>
      <c r="J12" s="398"/>
      <c r="K12" s="398"/>
      <c r="L12" s="398"/>
    </row>
    <row r="13" spans="1:13" ht="37.5" customHeight="1">
      <c r="A13" s="397" t="s">
        <v>215</v>
      </c>
      <c r="B13" s="397"/>
      <c r="C13" s="397"/>
      <c r="D13" s="397"/>
      <c r="E13" s="397"/>
      <c r="F13" s="397"/>
      <c r="G13" s="397"/>
      <c r="H13" s="397"/>
      <c r="I13" s="397"/>
      <c r="J13" s="397"/>
      <c r="K13" s="397"/>
      <c r="L13" s="397"/>
    </row>
    <row r="14" spans="1:13">
      <c r="I14" s="181"/>
      <c r="J14" s="181"/>
      <c r="K14" s="181"/>
    </row>
    <row r="15" spans="1:13" ht="14.25">
      <c r="B15" s="311"/>
      <c r="C15" s="311"/>
      <c r="D15" s="311"/>
      <c r="E15" s="311"/>
      <c r="F15" s="311"/>
      <c r="G15" s="311"/>
      <c r="H15" s="311"/>
    </row>
    <row r="16" spans="1:13" ht="14.25">
      <c r="B16" s="311"/>
      <c r="C16" s="311"/>
      <c r="D16" s="311"/>
      <c r="E16" s="311"/>
      <c r="F16" s="311"/>
      <c r="G16" s="311"/>
      <c r="H16" s="311"/>
    </row>
    <row r="17" spans="2:8" ht="14.25">
      <c r="B17" s="311"/>
      <c r="C17" s="311"/>
      <c r="D17" s="311"/>
      <c r="E17" s="311"/>
      <c r="F17" s="311"/>
      <c r="G17" s="311"/>
      <c r="H17" s="311"/>
    </row>
    <row r="18" spans="2:8" ht="14.25">
      <c r="B18" s="311"/>
      <c r="C18" s="311"/>
      <c r="D18" s="311"/>
      <c r="E18" s="311"/>
      <c r="F18" s="311"/>
      <c r="G18" s="311"/>
      <c r="H18" s="311"/>
    </row>
    <row r="19" spans="2:8" ht="14.25">
      <c r="B19" s="311"/>
      <c r="C19" s="311"/>
      <c r="D19" s="311"/>
      <c r="E19" s="311"/>
      <c r="F19" s="311"/>
      <c r="G19" s="311"/>
      <c r="H19" s="311"/>
    </row>
    <row r="20" spans="2:8" ht="14.25">
      <c r="B20" s="311"/>
      <c r="C20" s="311"/>
      <c r="D20" s="311"/>
      <c r="E20" s="311"/>
      <c r="F20" s="311"/>
      <c r="G20" s="311"/>
      <c r="H20" s="311"/>
    </row>
    <row r="22" spans="2:8">
      <c r="B22" s="182"/>
      <c r="C22" s="182"/>
      <c r="D22" s="182"/>
      <c r="E22" s="182"/>
      <c r="F22" s="182"/>
      <c r="G22" s="182"/>
      <c r="H22" s="182"/>
    </row>
    <row r="23" spans="2:8">
      <c r="B23" s="182"/>
      <c r="C23" s="182"/>
      <c r="D23" s="182"/>
      <c r="E23" s="182"/>
      <c r="F23" s="182"/>
      <c r="G23" s="182"/>
      <c r="H23" s="182"/>
    </row>
    <row r="24" spans="2:8">
      <c r="B24" s="182"/>
      <c r="C24" s="182"/>
      <c r="D24" s="182"/>
      <c r="E24" s="182"/>
      <c r="F24" s="182"/>
      <c r="G24" s="182"/>
      <c r="H24" s="182"/>
    </row>
    <row r="25" spans="2:8">
      <c r="B25" s="182"/>
      <c r="C25" s="182"/>
      <c r="D25" s="182"/>
      <c r="E25" s="182"/>
      <c r="F25" s="182"/>
      <c r="G25" s="182"/>
      <c r="H25" s="182"/>
    </row>
    <row r="26" spans="2:8">
      <c r="B26" s="182"/>
      <c r="C26" s="182"/>
      <c r="D26" s="182"/>
      <c r="E26" s="182"/>
      <c r="F26" s="182"/>
      <c r="G26" s="182"/>
      <c r="H26" s="182"/>
    </row>
    <row r="27" spans="2:8">
      <c r="B27" s="182"/>
      <c r="C27" s="182"/>
      <c r="D27" s="182"/>
      <c r="E27" s="182"/>
      <c r="F27" s="182"/>
      <c r="G27" s="182"/>
      <c r="H27" s="182"/>
    </row>
    <row r="28" spans="2:8">
      <c r="B28" s="182"/>
      <c r="C28" s="182"/>
      <c r="D28" s="182"/>
      <c r="E28" s="182"/>
      <c r="F28" s="182"/>
      <c r="G28" s="182"/>
      <c r="H28" s="182"/>
    </row>
  </sheetData>
  <mergeCells count="2">
    <mergeCell ref="A13:L13"/>
    <mergeCell ref="A12:L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1"/>
  <sheetViews>
    <sheetView showGridLines="0" zoomScale="85" zoomScaleNormal="85" workbookViewId="0"/>
  </sheetViews>
  <sheetFormatPr baseColWidth="10" defaultRowHeight="12.75"/>
  <cols>
    <col min="1" max="1" width="33.28515625" style="13" customWidth="1"/>
    <col min="2" max="2" width="42" style="13" customWidth="1"/>
    <col min="3" max="9" width="12.85546875" style="13" customWidth="1"/>
    <col min="10" max="14" width="11.42578125" style="13"/>
    <col min="15" max="15" width="19.140625" style="13" customWidth="1"/>
    <col min="16" max="16" width="16.140625" style="13" customWidth="1"/>
    <col min="17" max="16384" width="11.42578125" style="13"/>
  </cols>
  <sheetData>
    <row r="1" spans="1:17">
      <c r="A1" s="60" t="s">
        <v>34</v>
      </c>
      <c r="B1" s="60"/>
      <c r="C1" s="60"/>
      <c r="D1" s="60"/>
      <c r="E1" s="60"/>
      <c r="F1" s="60"/>
      <c r="G1" s="60"/>
      <c r="H1" s="60"/>
      <c r="I1" s="60"/>
    </row>
    <row r="2" spans="1:17">
      <c r="A2" s="60"/>
      <c r="B2" s="60"/>
      <c r="C2" s="60"/>
      <c r="D2" s="60"/>
      <c r="E2" s="60"/>
      <c r="F2" s="60"/>
      <c r="G2" s="60"/>
      <c r="H2" s="60"/>
      <c r="I2" s="60"/>
    </row>
    <row r="3" spans="1:17">
      <c r="A3" s="15" t="s">
        <v>60</v>
      </c>
      <c r="B3" s="15"/>
      <c r="C3" s="16">
        <v>2014</v>
      </c>
      <c r="D3" s="16">
        <v>2015</v>
      </c>
      <c r="E3" s="16">
        <v>2016</v>
      </c>
      <c r="F3" s="16">
        <v>2017</v>
      </c>
      <c r="G3" s="16">
        <v>2018</v>
      </c>
      <c r="H3" s="16">
        <v>2019</v>
      </c>
      <c r="I3" s="16">
        <v>2020</v>
      </c>
      <c r="J3" s="16">
        <v>2021</v>
      </c>
      <c r="K3" s="16">
        <v>2022</v>
      </c>
      <c r="L3" s="16">
        <v>2023</v>
      </c>
      <c r="M3" s="16">
        <v>2024</v>
      </c>
      <c r="N3" s="16">
        <v>2025</v>
      </c>
      <c r="O3" s="61"/>
      <c r="P3" s="61"/>
      <c r="Q3" s="61"/>
    </row>
    <row r="4" spans="1:17">
      <c r="A4" s="399" t="s">
        <v>31</v>
      </c>
      <c r="B4" s="42" t="s">
        <v>43</v>
      </c>
      <c r="C4" s="293">
        <v>23.28</v>
      </c>
      <c r="D4" s="293">
        <v>23.8</v>
      </c>
      <c r="E4" s="293">
        <v>24.03</v>
      </c>
      <c r="F4" s="293">
        <v>28.78</v>
      </c>
      <c r="G4" s="294">
        <v>39.83</v>
      </c>
      <c r="H4" s="294">
        <v>29.92</v>
      </c>
      <c r="I4" s="294">
        <v>33.92</v>
      </c>
      <c r="J4" s="294">
        <v>34.678899999999999</v>
      </c>
      <c r="K4" s="294">
        <v>36.972029999999997</v>
      </c>
      <c r="L4" s="294">
        <v>36.776339999999998</v>
      </c>
      <c r="M4" s="294">
        <v>32.582929999999998</v>
      </c>
      <c r="N4" s="294">
        <v>32.844709999999999</v>
      </c>
      <c r="O4" s="61"/>
      <c r="P4" s="61"/>
      <c r="Q4" s="61"/>
    </row>
    <row r="5" spans="1:17" ht="14.25">
      <c r="A5" s="400"/>
      <c r="B5" s="274" t="s">
        <v>44</v>
      </c>
      <c r="C5" s="189">
        <v>0.92</v>
      </c>
      <c r="D5" s="190">
        <v>0.93</v>
      </c>
      <c r="E5" s="190">
        <v>0.93</v>
      </c>
      <c r="F5" s="190">
        <v>0.89</v>
      </c>
      <c r="G5" s="189">
        <v>0.83</v>
      </c>
      <c r="H5" s="189">
        <v>0.91</v>
      </c>
      <c r="I5" s="189">
        <v>0.89</v>
      </c>
      <c r="J5" s="189">
        <v>0.871529</v>
      </c>
      <c r="K5" s="189">
        <v>0.85629699999999997</v>
      </c>
      <c r="L5" s="189">
        <v>0.85228700000000002</v>
      </c>
      <c r="M5" s="189">
        <v>0.87725500000000001</v>
      </c>
      <c r="N5" s="189">
        <v>0.87368000000000001</v>
      </c>
      <c r="O5" s="61"/>
      <c r="P5" s="61"/>
      <c r="Q5" s="61"/>
    </row>
    <row r="6" spans="1:17">
      <c r="A6" s="399" t="s">
        <v>0</v>
      </c>
      <c r="B6" s="44" t="s">
        <v>43</v>
      </c>
      <c r="C6" s="293">
        <v>35.32</v>
      </c>
      <c r="D6" s="293">
        <v>35.96</v>
      </c>
      <c r="E6" s="293">
        <v>36.4</v>
      </c>
      <c r="F6" s="293">
        <v>31.65</v>
      </c>
      <c r="G6" s="294">
        <v>32.76</v>
      </c>
      <c r="H6" s="294">
        <v>32.28</v>
      </c>
      <c r="I6" s="294">
        <v>36.229999999999997</v>
      </c>
      <c r="J6" s="294">
        <v>29.552009999999999</v>
      </c>
      <c r="K6" s="294">
        <v>27.589639999999999</v>
      </c>
      <c r="L6" s="294">
        <v>28.592739999999999</v>
      </c>
      <c r="M6" s="294">
        <v>31.580089999999998</v>
      </c>
      <c r="N6" s="294">
        <v>28.039370000000002</v>
      </c>
      <c r="O6" s="61"/>
      <c r="P6" s="61"/>
      <c r="Q6" s="61"/>
    </row>
    <row r="7" spans="1:17" ht="14.25">
      <c r="A7" s="400"/>
      <c r="B7" s="43" t="s">
        <v>44</v>
      </c>
      <c r="C7" s="191">
        <v>0.85</v>
      </c>
      <c r="D7" s="192">
        <v>0.81</v>
      </c>
      <c r="E7" s="192">
        <v>0.84</v>
      </c>
      <c r="F7" s="192">
        <v>0.84</v>
      </c>
      <c r="G7" s="191">
        <v>0.83</v>
      </c>
      <c r="H7" s="191">
        <v>0.81</v>
      </c>
      <c r="I7" s="191">
        <v>0.82</v>
      </c>
      <c r="J7" s="193">
        <v>0.88817000000000002</v>
      </c>
      <c r="K7" s="193">
        <v>0.897648</v>
      </c>
      <c r="L7" s="193">
        <v>0.88987499999999997</v>
      </c>
      <c r="M7" s="193">
        <v>0.88140099999999999</v>
      </c>
      <c r="N7" s="193">
        <v>0.89595999999999998</v>
      </c>
      <c r="O7" s="61"/>
      <c r="P7" s="61"/>
      <c r="Q7" s="61"/>
    </row>
    <row r="8" spans="1:17">
      <c r="A8" s="399" t="s">
        <v>1</v>
      </c>
      <c r="B8" s="44" t="s">
        <v>43</v>
      </c>
      <c r="C8" s="293">
        <v>41.29</v>
      </c>
      <c r="D8" s="293">
        <v>25.07</v>
      </c>
      <c r="E8" s="293">
        <v>21.04</v>
      </c>
      <c r="F8" s="293">
        <v>32.89</v>
      </c>
      <c r="G8" s="294">
        <v>26.18</v>
      </c>
      <c r="H8" s="294">
        <v>33.85</v>
      </c>
      <c r="I8" s="294">
        <v>33.11</v>
      </c>
      <c r="J8" s="294">
        <v>29.243790000000001</v>
      </c>
      <c r="K8" s="294">
        <v>23.442540000000001</v>
      </c>
      <c r="L8" s="294">
        <v>29.142109999999999</v>
      </c>
      <c r="M8" s="294">
        <v>28.23424</v>
      </c>
      <c r="N8" s="294">
        <v>26.282430000000002</v>
      </c>
      <c r="O8" s="61"/>
      <c r="P8" s="61"/>
      <c r="Q8" s="61"/>
    </row>
    <row r="9" spans="1:17" ht="14.25">
      <c r="A9" s="400"/>
      <c r="B9" s="43" t="s">
        <v>44</v>
      </c>
      <c r="C9" s="191">
        <v>0.85</v>
      </c>
      <c r="D9" s="191">
        <v>0.91</v>
      </c>
      <c r="E9" s="191">
        <v>0.9</v>
      </c>
      <c r="F9" s="191">
        <v>0.87</v>
      </c>
      <c r="G9" s="194">
        <v>0.9</v>
      </c>
      <c r="H9" s="194">
        <v>0.87</v>
      </c>
      <c r="I9" s="194">
        <v>0.92</v>
      </c>
      <c r="J9" s="195">
        <v>0.90293699999999999</v>
      </c>
      <c r="K9" s="195">
        <v>0.92311900000000002</v>
      </c>
      <c r="L9" s="195">
        <v>0.89868800000000004</v>
      </c>
      <c r="M9" s="195">
        <v>0.90136300000000003</v>
      </c>
      <c r="N9" s="195">
        <v>0.92532800000000004</v>
      </c>
      <c r="O9" s="61"/>
      <c r="P9" s="61"/>
      <c r="Q9" s="61"/>
    </row>
    <row r="10" spans="1:17">
      <c r="A10" s="401" t="s">
        <v>32</v>
      </c>
      <c r="B10" s="45" t="s">
        <v>43</v>
      </c>
      <c r="C10" s="295">
        <v>32.229999999999997</v>
      </c>
      <c r="D10" s="295">
        <v>29.42</v>
      </c>
      <c r="E10" s="295">
        <v>28.77</v>
      </c>
      <c r="F10" s="295">
        <v>30.96</v>
      </c>
      <c r="G10" s="296">
        <v>33.409999999999997</v>
      </c>
      <c r="H10" s="296">
        <v>31.67</v>
      </c>
      <c r="I10" s="296">
        <v>34.770000000000003</v>
      </c>
      <c r="J10" s="296">
        <v>31.60303</v>
      </c>
      <c r="K10" s="296">
        <v>30.266860000000001</v>
      </c>
      <c r="L10" s="296">
        <v>32.010159999999999</v>
      </c>
      <c r="M10" s="296">
        <v>31.37191</v>
      </c>
      <c r="N10" s="296">
        <v>29.650729999999999</v>
      </c>
      <c r="O10" s="61"/>
      <c r="P10" s="61"/>
      <c r="Q10" s="61"/>
    </row>
    <row r="11" spans="1:17" ht="14.25">
      <c r="A11" s="402"/>
      <c r="B11" s="46" t="s">
        <v>45</v>
      </c>
      <c r="C11" s="196">
        <v>0.87</v>
      </c>
      <c r="D11" s="196">
        <v>0.87</v>
      </c>
      <c r="E11" s="196">
        <v>0.89</v>
      </c>
      <c r="F11" s="196">
        <v>0.86</v>
      </c>
      <c r="G11" s="196">
        <v>0.85</v>
      </c>
      <c r="H11" s="196">
        <v>0.86</v>
      </c>
      <c r="I11" s="199">
        <v>0.86</v>
      </c>
      <c r="J11" s="199">
        <v>0.88398100000000002</v>
      </c>
      <c r="K11" s="197">
        <v>0.88728499999999999</v>
      </c>
      <c r="L11" s="197">
        <v>0.876309</v>
      </c>
      <c r="M11" s="197">
        <v>0.88340399999999997</v>
      </c>
      <c r="N11" s="197">
        <v>0.89242699999999997</v>
      </c>
      <c r="O11" s="61"/>
      <c r="P11" s="61"/>
      <c r="Q11" s="61"/>
    </row>
    <row r="12" spans="1:17">
      <c r="A12" s="399" t="s">
        <v>33</v>
      </c>
      <c r="B12" s="44" t="s">
        <v>41</v>
      </c>
      <c r="C12" s="293">
        <v>33.72</v>
      </c>
      <c r="D12" s="293">
        <v>32</v>
      </c>
      <c r="E12" s="293">
        <v>34.229999999999997</v>
      </c>
      <c r="F12" s="293">
        <v>33.97</v>
      </c>
      <c r="G12" s="294">
        <v>35.29</v>
      </c>
      <c r="H12" s="294">
        <v>33.799999999999997</v>
      </c>
      <c r="I12" s="294">
        <v>34.770000000000003</v>
      </c>
      <c r="J12" s="294">
        <v>36.016889999999997</v>
      </c>
      <c r="K12" s="294">
        <v>33.59046</v>
      </c>
      <c r="L12" s="294">
        <v>33.502690000000001</v>
      </c>
      <c r="M12" s="294">
        <v>35.276209999999999</v>
      </c>
      <c r="N12" s="294">
        <v>36.743290000000002</v>
      </c>
    </row>
    <row r="13" spans="1:17" ht="14.25">
      <c r="A13" s="400"/>
      <c r="B13" s="43" t="s">
        <v>44</v>
      </c>
      <c r="C13" s="189">
        <v>0.83</v>
      </c>
      <c r="D13" s="189">
        <v>0.84</v>
      </c>
      <c r="E13" s="189">
        <v>0.81</v>
      </c>
      <c r="F13" s="189">
        <v>0.81</v>
      </c>
      <c r="G13" s="189">
        <v>0.79</v>
      </c>
      <c r="H13" s="189">
        <v>0.81</v>
      </c>
      <c r="I13" s="189">
        <v>0.81</v>
      </c>
      <c r="J13" s="198">
        <v>0.83741399999999999</v>
      </c>
      <c r="K13" s="198">
        <v>0.84852799999999995</v>
      </c>
      <c r="L13" s="198">
        <v>0.85240499999999997</v>
      </c>
      <c r="M13" s="198">
        <v>0.84314</v>
      </c>
      <c r="N13" s="198">
        <v>0.83660699999999999</v>
      </c>
    </row>
    <row r="14" spans="1:17">
      <c r="A14" s="401" t="s">
        <v>20</v>
      </c>
      <c r="B14" s="45" t="s">
        <v>46</v>
      </c>
      <c r="C14" s="295">
        <v>33.39</v>
      </c>
      <c r="D14" s="295">
        <v>31.42</v>
      </c>
      <c r="E14" s="295">
        <v>33</v>
      </c>
      <c r="F14" s="295">
        <v>33.26</v>
      </c>
      <c r="G14" s="296">
        <v>34.9</v>
      </c>
      <c r="H14" s="296">
        <v>33.270000000000003</v>
      </c>
      <c r="I14" s="296">
        <v>34.770000000000003</v>
      </c>
      <c r="J14" s="296">
        <v>34.952820000000003</v>
      </c>
      <c r="K14" s="296">
        <v>32.761040000000001</v>
      </c>
      <c r="L14" s="296">
        <v>33.123570000000001</v>
      </c>
      <c r="M14" s="296">
        <v>34.27617</v>
      </c>
      <c r="N14" s="296">
        <v>34.974989999999998</v>
      </c>
    </row>
    <row r="15" spans="1:17" ht="14.25">
      <c r="A15" s="402"/>
      <c r="B15" s="46" t="s">
        <v>45</v>
      </c>
      <c r="C15" s="199">
        <v>0.84</v>
      </c>
      <c r="D15" s="199">
        <v>0.85</v>
      </c>
      <c r="E15" s="199">
        <v>0.83</v>
      </c>
      <c r="F15" s="199">
        <v>0.82</v>
      </c>
      <c r="G15" s="199">
        <v>0.81</v>
      </c>
      <c r="H15" s="199">
        <v>0.82</v>
      </c>
      <c r="I15" s="199">
        <v>0.83</v>
      </c>
      <c r="J15" s="199">
        <v>0.84863999999999995</v>
      </c>
      <c r="K15" s="199">
        <v>0.85819999999999996</v>
      </c>
      <c r="L15" s="199">
        <v>0.85847700000000005</v>
      </c>
      <c r="M15" s="199">
        <v>0.85345400000000005</v>
      </c>
      <c r="N15" s="199">
        <v>0.85052399999999995</v>
      </c>
    </row>
    <row r="16" spans="1:17">
      <c r="A16" s="62" t="s">
        <v>164</v>
      </c>
      <c r="B16" s="62"/>
      <c r="C16" s="62"/>
      <c r="D16" s="62"/>
      <c r="E16" s="62"/>
      <c r="F16" s="62"/>
      <c r="G16" s="62"/>
      <c r="H16" s="62"/>
      <c r="I16" s="62"/>
    </row>
    <row r="17" spans="1:15">
      <c r="A17" s="63" t="s">
        <v>182</v>
      </c>
      <c r="B17" s="59"/>
      <c r="C17" s="59"/>
      <c r="D17" s="59"/>
      <c r="E17" s="59"/>
      <c r="F17" s="59"/>
      <c r="G17" s="59"/>
      <c r="H17" s="59"/>
      <c r="I17" s="59"/>
    </row>
    <row r="18" spans="1:15" ht="11.25" customHeight="1">
      <c r="A18" s="63" t="s">
        <v>212</v>
      </c>
      <c r="B18" s="63"/>
      <c r="C18" s="63"/>
      <c r="D18" s="63"/>
      <c r="E18" s="63"/>
      <c r="F18" s="63"/>
      <c r="G18" s="63"/>
      <c r="H18" s="63"/>
      <c r="I18" s="63"/>
    </row>
    <row r="19" spans="1:15" ht="28.5" customHeight="1">
      <c r="A19" s="403" t="s">
        <v>184</v>
      </c>
      <c r="B19" s="403"/>
      <c r="C19" s="403"/>
      <c r="D19" s="403"/>
      <c r="E19" s="403"/>
      <c r="F19" s="403"/>
      <c r="G19" s="403"/>
      <c r="H19" s="403"/>
      <c r="I19" s="403"/>
      <c r="J19" s="403"/>
      <c r="K19" s="403"/>
      <c r="L19" s="403"/>
      <c r="M19" s="403"/>
    </row>
    <row r="20" spans="1:15" ht="25.5" customHeight="1">
      <c r="A20" s="397" t="s">
        <v>215</v>
      </c>
      <c r="B20" s="397"/>
      <c r="C20" s="397"/>
      <c r="D20" s="397"/>
      <c r="E20" s="397"/>
      <c r="F20" s="397"/>
      <c r="G20" s="397"/>
      <c r="H20" s="397"/>
      <c r="I20" s="397"/>
      <c r="J20" s="397"/>
      <c r="K20" s="397"/>
      <c r="L20" s="397"/>
      <c r="M20" s="397"/>
    </row>
    <row r="21" spans="1:15">
      <c r="M21" s="310"/>
      <c r="N21" s="310"/>
      <c r="O21" s="310"/>
    </row>
  </sheetData>
  <mergeCells count="8">
    <mergeCell ref="A14:A15"/>
    <mergeCell ref="A19:M19"/>
    <mergeCell ref="A20:M20"/>
    <mergeCell ref="A12:A13"/>
    <mergeCell ref="A4:A5"/>
    <mergeCell ref="A6:A7"/>
    <mergeCell ref="A8:A9"/>
    <mergeCell ref="A10:A1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E4879-8997-4185-A128-6113D109C181}">
  <dimension ref="A1:Q30"/>
  <sheetViews>
    <sheetView showGridLines="0" zoomScale="80" zoomScaleNormal="80" workbookViewId="0"/>
  </sheetViews>
  <sheetFormatPr baseColWidth="10" defaultRowHeight="12.75"/>
  <cols>
    <col min="1" max="1" width="21" style="13" customWidth="1"/>
    <col min="2" max="2" width="61.5703125" style="13" customWidth="1"/>
    <col min="3" max="9" width="12.85546875" style="13" customWidth="1"/>
    <col min="10" max="14" width="11.42578125" style="13"/>
    <col min="15" max="15" width="19.140625" style="13" customWidth="1"/>
    <col min="16" max="16" width="16.140625" style="13" customWidth="1"/>
    <col min="17" max="16384" width="11.42578125" style="13"/>
  </cols>
  <sheetData>
    <row r="1" spans="1:17">
      <c r="A1" s="60" t="s">
        <v>197</v>
      </c>
      <c r="B1" s="60"/>
      <c r="C1" s="60"/>
      <c r="D1" s="60"/>
      <c r="E1" s="60"/>
      <c r="F1" s="60"/>
      <c r="G1" s="60"/>
      <c r="H1" s="60"/>
      <c r="I1" s="60"/>
    </row>
    <row r="2" spans="1:17">
      <c r="A2" s="60"/>
      <c r="B2" s="60"/>
      <c r="C2" s="60"/>
      <c r="D2" s="60"/>
      <c r="E2" s="60"/>
      <c r="F2" s="60"/>
      <c r="G2" s="60"/>
      <c r="H2" s="60"/>
      <c r="I2" s="60"/>
    </row>
    <row r="3" spans="1:17">
      <c r="A3" s="15" t="s">
        <v>60</v>
      </c>
      <c r="B3" s="15"/>
      <c r="C3" s="16">
        <v>2014</v>
      </c>
      <c r="D3" s="16">
        <v>2015</v>
      </c>
      <c r="E3" s="16">
        <v>2016</v>
      </c>
      <c r="F3" s="16">
        <v>2017</v>
      </c>
      <c r="G3" s="16">
        <v>2018</v>
      </c>
      <c r="H3" s="16">
        <v>2019</v>
      </c>
      <c r="I3" s="324">
        <v>2020</v>
      </c>
      <c r="J3" s="319">
        <v>2021</v>
      </c>
      <c r="K3" s="16">
        <v>2022</v>
      </c>
      <c r="L3" s="16">
        <v>2023</v>
      </c>
      <c r="M3" s="16">
        <v>2024</v>
      </c>
      <c r="N3" s="16">
        <v>2025</v>
      </c>
      <c r="O3" s="61"/>
      <c r="P3" s="61"/>
      <c r="Q3" s="61"/>
    </row>
    <row r="4" spans="1:17" ht="25.5">
      <c r="A4" s="399" t="s">
        <v>31</v>
      </c>
      <c r="B4" s="42" t="s">
        <v>174</v>
      </c>
      <c r="C4" s="293">
        <v>63.49</v>
      </c>
      <c r="D4" s="293">
        <v>65.06</v>
      </c>
      <c r="E4" s="293">
        <v>55.84</v>
      </c>
      <c r="F4" s="293">
        <v>59.6</v>
      </c>
      <c r="G4" s="294">
        <v>67.14</v>
      </c>
      <c r="H4" s="294">
        <v>60.6</v>
      </c>
      <c r="I4" s="325">
        <v>63.84</v>
      </c>
      <c r="J4" s="320">
        <v>72.235609999999994</v>
      </c>
      <c r="K4" s="294">
        <v>71.217179999999999</v>
      </c>
      <c r="L4" s="294">
        <v>66.367859999999993</v>
      </c>
      <c r="M4" s="294">
        <v>66.572640000000007</v>
      </c>
      <c r="N4" s="294">
        <v>65.177499999999995</v>
      </c>
      <c r="O4" s="61"/>
      <c r="P4" s="61"/>
      <c r="Q4" s="61"/>
    </row>
    <row r="5" spans="1:17">
      <c r="A5" s="400"/>
      <c r="B5" s="312" t="s">
        <v>176</v>
      </c>
      <c r="C5" s="313">
        <v>55.64</v>
      </c>
      <c r="D5" s="314">
        <v>57.22</v>
      </c>
      <c r="E5" s="314">
        <v>57.17</v>
      </c>
      <c r="F5" s="314">
        <v>55.84</v>
      </c>
      <c r="G5" s="313">
        <v>56.27</v>
      </c>
      <c r="H5" s="313">
        <v>57.61</v>
      </c>
      <c r="I5" s="326">
        <v>58.47</v>
      </c>
      <c r="J5" s="321">
        <v>58.544260000000001</v>
      </c>
      <c r="K5" s="313">
        <v>58.370669999999997</v>
      </c>
      <c r="L5" s="313">
        <v>58.211790000000001</v>
      </c>
      <c r="M5" s="313">
        <v>58.333559999999999</v>
      </c>
      <c r="N5" s="313">
        <v>59.515309999999999</v>
      </c>
      <c r="O5" s="61"/>
      <c r="P5" s="61"/>
      <c r="Q5" s="61"/>
    </row>
    <row r="6" spans="1:17" ht="25.5">
      <c r="A6" s="399" t="s">
        <v>0</v>
      </c>
      <c r="B6" s="44" t="s">
        <v>174</v>
      </c>
      <c r="C6" s="293">
        <v>54.75</v>
      </c>
      <c r="D6" s="293">
        <v>61.23</v>
      </c>
      <c r="E6" s="293">
        <v>60.51</v>
      </c>
      <c r="F6" s="293">
        <v>60.9</v>
      </c>
      <c r="G6" s="294">
        <v>63.83</v>
      </c>
      <c r="H6" s="294">
        <v>58.24</v>
      </c>
      <c r="I6" s="325">
        <v>63.19</v>
      </c>
      <c r="J6" s="320">
        <v>62.606610000000003</v>
      </c>
      <c r="K6" s="294">
        <v>62.231729999999999</v>
      </c>
      <c r="L6" s="294">
        <v>60.226500000000001</v>
      </c>
      <c r="M6" s="294">
        <v>64.414820000000006</v>
      </c>
      <c r="N6" s="294">
        <v>61.606070000000003</v>
      </c>
      <c r="O6" s="61"/>
      <c r="P6" s="61"/>
      <c r="Q6" s="61"/>
    </row>
    <row r="7" spans="1:17">
      <c r="A7" s="400"/>
      <c r="B7" s="312" t="s">
        <v>176</v>
      </c>
      <c r="C7" s="313">
        <v>62.04</v>
      </c>
      <c r="D7" s="314">
        <v>63.15</v>
      </c>
      <c r="E7" s="314">
        <v>63.41</v>
      </c>
      <c r="F7" s="314">
        <v>64.98</v>
      </c>
      <c r="G7" s="313">
        <v>65.14</v>
      </c>
      <c r="H7" s="313">
        <v>63.57</v>
      </c>
      <c r="I7" s="326">
        <v>65.06</v>
      </c>
      <c r="J7" s="321">
        <v>63.370429999999999</v>
      </c>
      <c r="K7" s="313">
        <v>60.938330000000001</v>
      </c>
      <c r="L7" s="313">
        <v>59.438110000000002</v>
      </c>
      <c r="M7" s="313">
        <v>61.58408</v>
      </c>
      <c r="N7" s="313">
        <v>61.616149999999998</v>
      </c>
      <c r="O7" s="61"/>
      <c r="P7" s="61"/>
      <c r="Q7" s="61"/>
    </row>
    <row r="8" spans="1:17" ht="25.5">
      <c r="A8" s="399" t="s">
        <v>1</v>
      </c>
      <c r="B8" s="44" t="s">
        <v>174</v>
      </c>
      <c r="C8" s="293">
        <v>68.2</v>
      </c>
      <c r="D8" s="293">
        <v>72.760000000000005</v>
      </c>
      <c r="E8" s="293">
        <v>75.599999999999994</v>
      </c>
      <c r="F8" s="293">
        <v>71.739999999999995</v>
      </c>
      <c r="G8" s="294">
        <v>65.97</v>
      </c>
      <c r="H8" s="294">
        <v>74.78</v>
      </c>
      <c r="I8" s="325">
        <v>81.41</v>
      </c>
      <c r="J8" s="320">
        <v>74.47045</v>
      </c>
      <c r="K8" s="294">
        <v>82.634519999999995</v>
      </c>
      <c r="L8" s="294">
        <v>78.134839999999997</v>
      </c>
      <c r="M8" s="294">
        <v>76.915019999999998</v>
      </c>
      <c r="N8" s="294">
        <v>76.152550000000005</v>
      </c>
      <c r="O8" s="61"/>
      <c r="P8" s="61"/>
      <c r="Q8" s="61"/>
    </row>
    <row r="9" spans="1:17">
      <c r="A9" s="400"/>
      <c r="B9" s="312" t="s">
        <v>176</v>
      </c>
      <c r="C9" s="313">
        <v>78.08</v>
      </c>
      <c r="D9" s="314">
        <v>79.86</v>
      </c>
      <c r="E9" s="314">
        <v>79.52</v>
      </c>
      <c r="F9" s="314">
        <v>78.150000000000006</v>
      </c>
      <c r="G9" s="313">
        <v>78.180000000000007</v>
      </c>
      <c r="H9" s="313">
        <v>78.87</v>
      </c>
      <c r="I9" s="326">
        <v>79.69</v>
      </c>
      <c r="J9" s="321">
        <v>79.527869999999993</v>
      </c>
      <c r="K9" s="313">
        <v>78.109629999999996</v>
      </c>
      <c r="L9" s="313">
        <v>77.950280000000006</v>
      </c>
      <c r="M9" s="313">
        <v>78.908519999999996</v>
      </c>
      <c r="N9" s="313">
        <v>78.970830000000007</v>
      </c>
      <c r="O9" s="61"/>
      <c r="P9" s="61"/>
      <c r="Q9" s="61"/>
    </row>
    <row r="10" spans="1:17" ht="34.5" customHeight="1">
      <c r="A10" s="401" t="s">
        <v>32</v>
      </c>
      <c r="B10" s="45" t="s">
        <v>174</v>
      </c>
      <c r="C10" s="295">
        <v>59.87</v>
      </c>
      <c r="D10" s="295">
        <v>64.760000000000005</v>
      </c>
      <c r="E10" s="295">
        <v>61.46</v>
      </c>
      <c r="F10" s="295">
        <v>62.61</v>
      </c>
      <c r="G10" s="296">
        <v>65.42</v>
      </c>
      <c r="H10" s="296">
        <v>62.65</v>
      </c>
      <c r="I10" s="327">
        <v>67.05</v>
      </c>
      <c r="J10" s="322">
        <v>68.689250000000001</v>
      </c>
      <c r="K10" s="296">
        <v>69.661490000000001</v>
      </c>
      <c r="L10" s="296">
        <v>66.079589999999996</v>
      </c>
      <c r="M10" s="296">
        <v>67.638549999999995</v>
      </c>
      <c r="N10" s="296">
        <v>65.745059999999995</v>
      </c>
      <c r="O10" s="61"/>
      <c r="P10" s="61"/>
      <c r="Q10" s="61"/>
    </row>
    <row r="11" spans="1:17">
      <c r="A11" s="402"/>
      <c r="B11" s="316" t="s">
        <v>176</v>
      </c>
      <c r="C11" s="317">
        <v>62.35</v>
      </c>
      <c r="D11" s="318">
        <v>63.65</v>
      </c>
      <c r="E11" s="318">
        <v>63.63</v>
      </c>
      <c r="F11" s="318">
        <v>63.51</v>
      </c>
      <c r="G11" s="317">
        <v>63.64</v>
      </c>
      <c r="H11" s="317">
        <v>63.84</v>
      </c>
      <c r="I11" s="328">
        <v>64.81</v>
      </c>
      <c r="J11" s="323">
        <v>64.341520000000003</v>
      </c>
      <c r="K11" s="317">
        <v>63.280340000000002</v>
      </c>
      <c r="L11" s="317">
        <v>62.591459999999998</v>
      </c>
      <c r="M11" s="317">
        <v>63.506</v>
      </c>
      <c r="N11" s="317">
        <v>64.011250000000004</v>
      </c>
      <c r="O11" s="61"/>
      <c r="P11" s="61"/>
      <c r="Q11" s="61"/>
    </row>
    <row r="12" spans="1:17" ht="25.5">
      <c r="A12" s="399" t="s">
        <v>33</v>
      </c>
      <c r="B12" s="44" t="s">
        <v>175</v>
      </c>
      <c r="C12" s="293">
        <v>43.07</v>
      </c>
      <c r="D12" s="293">
        <v>47.79</v>
      </c>
      <c r="E12" s="293">
        <v>46.52</v>
      </c>
      <c r="F12" s="293">
        <v>44.66</v>
      </c>
      <c r="G12" s="294">
        <v>46.03</v>
      </c>
      <c r="H12" s="294">
        <v>48.01</v>
      </c>
      <c r="I12" s="325">
        <v>45.85</v>
      </c>
      <c r="J12" s="320">
        <v>50.517060000000001</v>
      </c>
      <c r="K12" s="294">
        <v>49.136009999999999</v>
      </c>
      <c r="L12" s="294">
        <v>48.025620000000004</v>
      </c>
      <c r="M12" s="294">
        <v>51.132579999999997</v>
      </c>
      <c r="N12" s="294">
        <v>50.88749</v>
      </c>
    </row>
    <row r="13" spans="1:17">
      <c r="A13" s="400"/>
      <c r="B13" s="315" t="s">
        <v>177</v>
      </c>
      <c r="C13" s="313">
        <v>46.86</v>
      </c>
      <c r="D13" s="314">
        <v>46.77</v>
      </c>
      <c r="E13" s="314">
        <v>46.68</v>
      </c>
      <c r="F13" s="314">
        <v>46.49</v>
      </c>
      <c r="G13" s="313">
        <v>46.75</v>
      </c>
      <c r="H13" s="313">
        <v>46.89</v>
      </c>
      <c r="I13" s="326">
        <v>46.34</v>
      </c>
      <c r="J13" s="321">
        <v>46.309950000000001</v>
      </c>
      <c r="K13" s="313">
        <v>46.715350000000001</v>
      </c>
      <c r="L13" s="313">
        <v>46.718769999999999</v>
      </c>
      <c r="M13" s="313">
        <v>46.114190000000001</v>
      </c>
      <c r="N13" s="313">
        <v>46.089680000000001</v>
      </c>
    </row>
    <row r="14" spans="1:17" ht="38.25">
      <c r="A14" s="401" t="s">
        <v>20</v>
      </c>
      <c r="B14" s="45" t="s">
        <v>179</v>
      </c>
      <c r="C14" s="295">
        <v>46.74</v>
      </c>
      <c r="D14" s="295">
        <v>51.52</v>
      </c>
      <c r="E14" s="295">
        <v>49.86</v>
      </c>
      <c r="F14" s="295">
        <v>48.87</v>
      </c>
      <c r="G14" s="296">
        <v>50.12</v>
      </c>
      <c r="H14" s="296">
        <v>51.68</v>
      </c>
      <c r="I14" s="327">
        <v>51.14</v>
      </c>
      <c r="J14" s="322">
        <v>54.897930000000002</v>
      </c>
      <c r="K14" s="296">
        <v>54.258220000000001</v>
      </c>
      <c r="L14" s="296">
        <v>52.611550000000001</v>
      </c>
      <c r="M14" s="296">
        <v>55.360390000000002</v>
      </c>
      <c r="N14" s="296">
        <v>54.591760000000001</v>
      </c>
    </row>
    <row r="15" spans="1:17">
      <c r="A15" s="402"/>
      <c r="B15" s="316" t="s">
        <v>178</v>
      </c>
      <c r="C15" s="317">
        <v>50.5</v>
      </c>
      <c r="D15" s="318">
        <v>50.62</v>
      </c>
      <c r="E15" s="318">
        <v>50.53</v>
      </c>
      <c r="F15" s="318">
        <v>50.29</v>
      </c>
      <c r="G15" s="317">
        <v>50.53</v>
      </c>
      <c r="H15" s="317">
        <v>50.8</v>
      </c>
      <c r="I15" s="328">
        <v>50.75</v>
      </c>
      <c r="J15" s="323">
        <v>50.514760000000003</v>
      </c>
      <c r="K15" s="317">
        <v>50.552900000000001</v>
      </c>
      <c r="L15" s="317">
        <v>50.417340000000003</v>
      </c>
      <c r="M15" s="317">
        <v>50.178579999999997</v>
      </c>
      <c r="N15" s="317">
        <v>50.174630000000001</v>
      </c>
    </row>
    <row r="16" spans="1:17">
      <c r="A16" s="62" t="s">
        <v>183</v>
      </c>
      <c r="B16" s="62"/>
      <c r="C16" s="62"/>
      <c r="D16" s="62"/>
      <c r="E16" s="62"/>
      <c r="F16" s="62"/>
      <c r="G16" s="62"/>
      <c r="H16" s="62"/>
      <c r="I16" s="62"/>
    </row>
    <row r="17" spans="1:13">
      <c r="A17" s="63" t="s">
        <v>182</v>
      </c>
      <c r="B17" s="59"/>
      <c r="C17" s="59"/>
      <c r="D17" s="59"/>
      <c r="E17" s="59"/>
      <c r="F17" s="59"/>
      <c r="G17" s="59"/>
      <c r="H17" s="59"/>
      <c r="I17" s="59"/>
    </row>
    <row r="18" spans="1:13" ht="11.25" customHeight="1">
      <c r="A18" s="63" t="s">
        <v>214</v>
      </c>
      <c r="B18" s="63"/>
      <c r="C18" s="63"/>
      <c r="D18" s="63"/>
      <c r="E18" s="63"/>
      <c r="F18" s="63"/>
      <c r="G18" s="63"/>
      <c r="H18" s="63"/>
      <c r="I18" s="63"/>
    </row>
    <row r="19" spans="1:13" ht="25.5" customHeight="1">
      <c r="A19" s="397" t="s">
        <v>215</v>
      </c>
      <c r="B19" s="397"/>
      <c r="C19" s="397"/>
      <c r="D19" s="397"/>
      <c r="E19" s="397"/>
      <c r="F19" s="397"/>
      <c r="G19" s="397"/>
      <c r="H19" s="397"/>
      <c r="I19" s="397"/>
      <c r="J19" s="397"/>
      <c r="K19" s="397"/>
      <c r="L19" s="397"/>
      <c r="M19" s="397"/>
    </row>
    <row r="20" spans="1:13">
      <c r="C20" s="309"/>
      <c r="D20" s="309"/>
      <c r="E20" s="309"/>
      <c r="F20" s="309"/>
      <c r="G20" s="309"/>
      <c r="H20" s="309"/>
      <c r="I20" s="309"/>
      <c r="J20" s="309"/>
      <c r="K20" s="309"/>
      <c r="L20" s="309"/>
    </row>
    <row r="21" spans="1:13">
      <c r="C21" s="309"/>
      <c r="D21" s="309"/>
      <c r="E21" s="309"/>
      <c r="F21" s="309"/>
      <c r="G21" s="309"/>
      <c r="H21" s="309"/>
      <c r="I21" s="309"/>
      <c r="J21" s="309"/>
      <c r="K21" s="309"/>
      <c r="L21" s="309"/>
    </row>
    <row r="22" spans="1:13">
      <c r="C22" s="309"/>
      <c r="D22" s="309"/>
      <c r="E22" s="309"/>
      <c r="F22" s="309"/>
      <c r="G22" s="309"/>
      <c r="H22" s="309"/>
      <c r="I22" s="309"/>
      <c r="J22" s="309"/>
      <c r="K22" s="309"/>
      <c r="L22" s="309"/>
    </row>
    <row r="23" spans="1:13">
      <c r="C23" s="309"/>
      <c r="D23" s="309"/>
      <c r="E23" s="309"/>
      <c r="F23" s="309"/>
      <c r="G23" s="309"/>
      <c r="H23" s="309"/>
      <c r="I23" s="309"/>
      <c r="J23" s="309"/>
      <c r="K23" s="309"/>
      <c r="L23" s="309"/>
    </row>
    <row r="24" spans="1:13">
      <c r="C24" s="309"/>
      <c r="D24" s="309"/>
      <c r="E24" s="309"/>
      <c r="F24" s="309"/>
      <c r="G24" s="309"/>
      <c r="H24" s="309"/>
      <c r="I24" s="309"/>
      <c r="J24" s="309"/>
      <c r="K24" s="309"/>
      <c r="L24" s="309"/>
    </row>
    <row r="25" spans="1:13">
      <c r="C25" s="309"/>
      <c r="D25" s="309"/>
      <c r="E25" s="309"/>
      <c r="F25" s="309"/>
      <c r="G25" s="309"/>
      <c r="H25" s="309"/>
      <c r="I25" s="309"/>
      <c r="J25" s="309"/>
      <c r="K25" s="309"/>
      <c r="L25" s="309"/>
    </row>
    <row r="26" spans="1:13">
      <c r="C26" s="309"/>
      <c r="D26" s="309"/>
      <c r="E26" s="309"/>
      <c r="F26" s="309"/>
      <c r="G26" s="309"/>
      <c r="H26" s="309"/>
      <c r="I26" s="309"/>
      <c r="J26" s="309"/>
      <c r="K26" s="309"/>
      <c r="L26" s="309"/>
    </row>
    <row r="27" spans="1:13">
      <c r="C27" s="309"/>
      <c r="D27" s="309"/>
      <c r="E27" s="309"/>
      <c r="F27" s="309"/>
      <c r="G27" s="309"/>
      <c r="H27" s="309"/>
      <c r="I27" s="309"/>
      <c r="J27" s="309"/>
      <c r="K27" s="309"/>
      <c r="L27" s="309"/>
    </row>
    <row r="28" spans="1:13">
      <c r="C28" s="309"/>
      <c r="D28" s="309"/>
      <c r="E28" s="309"/>
      <c r="F28" s="309"/>
      <c r="G28" s="309"/>
      <c r="H28" s="309"/>
      <c r="I28" s="309"/>
      <c r="J28" s="309"/>
      <c r="K28" s="309"/>
      <c r="L28" s="309"/>
    </row>
    <row r="29" spans="1:13">
      <c r="C29" s="309"/>
      <c r="D29" s="309"/>
      <c r="E29" s="309"/>
      <c r="F29" s="309"/>
      <c r="G29" s="309"/>
      <c r="H29" s="309"/>
      <c r="I29" s="309"/>
      <c r="J29" s="309"/>
      <c r="K29" s="309"/>
      <c r="L29" s="309"/>
    </row>
    <row r="30" spans="1:13">
      <c r="C30" s="309"/>
      <c r="D30" s="309"/>
      <c r="E30" s="309"/>
      <c r="F30" s="309"/>
      <c r="G30" s="309"/>
      <c r="H30" s="309"/>
      <c r="I30" s="309"/>
      <c r="J30" s="309"/>
      <c r="K30" s="309"/>
      <c r="L30" s="309"/>
    </row>
  </sheetData>
  <mergeCells count="7">
    <mergeCell ref="A19:M19"/>
    <mergeCell ref="A14:A15"/>
    <mergeCell ref="A4:A5"/>
    <mergeCell ref="A6:A7"/>
    <mergeCell ref="A8:A9"/>
    <mergeCell ref="A10:A11"/>
    <mergeCell ref="A12:A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8"/>
  <sheetViews>
    <sheetView showGridLines="0" zoomScale="85" zoomScaleNormal="85" workbookViewId="0"/>
  </sheetViews>
  <sheetFormatPr baseColWidth="10" defaultRowHeight="12.75"/>
  <cols>
    <col min="1" max="1" width="31.140625" style="13" customWidth="1"/>
    <col min="2" max="2" width="35.7109375" style="13" customWidth="1"/>
    <col min="3" max="18" width="8.140625" style="13" customWidth="1"/>
    <col min="19" max="16384" width="11.42578125" style="13"/>
  </cols>
  <sheetData>
    <row r="1" spans="1:18">
      <c r="A1" s="64" t="s">
        <v>39</v>
      </c>
      <c r="B1" s="64"/>
      <c r="C1" s="64"/>
      <c r="D1" s="64"/>
      <c r="E1" s="64"/>
      <c r="F1" s="64"/>
      <c r="G1" s="64"/>
      <c r="H1" s="64"/>
      <c r="I1" s="64"/>
      <c r="J1" s="64"/>
      <c r="K1" s="64"/>
      <c r="L1" s="64"/>
      <c r="M1" s="64"/>
      <c r="N1" s="64"/>
    </row>
    <row r="2" spans="1:18">
      <c r="A2" s="64"/>
      <c r="B2" s="64"/>
      <c r="C2" s="64"/>
      <c r="D2" s="64"/>
      <c r="E2" s="64"/>
      <c r="F2" s="64"/>
      <c r="G2" s="64"/>
      <c r="H2" s="64"/>
      <c r="I2" s="64"/>
      <c r="J2" s="64"/>
      <c r="K2" s="64"/>
      <c r="L2" s="64"/>
      <c r="M2" s="64"/>
      <c r="N2" s="64"/>
    </row>
    <row r="3" spans="1:18" ht="15" customHeight="1">
      <c r="A3" s="66"/>
      <c r="B3" s="66"/>
      <c r="C3" s="67">
        <v>2009</v>
      </c>
      <c r="D3" s="67">
        <v>2010</v>
      </c>
      <c r="E3" s="67">
        <v>2011</v>
      </c>
      <c r="F3" s="67">
        <v>2012</v>
      </c>
      <c r="G3" s="67">
        <v>2013</v>
      </c>
      <c r="H3" s="67">
        <v>2014</v>
      </c>
      <c r="I3" s="68">
        <v>2015</v>
      </c>
      <c r="J3" s="68">
        <v>2016</v>
      </c>
      <c r="K3" s="67">
        <v>2017</v>
      </c>
      <c r="L3" s="67">
        <v>2018</v>
      </c>
      <c r="M3" s="67">
        <v>2019</v>
      </c>
      <c r="N3" s="67">
        <v>2020</v>
      </c>
      <c r="O3" s="67">
        <v>2021</v>
      </c>
      <c r="P3" s="67">
        <v>2022</v>
      </c>
      <c r="Q3" s="67">
        <v>2023</v>
      </c>
      <c r="R3" s="67">
        <v>2024</v>
      </c>
    </row>
    <row r="4" spans="1:18">
      <c r="A4" s="406" t="s">
        <v>31</v>
      </c>
      <c r="B4" s="49" t="s">
        <v>48</v>
      </c>
      <c r="C4" s="70">
        <v>48.9</v>
      </c>
      <c r="D4" s="70">
        <v>55.3</v>
      </c>
      <c r="E4" s="70">
        <v>61.4</v>
      </c>
      <c r="F4" s="70">
        <v>64.400000000000006</v>
      </c>
      <c r="G4" s="70">
        <v>69.599999999999994</v>
      </c>
      <c r="H4" s="70">
        <v>74.2</v>
      </c>
      <c r="I4" s="70">
        <v>79.5</v>
      </c>
      <c r="J4" s="70">
        <v>84.1</v>
      </c>
      <c r="K4" s="70">
        <v>88.8</v>
      </c>
      <c r="L4" s="70">
        <v>92.2</v>
      </c>
      <c r="M4" s="70">
        <v>92.7</v>
      </c>
      <c r="N4" s="71">
        <v>86.2</v>
      </c>
      <c r="O4" s="71">
        <v>87.397000000000006</v>
      </c>
      <c r="P4" s="71">
        <v>94.885999999999996</v>
      </c>
      <c r="Q4" s="71">
        <v>101.90600000000001</v>
      </c>
      <c r="R4" s="71">
        <v>108.205</v>
      </c>
    </row>
    <row r="5" spans="1:18">
      <c r="A5" s="407"/>
      <c r="B5" s="50" t="s">
        <v>144</v>
      </c>
      <c r="C5" s="70">
        <v>2.5</v>
      </c>
      <c r="D5" s="70">
        <v>2.8</v>
      </c>
      <c r="E5" s="70">
        <v>3.2</v>
      </c>
      <c r="F5" s="70">
        <v>3.4</v>
      </c>
      <c r="G5" s="70">
        <v>3.7</v>
      </c>
      <c r="H5" s="70">
        <v>4</v>
      </c>
      <c r="I5" s="70">
        <v>4.2</v>
      </c>
      <c r="J5" s="70">
        <v>4.3</v>
      </c>
      <c r="K5" s="70">
        <v>4.5</v>
      </c>
      <c r="L5" s="70">
        <v>4.7</v>
      </c>
      <c r="M5" s="70">
        <v>4.7</v>
      </c>
      <c r="N5" s="71">
        <v>4.4000000000000004</v>
      </c>
      <c r="O5" s="71">
        <v>4.3600000000000003</v>
      </c>
      <c r="P5" s="71">
        <v>4.6399999999999997</v>
      </c>
      <c r="Q5" s="71">
        <v>4.8600000000000003</v>
      </c>
      <c r="R5" s="71">
        <v>5.2842884170038786</v>
      </c>
    </row>
    <row r="6" spans="1:18">
      <c r="A6" s="406" t="s">
        <v>158</v>
      </c>
      <c r="B6" s="143" t="s">
        <v>48</v>
      </c>
      <c r="C6" s="72">
        <v>36.4</v>
      </c>
      <c r="D6" s="72">
        <v>39.5</v>
      </c>
      <c r="E6" s="72">
        <v>41.7</v>
      </c>
      <c r="F6" s="72">
        <v>42.1</v>
      </c>
      <c r="G6" s="72">
        <v>43.2</v>
      </c>
      <c r="H6" s="72">
        <v>47.9</v>
      </c>
      <c r="I6" s="72">
        <v>48.9</v>
      </c>
      <c r="J6" s="72">
        <v>50</v>
      </c>
      <c r="K6" s="72">
        <v>52.9</v>
      </c>
      <c r="L6" s="72">
        <v>54.6</v>
      </c>
      <c r="M6" s="72">
        <v>56.7</v>
      </c>
      <c r="N6" s="73">
        <v>52.1</v>
      </c>
      <c r="O6" s="73">
        <v>52.673000000000009</v>
      </c>
      <c r="P6" s="73">
        <v>55.462000000000003</v>
      </c>
      <c r="Q6" s="73">
        <v>58.176000000000002</v>
      </c>
      <c r="R6" s="73">
        <v>60.706000000000003</v>
      </c>
    </row>
    <row r="7" spans="1:18">
      <c r="A7" s="408"/>
      <c r="B7" s="145" t="s">
        <v>145</v>
      </c>
      <c r="C7" s="76">
        <v>4.7</v>
      </c>
      <c r="D7" s="76">
        <v>4.8</v>
      </c>
      <c r="E7" s="76">
        <v>5.0999999999999996</v>
      </c>
      <c r="F7" s="76">
        <v>5.2</v>
      </c>
      <c r="G7" s="76">
        <v>5.4</v>
      </c>
      <c r="H7" s="76">
        <v>5.0999999999999996</v>
      </c>
      <c r="I7" s="76">
        <v>5.2</v>
      </c>
      <c r="J7" s="76">
        <v>5.3</v>
      </c>
      <c r="K7" s="76">
        <v>5.6</v>
      </c>
      <c r="L7" s="76">
        <v>5.7</v>
      </c>
      <c r="M7" s="76">
        <v>6</v>
      </c>
      <c r="N7" s="77">
        <v>5.5</v>
      </c>
      <c r="O7" s="77">
        <v>5.48</v>
      </c>
      <c r="P7" s="77">
        <v>5.41</v>
      </c>
      <c r="Q7" s="77">
        <v>5.66</v>
      </c>
      <c r="R7" s="77">
        <v>5.8597656325411691</v>
      </c>
    </row>
    <row r="8" spans="1:18">
      <c r="A8" s="406" t="s">
        <v>0</v>
      </c>
      <c r="B8" s="49" t="s">
        <v>48</v>
      </c>
      <c r="C8" s="72">
        <v>66.900000000000006</v>
      </c>
      <c r="D8" s="72">
        <v>71.900000000000006</v>
      </c>
      <c r="E8" s="72">
        <v>76.900000000000006</v>
      </c>
      <c r="F8" s="72">
        <v>82.6</v>
      </c>
      <c r="G8" s="72">
        <v>88.5</v>
      </c>
      <c r="H8" s="72">
        <v>94.7</v>
      </c>
      <c r="I8" s="72">
        <v>98.9</v>
      </c>
      <c r="J8" s="72">
        <v>103.6</v>
      </c>
      <c r="K8" s="72">
        <v>106.1</v>
      </c>
      <c r="L8" s="72">
        <v>109.8</v>
      </c>
      <c r="M8" s="72">
        <v>111.5</v>
      </c>
      <c r="N8" s="73">
        <v>112.2</v>
      </c>
      <c r="O8" s="73">
        <v>114.45699999999999</v>
      </c>
      <c r="P8" s="73">
        <v>118.253</v>
      </c>
      <c r="Q8" s="73">
        <v>125.586</v>
      </c>
      <c r="R8" s="73">
        <v>134.27199999999999</v>
      </c>
    </row>
    <row r="9" spans="1:18">
      <c r="A9" s="407"/>
      <c r="B9" s="50" t="s">
        <v>145</v>
      </c>
      <c r="C9" s="70">
        <v>4.5</v>
      </c>
      <c r="D9" s="70">
        <v>4.8</v>
      </c>
      <c r="E9" s="70">
        <v>5</v>
      </c>
      <c r="F9" s="70">
        <v>5.3</v>
      </c>
      <c r="G9" s="70">
        <v>5.6</v>
      </c>
      <c r="H9" s="70">
        <v>5.9</v>
      </c>
      <c r="I9" s="70">
        <v>6</v>
      </c>
      <c r="J9" s="70">
        <v>6.3</v>
      </c>
      <c r="K9" s="70">
        <v>6.4</v>
      </c>
      <c r="L9" s="70">
        <v>6.6</v>
      </c>
      <c r="M9" s="70">
        <v>6.7</v>
      </c>
      <c r="N9" s="71">
        <v>6.7</v>
      </c>
      <c r="O9" s="71">
        <v>6.72</v>
      </c>
      <c r="P9" s="71">
        <v>6.87</v>
      </c>
      <c r="Q9" s="71">
        <v>7.23</v>
      </c>
      <c r="R9" s="71">
        <v>7.6811129925403874</v>
      </c>
    </row>
    <row r="10" spans="1:18">
      <c r="A10" s="406" t="s">
        <v>1</v>
      </c>
      <c r="B10" s="49" t="s">
        <v>48</v>
      </c>
      <c r="C10" s="72">
        <v>42.1</v>
      </c>
      <c r="D10" s="72">
        <v>44.5</v>
      </c>
      <c r="E10" s="72">
        <v>46.1</v>
      </c>
      <c r="F10" s="72">
        <v>47.6</v>
      </c>
      <c r="G10" s="72">
        <v>49.6</v>
      </c>
      <c r="H10" s="72">
        <v>50.7</v>
      </c>
      <c r="I10" s="72">
        <v>51.5</v>
      </c>
      <c r="J10" s="72">
        <v>51.9</v>
      </c>
      <c r="K10" s="72">
        <v>53.3</v>
      </c>
      <c r="L10" s="72">
        <v>53.9</v>
      </c>
      <c r="M10" s="72">
        <v>54.5</v>
      </c>
      <c r="N10" s="73">
        <v>54.6</v>
      </c>
      <c r="O10" s="73">
        <v>55.375999999999998</v>
      </c>
      <c r="P10" s="73">
        <v>56.722000000000001</v>
      </c>
      <c r="Q10" s="73">
        <v>59.658000000000001</v>
      </c>
      <c r="R10" s="73">
        <v>64.433000000000007</v>
      </c>
    </row>
    <row r="11" spans="1:18">
      <c r="A11" s="407"/>
      <c r="B11" s="50" t="s">
        <v>145</v>
      </c>
      <c r="C11" s="70">
        <v>4.5999999999999996</v>
      </c>
      <c r="D11" s="70">
        <v>4.7</v>
      </c>
      <c r="E11" s="70">
        <v>4.9000000000000004</v>
      </c>
      <c r="F11" s="70">
        <v>4.9000000000000004</v>
      </c>
      <c r="G11" s="70">
        <v>5.0999999999999996</v>
      </c>
      <c r="H11" s="70">
        <v>5.0999999999999996</v>
      </c>
      <c r="I11" s="70">
        <v>5.2</v>
      </c>
      <c r="J11" s="70">
        <v>5.3</v>
      </c>
      <c r="K11" s="70">
        <v>5.4</v>
      </c>
      <c r="L11" s="70">
        <v>5.5</v>
      </c>
      <c r="M11" s="70">
        <v>5.5</v>
      </c>
      <c r="N11" s="71">
        <v>5.5</v>
      </c>
      <c r="O11" s="71">
        <v>5.53</v>
      </c>
      <c r="P11" s="71">
        <v>5.62</v>
      </c>
      <c r="Q11" s="71">
        <v>5.88</v>
      </c>
      <c r="R11" s="71">
        <v>6.2625624477577118</v>
      </c>
    </row>
    <row r="12" spans="1:18">
      <c r="A12" s="404" t="s">
        <v>146</v>
      </c>
      <c r="B12" s="51" t="s">
        <v>48</v>
      </c>
      <c r="C12" s="74">
        <v>157.9</v>
      </c>
      <c r="D12" s="74">
        <v>171.7</v>
      </c>
      <c r="E12" s="74">
        <v>184.4</v>
      </c>
      <c r="F12" s="74">
        <v>194.6</v>
      </c>
      <c r="G12" s="74">
        <v>207.8</v>
      </c>
      <c r="H12" s="74">
        <v>219.6</v>
      </c>
      <c r="I12" s="74">
        <v>229.9</v>
      </c>
      <c r="J12" s="74">
        <v>239.6</v>
      </c>
      <c r="K12" s="74">
        <v>248.2</v>
      </c>
      <c r="L12" s="74">
        <v>255.9</v>
      </c>
      <c r="M12" s="74">
        <v>258.60000000000002</v>
      </c>
      <c r="N12" s="75">
        <v>253.1</v>
      </c>
      <c r="O12" s="75">
        <v>257.23</v>
      </c>
      <c r="P12" s="75">
        <v>269.86099999999999</v>
      </c>
      <c r="Q12" s="75">
        <v>287.14999999999998</v>
      </c>
      <c r="R12" s="75">
        <v>306.91000000000003</v>
      </c>
    </row>
    <row r="13" spans="1:18">
      <c r="A13" s="405"/>
      <c r="B13" s="69" t="s">
        <v>145</v>
      </c>
      <c r="C13" s="76">
        <v>3.7</v>
      </c>
      <c r="D13" s="76">
        <v>3.9</v>
      </c>
      <c r="E13" s="76">
        <v>4.2</v>
      </c>
      <c r="F13" s="76">
        <v>4.4000000000000004</v>
      </c>
      <c r="G13" s="76">
        <v>4.7</v>
      </c>
      <c r="H13" s="76">
        <v>4.9000000000000004</v>
      </c>
      <c r="I13" s="76">
        <v>5.0999999999999996</v>
      </c>
      <c r="J13" s="76">
        <v>5.2</v>
      </c>
      <c r="K13" s="76">
        <v>5.4</v>
      </c>
      <c r="L13" s="76">
        <v>5.6</v>
      </c>
      <c r="M13" s="76">
        <v>5.6</v>
      </c>
      <c r="N13" s="77">
        <v>5.5</v>
      </c>
      <c r="O13" s="77">
        <v>5.46</v>
      </c>
      <c r="P13" s="77">
        <v>5.6497739345109341</v>
      </c>
      <c r="Q13" s="77">
        <v>5.92</v>
      </c>
      <c r="R13" s="77">
        <v>6.3613379225778477</v>
      </c>
    </row>
    <row r="14" spans="1:18">
      <c r="A14" s="81" t="s">
        <v>185</v>
      </c>
      <c r="B14" s="81"/>
      <c r="C14" s="81"/>
      <c r="D14" s="81"/>
      <c r="E14" s="81"/>
      <c r="F14" s="81"/>
      <c r="G14" s="81"/>
      <c r="H14" s="81"/>
      <c r="I14" s="81"/>
      <c r="J14" s="81"/>
      <c r="K14" s="81"/>
      <c r="L14" s="81"/>
      <c r="M14" s="81"/>
      <c r="N14" s="81"/>
    </row>
    <row r="15" spans="1:18">
      <c r="A15" s="82" t="s">
        <v>161</v>
      </c>
      <c r="B15" s="82"/>
      <c r="C15" s="82"/>
      <c r="D15" s="82"/>
      <c r="E15" s="82"/>
      <c r="F15" s="82"/>
      <c r="G15" s="82"/>
      <c r="H15" s="82"/>
      <c r="I15" s="82"/>
      <c r="J15" s="82"/>
      <c r="K15" s="82"/>
      <c r="L15" s="82"/>
      <c r="M15" s="82"/>
      <c r="N15" s="82"/>
    </row>
    <row r="16" spans="1:18">
      <c r="A16" s="78" t="s">
        <v>201</v>
      </c>
      <c r="B16" s="78"/>
      <c r="C16" s="78"/>
      <c r="D16" s="78"/>
      <c r="E16" s="78"/>
      <c r="F16" s="78"/>
      <c r="G16" s="78"/>
      <c r="H16" s="78"/>
      <c r="I16" s="78"/>
      <c r="J16" s="78"/>
      <c r="K16" s="78"/>
      <c r="L16" s="78"/>
      <c r="M16" s="78"/>
      <c r="N16" s="78"/>
    </row>
    <row r="17" spans="1:14">
      <c r="A17" s="275" t="s">
        <v>186</v>
      </c>
      <c r="B17" s="61"/>
      <c r="C17" s="61"/>
      <c r="D17" s="61"/>
      <c r="E17" s="61"/>
      <c r="F17" s="61"/>
      <c r="G17" s="61"/>
      <c r="H17" s="61"/>
      <c r="I17" s="61"/>
      <c r="J17" s="61"/>
      <c r="K17" s="61"/>
      <c r="L17" s="61"/>
      <c r="M17" s="61"/>
      <c r="N17" s="61"/>
    </row>
    <row r="18" spans="1:14" ht="11.25" customHeight="1">
      <c r="A18" s="61" t="s">
        <v>187</v>
      </c>
      <c r="B18" s="61"/>
      <c r="C18" s="61"/>
      <c r="D18" s="61"/>
      <c r="E18" s="61"/>
      <c r="F18" s="61"/>
      <c r="G18" s="61"/>
      <c r="H18" s="61"/>
      <c r="I18" s="61"/>
      <c r="J18" s="61"/>
      <c r="K18" s="61"/>
      <c r="L18" s="61"/>
      <c r="M18" s="61"/>
      <c r="N18" s="61"/>
    </row>
    <row r="19" spans="1:14" ht="13.5" customHeight="1">
      <c r="A19" s="79"/>
      <c r="B19" s="79"/>
      <c r="C19" s="80"/>
      <c r="D19" s="80"/>
      <c r="E19" s="80"/>
      <c r="F19" s="80"/>
      <c r="G19" s="80"/>
      <c r="H19" s="80"/>
      <c r="I19" s="80"/>
      <c r="J19" s="65"/>
      <c r="K19" s="80"/>
      <c r="L19" s="80"/>
      <c r="M19" s="80"/>
      <c r="N19" s="80"/>
    </row>
    <row r="20" spans="1:14" ht="12.75" customHeight="1">
      <c r="A20" s="83"/>
      <c r="B20" s="83"/>
      <c r="C20" s="83"/>
      <c r="D20" s="83"/>
      <c r="E20" s="83"/>
      <c r="F20" s="83"/>
      <c r="G20" s="83"/>
      <c r="H20" s="83"/>
      <c r="I20" s="83"/>
      <c r="J20" s="83"/>
      <c r="K20" s="83"/>
      <c r="L20" s="83"/>
      <c r="M20" s="83"/>
      <c r="N20" s="83"/>
    </row>
    <row r="21" spans="1:14" ht="15.75">
      <c r="A21" s="149"/>
      <c r="B21" s="150"/>
      <c r="C21" s="150"/>
      <c r="D21" s="151"/>
    </row>
    <row r="22" spans="1:14" ht="15.75">
      <c r="A22" s="149"/>
      <c r="B22" s="150"/>
      <c r="C22" s="150"/>
      <c r="D22" s="151"/>
    </row>
    <row r="23" spans="1:14" ht="15.75">
      <c r="A23" s="149"/>
      <c r="B23" s="150"/>
      <c r="C23" s="150"/>
      <c r="D23" s="151"/>
      <c r="J23" s="183"/>
    </row>
    <row r="24" spans="1:14" ht="15.75">
      <c r="A24" s="149"/>
      <c r="B24" s="150"/>
      <c r="C24" s="150"/>
      <c r="D24" s="151"/>
    </row>
    <row r="25" spans="1:14" ht="15.75">
      <c r="A25" s="149"/>
      <c r="B25" s="150"/>
      <c r="C25" s="150"/>
      <c r="D25" s="151"/>
      <c r="J25" s="182"/>
    </row>
    <row r="26" spans="1:14" ht="15.75">
      <c r="A26" s="149"/>
      <c r="B26" s="150"/>
      <c r="C26" s="150"/>
      <c r="D26" s="151"/>
    </row>
    <row r="27" spans="1:14" ht="15.75">
      <c r="A27" s="149"/>
      <c r="B27" s="150"/>
      <c r="C27" s="150"/>
      <c r="D27" s="151"/>
    </row>
    <row r="28" spans="1:14" ht="15.75">
      <c r="A28" s="149"/>
      <c r="B28" s="150"/>
      <c r="C28" s="150"/>
      <c r="D28" s="151"/>
    </row>
    <row r="29" spans="1:14" ht="15.75">
      <c r="A29" s="149"/>
      <c r="B29" s="150"/>
      <c r="C29" s="150"/>
      <c r="D29" s="151"/>
    </row>
    <row r="30" spans="1:14" ht="15.75">
      <c r="A30" s="149"/>
      <c r="B30" s="150"/>
      <c r="C30" s="150"/>
      <c r="D30" s="151"/>
    </row>
    <row r="31" spans="1:14" ht="15.75">
      <c r="A31" s="149"/>
      <c r="B31" s="150"/>
      <c r="C31" s="150"/>
      <c r="D31" s="151"/>
    </row>
    <row r="32" spans="1:14" ht="15.75">
      <c r="A32" s="149"/>
      <c r="B32" s="150"/>
      <c r="C32" s="150"/>
      <c r="D32" s="151"/>
    </row>
    <row r="33" spans="1:9" ht="15.75">
      <c r="A33" s="149"/>
      <c r="B33" s="150"/>
      <c r="C33" s="150"/>
      <c r="D33" s="151"/>
    </row>
    <row r="48" spans="1:9">
      <c r="I48" s="144"/>
    </row>
  </sheetData>
  <mergeCells count="5">
    <mergeCell ref="A12:A13"/>
    <mergeCell ref="A4:A5"/>
    <mergeCell ref="A6:A7"/>
    <mergeCell ref="A8:A9"/>
    <mergeCell ref="A10:A1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1"/>
  <sheetViews>
    <sheetView showGridLines="0" zoomScale="85" zoomScaleNormal="85" workbookViewId="0">
      <pane xSplit="2" topLeftCell="L1" activePane="topRight" state="frozen"/>
      <selection pane="topRight"/>
    </sheetView>
  </sheetViews>
  <sheetFormatPr baseColWidth="10" defaultRowHeight="12.75"/>
  <cols>
    <col min="1" max="1" width="43.28515625" style="13" customWidth="1"/>
    <col min="2" max="2" width="40.28515625" style="13" customWidth="1"/>
    <col min="3" max="12" width="12.28515625" style="13" customWidth="1"/>
    <col min="13" max="16384" width="11.42578125" style="13"/>
  </cols>
  <sheetData>
    <row r="1" spans="1:17" ht="15" customHeight="1">
      <c r="A1" s="84" t="s">
        <v>40</v>
      </c>
      <c r="B1" s="84"/>
      <c r="C1" s="84"/>
      <c r="D1" s="84"/>
      <c r="E1" s="84"/>
      <c r="F1" s="246"/>
      <c r="G1" s="84"/>
      <c r="H1" s="84"/>
      <c r="I1" s="84"/>
      <c r="J1" s="84"/>
      <c r="K1" s="90"/>
      <c r="L1" s="90"/>
    </row>
    <row r="2" spans="1:17">
      <c r="A2" s="91"/>
      <c r="B2" s="92"/>
      <c r="C2" s="93">
        <v>2011</v>
      </c>
      <c r="D2" s="248">
        <v>2012</v>
      </c>
      <c r="E2" s="94">
        <v>2013</v>
      </c>
      <c r="F2" s="95">
        <v>2014</v>
      </c>
      <c r="G2" s="96">
        <v>2015</v>
      </c>
      <c r="H2" s="96">
        <v>2016</v>
      </c>
      <c r="I2" s="94">
        <v>2017</v>
      </c>
      <c r="J2" s="95">
        <v>2018</v>
      </c>
      <c r="K2" s="94">
        <v>2019</v>
      </c>
      <c r="L2" s="97">
        <v>2020</v>
      </c>
      <c r="M2" s="178">
        <v>2021</v>
      </c>
      <c r="N2" s="178">
        <v>2022</v>
      </c>
      <c r="O2" s="178">
        <v>2023</v>
      </c>
      <c r="P2" s="178">
        <v>2024</v>
      </c>
    </row>
    <row r="3" spans="1:17" ht="15" customHeight="1">
      <c r="A3" s="22" t="s">
        <v>3</v>
      </c>
      <c r="B3" s="47" t="s">
        <v>56</v>
      </c>
      <c r="C3" s="212">
        <v>1733.4</v>
      </c>
      <c r="D3" s="213">
        <v>1712</v>
      </c>
      <c r="E3" s="259">
        <v>1705.6</v>
      </c>
      <c r="F3" s="213">
        <v>1524.2</v>
      </c>
      <c r="G3" s="212">
        <v>1562.8</v>
      </c>
      <c r="H3" s="213">
        <v>1609</v>
      </c>
      <c r="I3" s="212">
        <v>1609</v>
      </c>
      <c r="J3" s="213">
        <v>1598</v>
      </c>
      <c r="K3" s="212">
        <v>1611.3</v>
      </c>
      <c r="L3" s="214">
        <v>1585.4</v>
      </c>
      <c r="M3" s="214">
        <v>1618.1690000000001</v>
      </c>
      <c r="N3" s="214">
        <v>1591.9010000000001</v>
      </c>
      <c r="O3" s="214">
        <v>1642.462</v>
      </c>
      <c r="P3" s="214">
        <v>1589.684</v>
      </c>
      <c r="Q3" s="390"/>
    </row>
    <row r="4" spans="1:17" ht="14.25">
      <c r="A4" s="23" t="s">
        <v>149</v>
      </c>
      <c r="B4" s="48" t="s">
        <v>56</v>
      </c>
      <c r="C4" s="215">
        <v>192.9</v>
      </c>
      <c r="D4" s="216">
        <v>196</v>
      </c>
      <c r="E4" s="260">
        <v>203.9</v>
      </c>
      <c r="F4" s="216">
        <v>347.2</v>
      </c>
      <c r="G4" s="215">
        <v>350.8</v>
      </c>
      <c r="H4" s="216">
        <v>352.9</v>
      </c>
      <c r="I4" s="215">
        <v>367.3</v>
      </c>
      <c r="J4" s="216">
        <v>366.7</v>
      </c>
      <c r="K4" s="215">
        <v>364.4</v>
      </c>
      <c r="L4" s="217">
        <v>374.4</v>
      </c>
      <c r="M4" s="217">
        <v>387.13499999999999</v>
      </c>
      <c r="N4" s="217">
        <v>454.94799999999998</v>
      </c>
      <c r="O4" s="217">
        <v>455.05099999999999</v>
      </c>
      <c r="P4" s="217">
        <v>457.99</v>
      </c>
      <c r="Q4" s="390"/>
    </row>
    <row r="5" spans="1:17" s="99" customFormat="1">
      <c r="A5" s="24" t="s">
        <v>31</v>
      </c>
      <c r="B5" s="24" t="s">
        <v>56</v>
      </c>
      <c r="C5" s="218">
        <v>1926.4</v>
      </c>
      <c r="D5" s="219">
        <v>1908.1</v>
      </c>
      <c r="E5" s="261">
        <v>1909.4</v>
      </c>
      <c r="F5" s="219">
        <v>1871.4</v>
      </c>
      <c r="G5" s="218">
        <v>1913.6</v>
      </c>
      <c r="H5" s="219">
        <v>1961.9</v>
      </c>
      <c r="I5" s="218">
        <v>1976.3</v>
      </c>
      <c r="J5" s="219">
        <v>1964.7</v>
      </c>
      <c r="K5" s="218">
        <v>1975.6</v>
      </c>
      <c r="L5" s="220">
        <v>1959.8</v>
      </c>
      <c r="M5" s="220">
        <v>2005.3040000000001</v>
      </c>
      <c r="N5" s="220">
        <v>2046.8489999999999</v>
      </c>
      <c r="O5" s="220">
        <v>2097.5129999999999</v>
      </c>
      <c r="P5" s="220">
        <v>2047.674</v>
      </c>
      <c r="Q5" s="390"/>
    </row>
    <row r="6" spans="1:17" s="100" customFormat="1">
      <c r="A6" s="25" t="s">
        <v>159</v>
      </c>
      <c r="B6" s="25" t="s">
        <v>56</v>
      </c>
      <c r="C6" s="221">
        <v>812.8</v>
      </c>
      <c r="D6" s="249">
        <v>805.7</v>
      </c>
      <c r="E6" s="262">
        <v>805.6</v>
      </c>
      <c r="F6" s="222">
        <v>936.4</v>
      </c>
      <c r="G6" s="221">
        <v>937.4</v>
      </c>
      <c r="H6" s="222">
        <v>937.6</v>
      </c>
      <c r="I6" s="221">
        <v>952.6</v>
      </c>
      <c r="J6" s="222">
        <v>951</v>
      </c>
      <c r="K6" s="221">
        <v>948.9</v>
      </c>
      <c r="L6" s="223">
        <v>947.6</v>
      </c>
      <c r="M6" s="223">
        <v>961.14200000000005</v>
      </c>
      <c r="N6" s="223">
        <v>1025.799</v>
      </c>
      <c r="O6" s="223">
        <v>1028.425</v>
      </c>
      <c r="P6" s="223">
        <v>1035.98</v>
      </c>
      <c r="Q6" s="390"/>
    </row>
    <row r="7" spans="1:17">
      <c r="A7" s="22" t="s">
        <v>4</v>
      </c>
      <c r="B7" s="23" t="s">
        <v>56</v>
      </c>
      <c r="C7" s="215">
        <v>1184.8</v>
      </c>
      <c r="D7" s="216">
        <v>1194.2</v>
      </c>
      <c r="E7" s="260">
        <v>1206.3</v>
      </c>
      <c r="F7" s="216">
        <v>1217.8</v>
      </c>
      <c r="G7" s="215">
        <v>1224.3</v>
      </c>
      <c r="H7" s="216">
        <v>1221.3</v>
      </c>
      <c r="I7" s="215">
        <v>1212.4000000000001</v>
      </c>
      <c r="J7" s="216">
        <v>1205.2</v>
      </c>
      <c r="K7" s="215">
        <v>1198.9000000000001</v>
      </c>
      <c r="L7" s="217">
        <v>1207.5</v>
      </c>
      <c r="M7" s="217">
        <v>1219.9269999999999</v>
      </c>
      <c r="N7" s="217">
        <v>1229.116</v>
      </c>
      <c r="O7" s="217">
        <v>1236.74</v>
      </c>
      <c r="P7" s="217">
        <v>1242.7850000000001</v>
      </c>
      <c r="Q7" s="390"/>
    </row>
    <row r="8" spans="1:17">
      <c r="A8" s="23" t="s">
        <v>5</v>
      </c>
      <c r="B8" s="23" t="s">
        <v>56</v>
      </c>
      <c r="C8" s="215">
        <v>350.1</v>
      </c>
      <c r="D8" s="216">
        <v>362.1</v>
      </c>
      <c r="E8" s="260">
        <v>378.8</v>
      </c>
      <c r="F8" s="216">
        <v>399</v>
      </c>
      <c r="G8" s="215">
        <v>412.2</v>
      </c>
      <c r="H8" s="216">
        <v>432.4</v>
      </c>
      <c r="I8" s="215">
        <v>439.3</v>
      </c>
      <c r="J8" s="216">
        <v>457.3</v>
      </c>
      <c r="K8" s="215">
        <v>464.1</v>
      </c>
      <c r="L8" s="217">
        <v>476</v>
      </c>
      <c r="M8" s="217">
        <v>483.149</v>
      </c>
      <c r="N8" s="217">
        <v>492.077</v>
      </c>
      <c r="O8" s="217">
        <v>497.65</v>
      </c>
      <c r="P8" s="217">
        <v>505.29500000000002</v>
      </c>
      <c r="Q8" s="390"/>
    </row>
    <row r="9" spans="1:17">
      <c r="A9" s="146" t="s">
        <v>0</v>
      </c>
      <c r="B9" s="146" t="s">
        <v>56</v>
      </c>
      <c r="C9" s="218">
        <v>1534.8</v>
      </c>
      <c r="D9" s="219">
        <v>1556.3</v>
      </c>
      <c r="E9" s="261">
        <v>1585.1</v>
      </c>
      <c r="F9" s="219">
        <v>1616.8</v>
      </c>
      <c r="G9" s="218">
        <v>1636.5</v>
      </c>
      <c r="H9" s="219">
        <v>1653.7</v>
      </c>
      <c r="I9" s="218">
        <v>1651.6</v>
      </c>
      <c r="J9" s="219">
        <v>1662.5</v>
      </c>
      <c r="K9" s="218">
        <v>1663.1</v>
      </c>
      <c r="L9" s="220">
        <v>1683.5</v>
      </c>
      <c r="M9" s="220">
        <v>1703.076</v>
      </c>
      <c r="N9" s="220">
        <v>1721.193</v>
      </c>
      <c r="O9" s="220">
        <v>1734.39</v>
      </c>
      <c r="P9" s="220">
        <v>1748.08</v>
      </c>
      <c r="Q9" s="390"/>
    </row>
    <row r="10" spans="1:17">
      <c r="A10" s="27" t="s">
        <v>36</v>
      </c>
      <c r="B10" s="27" t="s">
        <v>56</v>
      </c>
      <c r="C10" s="212">
        <v>820.9</v>
      </c>
      <c r="D10" s="213">
        <v>849.8</v>
      </c>
      <c r="E10" s="259">
        <v>859.4</v>
      </c>
      <c r="F10" s="213">
        <v>867</v>
      </c>
      <c r="G10" s="212">
        <v>866.1</v>
      </c>
      <c r="H10" s="213">
        <v>863.9</v>
      </c>
      <c r="I10" s="212">
        <v>862.9</v>
      </c>
      <c r="J10" s="213">
        <v>861.9</v>
      </c>
      <c r="K10" s="212">
        <v>860.9</v>
      </c>
      <c r="L10" s="214">
        <v>871</v>
      </c>
      <c r="M10" s="214">
        <v>876.58699999999999</v>
      </c>
      <c r="N10" s="214">
        <v>883.07600000000002</v>
      </c>
      <c r="O10" s="214">
        <v>886.42399999999998</v>
      </c>
      <c r="P10" s="214">
        <v>903.39</v>
      </c>
      <c r="Q10" s="390"/>
    </row>
    <row r="11" spans="1:17">
      <c r="A11" s="28" t="s">
        <v>37</v>
      </c>
      <c r="B11" s="28" t="s">
        <v>56</v>
      </c>
      <c r="C11" s="215">
        <v>129.80000000000001</v>
      </c>
      <c r="D11" s="216">
        <v>115.4</v>
      </c>
      <c r="E11" s="260">
        <v>117.4</v>
      </c>
      <c r="F11" s="216">
        <v>121</v>
      </c>
      <c r="G11" s="215">
        <v>120</v>
      </c>
      <c r="H11" s="216">
        <v>122.2</v>
      </c>
      <c r="I11" s="215">
        <v>123.8</v>
      </c>
      <c r="J11" s="216">
        <v>123.6</v>
      </c>
      <c r="K11" s="215">
        <v>121.5</v>
      </c>
      <c r="L11" s="217">
        <v>125.3</v>
      </c>
      <c r="M11" s="217">
        <v>124.962</v>
      </c>
      <c r="N11" s="217">
        <v>125.374</v>
      </c>
      <c r="O11" s="217">
        <v>125.223</v>
      </c>
      <c r="P11" s="217">
        <v>125.47</v>
      </c>
      <c r="Q11" s="390"/>
    </row>
    <row r="12" spans="1:17" s="99" customFormat="1">
      <c r="A12" s="29" t="s">
        <v>1</v>
      </c>
      <c r="B12" s="29" t="s">
        <v>56</v>
      </c>
      <c r="C12" s="224">
        <v>950.7</v>
      </c>
      <c r="D12" s="250">
        <v>965.2</v>
      </c>
      <c r="E12" s="263">
        <v>976.8</v>
      </c>
      <c r="F12" s="225">
        <v>988</v>
      </c>
      <c r="G12" s="224">
        <v>986.2</v>
      </c>
      <c r="H12" s="225">
        <v>986.1</v>
      </c>
      <c r="I12" s="224">
        <v>986.8</v>
      </c>
      <c r="J12" s="225">
        <v>985.5</v>
      </c>
      <c r="K12" s="224">
        <v>982.5</v>
      </c>
      <c r="L12" s="226">
        <v>996.4</v>
      </c>
      <c r="M12" s="226">
        <v>1001.549</v>
      </c>
      <c r="N12" s="226">
        <v>1008.45</v>
      </c>
      <c r="O12" s="226">
        <v>1011.647</v>
      </c>
      <c r="P12" s="226">
        <v>1028.8599999999999</v>
      </c>
      <c r="Q12" s="390"/>
    </row>
    <row r="13" spans="1:17">
      <c r="A13" s="30" t="s">
        <v>148</v>
      </c>
      <c r="B13" s="30" t="s">
        <v>56</v>
      </c>
      <c r="C13" s="227">
        <v>4411.8999999999996</v>
      </c>
      <c r="D13" s="251">
        <v>4429.5</v>
      </c>
      <c r="E13" s="263">
        <v>4471.3999999999996</v>
      </c>
      <c r="F13" s="227">
        <v>4476.2</v>
      </c>
      <c r="G13" s="225">
        <v>4536.3</v>
      </c>
      <c r="H13" s="227">
        <v>4601.7</v>
      </c>
      <c r="I13" s="225">
        <v>4614.7</v>
      </c>
      <c r="J13" s="227">
        <v>4612.7</v>
      </c>
      <c r="K13" s="227">
        <v>4621.1000000000004</v>
      </c>
      <c r="L13" s="227">
        <v>4639.6000000000004</v>
      </c>
      <c r="M13" s="227">
        <v>4709.9290000000001</v>
      </c>
      <c r="N13" s="227">
        <v>4776.4920000000002</v>
      </c>
      <c r="O13" s="227">
        <v>4843.55</v>
      </c>
      <c r="P13" s="227">
        <v>4824.6139999999996</v>
      </c>
      <c r="Q13" s="390"/>
    </row>
    <row r="14" spans="1:17">
      <c r="A14" s="208" t="s">
        <v>3</v>
      </c>
      <c r="B14" s="52" t="s">
        <v>48</v>
      </c>
      <c r="C14" s="228">
        <v>53.5</v>
      </c>
      <c r="D14" s="229">
        <v>56.2</v>
      </c>
      <c r="E14" s="230">
        <v>60.5</v>
      </c>
      <c r="F14" s="228">
        <v>61.1</v>
      </c>
      <c r="G14" s="229">
        <v>65.7</v>
      </c>
      <c r="H14" s="228">
        <v>69.3</v>
      </c>
      <c r="I14" s="229">
        <v>72</v>
      </c>
      <c r="J14" s="230">
        <v>74.3</v>
      </c>
      <c r="K14" s="229">
        <v>74.5</v>
      </c>
      <c r="L14" s="228">
        <v>66.8</v>
      </c>
      <c r="M14" s="228">
        <v>66.05</v>
      </c>
      <c r="N14" s="228">
        <v>70.055000000000007</v>
      </c>
      <c r="O14" s="228">
        <v>75.790000000000006</v>
      </c>
      <c r="P14" s="228">
        <v>80.003</v>
      </c>
      <c r="Q14" s="390"/>
    </row>
    <row r="15" spans="1:17" ht="14.25">
      <c r="A15" s="209" t="s">
        <v>149</v>
      </c>
      <c r="B15" s="53" t="s">
        <v>48</v>
      </c>
      <c r="C15" s="231">
        <v>7.9</v>
      </c>
      <c r="D15" s="232">
        <v>8.3000000000000007</v>
      </c>
      <c r="E15" s="264">
        <v>9.1</v>
      </c>
      <c r="F15" s="231">
        <v>13.1</v>
      </c>
      <c r="G15" s="232">
        <v>13.9</v>
      </c>
      <c r="H15" s="231">
        <v>14.8</v>
      </c>
      <c r="I15" s="232">
        <v>16.8</v>
      </c>
      <c r="J15" s="231">
        <v>17.899999999999999</v>
      </c>
      <c r="K15" s="232">
        <v>18.100000000000001</v>
      </c>
      <c r="L15" s="231">
        <v>19.399999999999999</v>
      </c>
      <c r="M15" s="231">
        <v>21.347000000000001</v>
      </c>
      <c r="N15" s="231">
        <v>24.831</v>
      </c>
      <c r="O15" s="231">
        <v>26.116</v>
      </c>
      <c r="P15" s="231">
        <v>28.202000000000002</v>
      </c>
      <c r="Q15" s="390"/>
    </row>
    <row r="16" spans="1:17">
      <c r="A16" s="210" t="s">
        <v>31</v>
      </c>
      <c r="B16" s="54" t="s">
        <v>48</v>
      </c>
      <c r="C16" s="233">
        <v>61.4</v>
      </c>
      <c r="D16" s="234">
        <v>64.400000000000006</v>
      </c>
      <c r="E16" s="265">
        <v>69.599999999999994</v>
      </c>
      <c r="F16" s="233">
        <v>74.2</v>
      </c>
      <c r="G16" s="234">
        <v>79.5</v>
      </c>
      <c r="H16" s="233">
        <v>84.1</v>
      </c>
      <c r="I16" s="234">
        <v>88.8</v>
      </c>
      <c r="J16" s="233">
        <v>92.2</v>
      </c>
      <c r="K16" s="234">
        <v>92.7</v>
      </c>
      <c r="L16" s="233">
        <v>86.2</v>
      </c>
      <c r="M16" s="233">
        <v>87.396999999999991</v>
      </c>
      <c r="N16" s="233">
        <v>94.885999999999996</v>
      </c>
      <c r="O16" s="233">
        <v>101.90600000000001</v>
      </c>
      <c r="P16" s="233">
        <v>108.205</v>
      </c>
      <c r="Q16" s="390"/>
    </row>
    <row r="17" spans="1:17" s="100" customFormat="1" ht="14.25">
      <c r="A17" s="211" t="s">
        <v>162</v>
      </c>
      <c r="B17" s="55" t="s">
        <v>48</v>
      </c>
      <c r="C17" s="235">
        <v>41.7</v>
      </c>
      <c r="D17" s="252">
        <v>42.1</v>
      </c>
      <c r="E17" s="237">
        <v>43.2</v>
      </c>
      <c r="F17" s="235">
        <v>47.9</v>
      </c>
      <c r="G17" s="236">
        <v>48.9</v>
      </c>
      <c r="H17" s="235">
        <v>50</v>
      </c>
      <c r="I17" s="236">
        <v>52.9</v>
      </c>
      <c r="J17" s="237">
        <v>54.6</v>
      </c>
      <c r="K17" s="236">
        <v>56.7</v>
      </c>
      <c r="L17" s="235">
        <v>52.1</v>
      </c>
      <c r="M17" s="238">
        <v>52.673000000000002</v>
      </c>
      <c r="N17" s="238">
        <v>55.462000000000003</v>
      </c>
      <c r="O17" s="238">
        <v>58.176000000000002</v>
      </c>
      <c r="P17" s="238">
        <v>60.706000000000003</v>
      </c>
      <c r="Q17" s="390"/>
    </row>
    <row r="18" spans="1:17">
      <c r="A18" s="31" t="s">
        <v>4</v>
      </c>
      <c r="B18" s="53" t="s">
        <v>48</v>
      </c>
      <c r="C18" s="231">
        <v>61.2</v>
      </c>
      <c r="D18" s="232">
        <v>65.7</v>
      </c>
      <c r="E18" s="264">
        <v>70.099999999999994</v>
      </c>
      <c r="F18" s="231">
        <v>74.7</v>
      </c>
      <c r="G18" s="232">
        <v>77.2</v>
      </c>
      <c r="H18" s="231">
        <v>80.099999999999994</v>
      </c>
      <c r="I18" s="232">
        <v>81.7</v>
      </c>
      <c r="J18" s="231">
        <v>83.8</v>
      </c>
      <c r="K18" s="232">
        <v>84.7</v>
      </c>
      <c r="L18" s="231">
        <v>84.7</v>
      </c>
      <c r="M18" s="239">
        <v>86.004999999999995</v>
      </c>
      <c r="N18" s="239">
        <v>88.218000000000004</v>
      </c>
      <c r="O18" s="239">
        <v>93.727000000000004</v>
      </c>
      <c r="P18" s="239">
        <v>99.933000000000007</v>
      </c>
      <c r="Q18" s="390"/>
    </row>
    <row r="19" spans="1:17">
      <c r="A19" s="31" t="s">
        <v>5</v>
      </c>
      <c r="B19" s="53" t="s">
        <v>48</v>
      </c>
      <c r="C19" s="231">
        <v>15.7</v>
      </c>
      <c r="D19" s="232">
        <v>16.899999999999999</v>
      </c>
      <c r="E19" s="264">
        <v>18.399999999999999</v>
      </c>
      <c r="F19" s="231">
        <v>20</v>
      </c>
      <c r="G19" s="232">
        <v>21.7</v>
      </c>
      <c r="H19" s="231">
        <v>23.5</v>
      </c>
      <c r="I19" s="232">
        <v>24.4</v>
      </c>
      <c r="J19" s="231">
        <v>26</v>
      </c>
      <c r="K19" s="232">
        <v>26.8</v>
      </c>
      <c r="L19" s="231">
        <v>27.5</v>
      </c>
      <c r="M19" s="239">
        <v>28.452000000000002</v>
      </c>
      <c r="N19" s="239">
        <v>30.035</v>
      </c>
      <c r="O19" s="239">
        <v>31.84</v>
      </c>
      <c r="P19" s="239">
        <v>34.338999999999999</v>
      </c>
      <c r="Q19" s="390"/>
    </row>
    <row r="20" spans="1:17">
      <c r="A20" s="147" t="s">
        <v>0</v>
      </c>
      <c r="B20" s="148" t="s">
        <v>48</v>
      </c>
      <c r="C20" s="233">
        <v>76.900000000000006</v>
      </c>
      <c r="D20" s="234">
        <v>82.6</v>
      </c>
      <c r="E20" s="265">
        <v>88.5</v>
      </c>
      <c r="F20" s="233">
        <v>94.7</v>
      </c>
      <c r="G20" s="234">
        <v>98.9</v>
      </c>
      <c r="H20" s="233">
        <v>103.6</v>
      </c>
      <c r="I20" s="234">
        <v>106.1</v>
      </c>
      <c r="J20" s="233">
        <v>109.8</v>
      </c>
      <c r="K20" s="234">
        <v>111.5</v>
      </c>
      <c r="L20" s="233">
        <v>112.2</v>
      </c>
      <c r="M20" s="240">
        <v>114.45699999999999</v>
      </c>
      <c r="N20" s="240">
        <v>118.253</v>
      </c>
      <c r="O20" s="240">
        <v>125.56699999999999</v>
      </c>
      <c r="P20" s="240">
        <v>134.27199999999999</v>
      </c>
      <c r="Q20" s="390"/>
    </row>
    <row r="21" spans="1:17">
      <c r="A21" s="32" t="s">
        <v>36</v>
      </c>
      <c r="B21" s="56" t="s">
        <v>48</v>
      </c>
      <c r="C21" s="228">
        <v>40.5</v>
      </c>
      <c r="D21" s="229">
        <v>43</v>
      </c>
      <c r="E21" s="230">
        <v>44.5</v>
      </c>
      <c r="F21" s="228">
        <v>45.2</v>
      </c>
      <c r="G21" s="229">
        <v>45.7</v>
      </c>
      <c r="H21" s="228">
        <v>45.8</v>
      </c>
      <c r="I21" s="229">
        <v>46.7</v>
      </c>
      <c r="J21" s="230">
        <v>47.5</v>
      </c>
      <c r="K21" s="229">
        <v>48.1</v>
      </c>
      <c r="L21" s="228">
        <v>48</v>
      </c>
      <c r="M21" s="241">
        <v>48.613</v>
      </c>
      <c r="N21" s="241">
        <v>49.832000000000001</v>
      </c>
      <c r="O21" s="241">
        <v>52.585000000000001</v>
      </c>
      <c r="P21" s="241">
        <v>56.887</v>
      </c>
      <c r="Q21" s="390"/>
    </row>
    <row r="22" spans="1:17">
      <c r="A22" s="33" t="s">
        <v>37</v>
      </c>
      <c r="B22" s="57" t="s">
        <v>48</v>
      </c>
      <c r="C22" s="231">
        <v>5.6</v>
      </c>
      <c r="D22" s="232">
        <v>4.5999999999999996</v>
      </c>
      <c r="E22" s="264">
        <v>5.0999999999999996</v>
      </c>
      <c r="F22" s="231">
        <v>5.5</v>
      </c>
      <c r="G22" s="232">
        <v>5.8</v>
      </c>
      <c r="H22" s="231">
        <v>6.1</v>
      </c>
      <c r="I22" s="232">
        <v>6.6</v>
      </c>
      <c r="J22" s="231">
        <v>6.4</v>
      </c>
      <c r="K22" s="232">
        <v>6.4</v>
      </c>
      <c r="L22" s="231">
        <v>6.6</v>
      </c>
      <c r="M22" s="239">
        <v>6.7629999999999999</v>
      </c>
      <c r="N22" s="239">
        <v>6.89</v>
      </c>
      <c r="O22" s="239">
        <v>7.0720000000000001</v>
      </c>
      <c r="P22" s="239">
        <v>7.5460000000000003</v>
      </c>
      <c r="Q22" s="390"/>
    </row>
    <row r="23" spans="1:17">
      <c r="A23" s="34" t="s">
        <v>38</v>
      </c>
      <c r="B23" s="35" t="s">
        <v>48</v>
      </c>
      <c r="C23" s="242">
        <v>46.1</v>
      </c>
      <c r="D23" s="253">
        <v>47.6</v>
      </c>
      <c r="E23" s="244">
        <v>49.6</v>
      </c>
      <c r="F23" s="242">
        <v>50.7</v>
      </c>
      <c r="G23" s="243">
        <v>51.5</v>
      </c>
      <c r="H23" s="242">
        <v>51.9</v>
      </c>
      <c r="I23" s="243">
        <v>53.3</v>
      </c>
      <c r="J23" s="244">
        <v>53.9</v>
      </c>
      <c r="K23" s="243">
        <v>54.5</v>
      </c>
      <c r="L23" s="242">
        <v>54.6</v>
      </c>
      <c r="M23" s="245">
        <v>55.375999999999998</v>
      </c>
      <c r="N23" s="245">
        <v>56.722000000000001</v>
      </c>
      <c r="O23" s="245">
        <v>59.656999999999996</v>
      </c>
      <c r="P23" s="245">
        <v>64.433000000000007</v>
      </c>
      <c r="Q23" s="390"/>
    </row>
    <row r="24" spans="1:17">
      <c r="A24" s="35" t="s">
        <v>148</v>
      </c>
      <c r="B24" s="204" t="s">
        <v>48</v>
      </c>
      <c r="C24" s="242">
        <v>184.4</v>
      </c>
      <c r="D24" s="253">
        <v>194.6</v>
      </c>
      <c r="E24" s="244">
        <v>207.8</v>
      </c>
      <c r="F24" s="242">
        <v>219.6</v>
      </c>
      <c r="G24" s="243">
        <v>229.9</v>
      </c>
      <c r="H24" s="242">
        <v>239.6</v>
      </c>
      <c r="I24" s="243">
        <v>248.2</v>
      </c>
      <c r="J24" s="244">
        <v>255.9</v>
      </c>
      <c r="K24" s="243">
        <v>258.60000000000002</v>
      </c>
      <c r="L24" s="242">
        <v>253.1</v>
      </c>
      <c r="M24" s="245">
        <v>257.22999999999996</v>
      </c>
      <c r="N24" s="245">
        <v>269.86099999999999</v>
      </c>
      <c r="O24" s="245">
        <v>287.13</v>
      </c>
      <c r="P24" s="245">
        <v>306.91000000000003</v>
      </c>
      <c r="Q24" s="390"/>
    </row>
    <row r="25" spans="1:17">
      <c r="A25" s="22" t="s">
        <v>3</v>
      </c>
      <c r="B25" s="205" t="s">
        <v>147</v>
      </c>
      <c r="C25" s="200">
        <v>3.1</v>
      </c>
      <c r="D25" s="254">
        <v>3.3</v>
      </c>
      <c r="E25" s="266">
        <v>3.5</v>
      </c>
      <c r="F25" s="85">
        <v>4</v>
      </c>
      <c r="G25" s="85">
        <v>4.2</v>
      </c>
      <c r="H25" s="85">
        <v>4.3</v>
      </c>
      <c r="I25" s="85">
        <v>4.5</v>
      </c>
      <c r="J25" s="85">
        <v>4.5999999999999996</v>
      </c>
      <c r="K25" s="85">
        <v>4.5999999999999996</v>
      </c>
      <c r="L25" s="85">
        <v>4.2</v>
      </c>
      <c r="M25" s="85">
        <v>4.0999999999999996</v>
      </c>
      <c r="N25" s="85">
        <v>4.4000000000000004</v>
      </c>
      <c r="O25" s="85">
        <v>4.5999999999999996</v>
      </c>
      <c r="P25" s="85">
        <v>5</v>
      </c>
      <c r="Q25" s="390"/>
    </row>
    <row r="26" spans="1:17" ht="14.25">
      <c r="A26" s="23" t="s">
        <v>149</v>
      </c>
      <c r="B26" s="23" t="s">
        <v>147</v>
      </c>
      <c r="C26" s="201">
        <v>4.0999999999999996</v>
      </c>
      <c r="D26" s="255">
        <v>4.2</v>
      </c>
      <c r="E26" s="267">
        <v>4.5</v>
      </c>
      <c r="F26" s="86">
        <v>3.8</v>
      </c>
      <c r="G26" s="86">
        <v>3.9</v>
      </c>
      <c r="H26" s="86">
        <v>4.2</v>
      </c>
      <c r="I26" s="86">
        <v>4.5999999999999996</v>
      </c>
      <c r="J26" s="86">
        <v>4.9000000000000004</v>
      </c>
      <c r="K26" s="86">
        <v>5</v>
      </c>
      <c r="L26" s="86">
        <v>5.2</v>
      </c>
      <c r="M26" s="86">
        <v>5.5</v>
      </c>
      <c r="N26" s="86">
        <v>5.5</v>
      </c>
      <c r="O26" s="86">
        <v>5.7</v>
      </c>
      <c r="P26" s="86">
        <v>6.2</v>
      </c>
      <c r="Q26" s="390"/>
    </row>
    <row r="27" spans="1:17">
      <c r="A27" s="24" t="s">
        <v>31</v>
      </c>
      <c r="B27" s="24" t="s">
        <v>147</v>
      </c>
      <c r="C27" s="202">
        <v>3.2</v>
      </c>
      <c r="D27" s="256">
        <v>3.4</v>
      </c>
      <c r="E27" s="268">
        <v>3.6</v>
      </c>
      <c r="F27" s="87">
        <v>4</v>
      </c>
      <c r="G27" s="87">
        <v>4.2</v>
      </c>
      <c r="H27" s="87">
        <v>4.3</v>
      </c>
      <c r="I27" s="87">
        <v>4.5</v>
      </c>
      <c r="J27" s="87">
        <v>4.7</v>
      </c>
      <c r="K27" s="87">
        <v>4.7</v>
      </c>
      <c r="L27" s="87">
        <v>4.4000000000000004</v>
      </c>
      <c r="M27" s="87">
        <v>4.4000000000000004</v>
      </c>
      <c r="N27" s="87">
        <v>4.5999999999999996</v>
      </c>
      <c r="O27" s="87">
        <v>4.9000000000000004</v>
      </c>
      <c r="P27" s="87">
        <v>5.3</v>
      </c>
      <c r="Q27" s="390"/>
    </row>
    <row r="28" spans="1:17">
      <c r="A28" s="25" t="s">
        <v>159</v>
      </c>
      <c r="B28" s="206" t="s">
        <v>147</v>
      </c>
      <c r="C28" s="203">
        <v>5.0999999999999996</v>
      </c>
      <c r="D28" s="257">
        <v>5.2</v>
      </c>
      <c r="E28" s="269">
        <v>5.4</v>
      </c>
      <c r="F28" s="88">
        <v>5.0999999999999996</v>
      </c>
      <c r="G28" s="88">
        <v>5.2</v>
      </c>
      <c r="H28" s="88">
        <v>5.3</v>
      </c>
      <c r="I28" s="88">
        <v>5.6</v>
      </c>
      <c r="J28" s="88">
        <v>5.7</v>
      </c>
      <c r="K28" s="88">
        <v>6</v>
      </c>
      <c r="L28" s="88">
        <v>5.5</v>
      </c>
      <c r="M28" s="88">
        <v>5.5</v>
      </c>
      <c r="N28" s="88">
        <v>5.4</v>
      </c>
      <c r="O28" s="88">
        <v>5.7</v>
      </c>
      <c r="P28" s="88">
        <v>5.9</v>
      </c>
      <c r="Q28" s="390"/>
    </row>
    <row r="29" spans="1:17">
      <c r="A29" s="22" t="s">
        <v>4</v>
      </c>
      <c r="B29" s="205" t="s">
        <v>147</v>
      </c>
      <c r="C29" s="85">
        <v>5.2</v>
      </c>
      <c r="D29" s="254">
        <v>5.5</v>
      </c>
      <c r="E29" s="266">
        <v>5.8</v>
      </c>
      <c r="F29" s="85">
        <v>6.1</v>
      </c>
      <c r="G29" s="85">
        <v>6.3</v>
      </c>
      <c r="H29" s="85">
        <v>6.6</v>
      </c>
      <c r="I29" s="85">
        <v>6.7</v>
      </c>
      <c r="J29" s="85">
        <v>7</v>
      </c>
      <c r="K29" s="85">
        <v>7.1</v>
      </c>
      <c r="L29" s="85">
        <v>7</v>
      </c>
      <c r="M29" s="85">
        <v>7.1</v>
      </c>
      <c r="N29" s="85">
        <v>7.2</v>
      </c>
      <c r="O29" s="85">
        <v>7.6</v>
      </c>
      <c r="P29" s="85">
        <v>8</v>
      </c>
      <c r="Q29" s="390"/>
    </row>
    <row r="30" spans="1:17">
      <c r="A30" s="23" t="s">
        <v>5</v>
      </c>
      <c r="B30" s="23" t="s">
        <v>147</v>
      </c>
      <c r="C30" s="86">
        <v>4.5</v>
      </c>
      <c r="D30" s="255">
        <v>4.7</v>
      </c>
      <c r="E30" s="267">
        <v>4.9000000000000004</v>
      </c>
      <c r="F30" s="86">
        <v>5</v>
      </c>
      <c r="G30" s="86">
        <v>5.3</v>
      </c>
      <c r="H30" s="86">
        <v>5.4</v>
      </c>
      <c r="I30" s="86">
        <v>5.6</v>
      </c>
      <c r="J30" s="86">
        <v>5.7</v>
      </c>
      <c r="K30" s="86">
        <v>5.8</v>
      </c>
      <c r="L30" s="86">
        <v>5.8</v>
      </c>
      <c r="M30" s="86">
        <v>5.9</v>
      </c>
      <c r="N30" s="86">
        <v>6.1</v>
      </c>
      <c r="O30" s="86">
        <v>6.4</v>
      </c>
      <c r="P30" s="86">
        <v>6.8</v>
      </c>
      <c r="Q30" s="390"/>
    </row>
    <row r="31" spans="1:17">
      <c r="A31" s="26" t="s">
        <v>0</v>
      </c>
      <c r="B31" s="24" t="s">
        <v>147</v>
      </c>
      <c r="C31" s="87">
        <v>5</v>
      </c>
      <c r="D31" s="256">
        <v>5.3</v>
      </c>
      <c r="E31" s="268">
        <v>5.6</v>
      </c>
      <c r="F31" s="87">
        <v>5.9</v>
      </c>
      <c r="G31" s="87">
        <v>6</v>
      </c>
      <c r="H31" s="87">
        <v>6.3</v>
      </c>
      <c r="I31" s="87">
        <v>6.4</v>
      </c>
      <c r="J31" s="87">
        <v>6.6</v>
      </c>
      <c r="K31" s="87">
        <v>6.7</v>
      </c>
      <c r="L31" s="87">
        <v>6.7</v>
      </c>
      <c r="M31" s="87">
        <v>6.7</v>
      </c>
      <c r="N31" s="87">
        <v>6.9</v>
      </c>
      <c r="O31" s="87">
        <v>7.2</v>
      </c>
      <c r="P31" s="87">
        <v>7.7</v>
      </c>
      <c r="Q31" s="390"/>
    </row>
    <row r="32" spans="1:17">
      <c r="A32" s="27" t="s">
        <v>6</v>
      </c>
      <c r="B32" s="205" t="s">
        <v>147</v>
      </c>
      <c r="C32" s="85">
        <v>4.9000000000000004</v>
      </c>
      <c r="D32" s="254">
        <v>5.0999999999999996</v>
      </c>
      <c r="E32" s="266">
        <v>5.2</v>
      </c>
      <c r="F32" s="85">
        <v>5.2</v>
      </c>
      <c r="G32" s="85">
        <v>5.3</v>
      </c>
      <c r="H32" s="85">
        <v>5.3</v>
      </c>
      <c r="I32" s="85">
        <v>5.4</v>
      </c>
      <c r="J32" s="85">
        <v>5.5</v>
      </c>
      <c r="K32" s="85">
        <v>5.6</v>
      </c>
      <c r="L32" s="85">
        <v>5.5</v>
      </c>
      <c r="M32" s="85">
        <v>5.5</v>
      </c>
      <c r="N32" s="85">
        <v>5.6</v>
      </c>
      <c r="O32" s="85">
        <v>5.9</v>
      </c>
      <c r="P32" s="85">
        <v>6.3</v>
      </c>
      <c r="Q32" s="390"/>
    </row>
    <row r="33" spans="1:17">
      <c r="A33" s="28" t="s">
        <v>37</v>
      </c>
      <c r="B33" s="23" t="s">
        <v>147</v>
      </c>
      <c r="C33" s="86">
        <v>4.3</v>
      </c>
      <c r="D33" s="255">
        <v>4</v>
      </c>
      <c r="E33" s="267">
        <v>4.3</v>
      </c>
      <c r="F33" s="86">
        <v>4.5999999999999996</v>
      </c>
      <c r="G33" s="86">
        <v>4.8</v>
      </c>
      <c r="H33" s="86">
        <v>5</v>
      </c>
      <c r="I33" s="86">
        <v>5.4</v>
      </c>
      <c r="J33" s="86">
        <v>5.2</v>
      </c>
      <c r="K33" s="86">
        <v>5.2</v>
      </c>
      <c r="L33" s="86">
        <v>5.3</v>
      </c>
      <c r="M33" s="86">
        <v>5.4</v>
      </c>
      <c r="N33" s="86">
        <v>5.5</v>
      </c>
      <c r="O33" s="86">
        <v>5.6</v>
      </c>
      <c r="P33" s="86">
        <v>6</v>
      </c>
      <c r="Q33" s="390"/>
    </row>
    <row r="34" spans="1:17">
      <c r="A34" s="29" t="s">
        <v>1</v>
      </c>
      <c r="B34" s="24" t="s">
        <v>147</v>
      </c>
      <c r="C34" s="89">
        <v>4.9000000000000004</v>
      </c>
      <c r="D34" s="258">
        <v>4.9000000000000004</v>
      </c>
      <c r="E34" s="270">
        <v>5.0999999999999996</v>
      </c>
      <c r="F34" s="89">
        <v>5.0999999999999996</v>
      </c>
      <c r="G34" s="89">
        <v>5.2</v>
      </c>
      <c r="H34" s="89">
        <v>5.3</v>
      </c>
      <c r="I34" s="89">
        <v>5.4</v>
      </c>
      <c r="J34" s="89">
        <v>5.5</v>
      </c>
      <c r="K34" s="89">
        <v>5.5</v>
      </c>
      <c r="L34" s="89">
        <v>5.5</v>
      </c>
      <c r="M34" s="89">
        <v>5.5</v>
      </c>
      <c r="N34" s="89">
        <v>5.6</v>
      </c>
      <c r="O34" s="89">
        <v>5.9</v>
      </c>
      <c r="P34" s="89">
        <v>6.3</v>
      </c>
      <c r="Q34" s="390"/>
    </row>
    <row r="35" spans="1:17">
      <c r="A35" s="30" t="s">
        <v>146</v>
      </c>
      <c r="B35" s="207" t="s">
        <v>147</v>
      </c>
      <c r="C35" s="89">
        <v>4.2</v>
      </c>
      <c r="D35" s="258">
        <v>4.4000000000000004</v>
      </c>
      <c r="E35" s="270">
        <v>4.5999999999999996</v>
      </c>
      <c r="F35" s="89">
        <v>4.9000000000000004</v>
      </c>
      <c r="G35" s="89">
        <v>5.0999999999999996</v>
      </c>
      <c r="H35" s="89">
        <v>5.2</v>
      </c>
      <c r="I35" s="89">
        <v>5.4</v>
      </c>
      <c r="J35" s="89">
        <v>5.5</v>
      </c>
      <c r="K35" s="89">
        <v>5.6</v>
      </c>
      <c r="L35" s="89">
        <v>5.5</v>
      </c>
      <c r="M35" s="89">
        <v>5.5</v>
      </c>
      <c r="N35" s="89">
        <v>5.6</v>
      </c>
      <c r="O35" s="89">
        <v>5.9</v>
      </c>
      <c r="P35" s="89">
        <v>6.4</v>
      </c>
      <c r="Q35" s="390"/>
    </row>
    <row r="36" spans="1:17">
      <c r="A36" s="81" t="s">
        <v>185</v>
      </c>
      <c r="B36" s="81"/>
      <c r="C36" s="81"/>
      <c r="D36" s="81"/>
      <c r="E36" s="81"/>
      <c r="F36" s="81"/>
      <c r="G36" s="81"/>
      <c r="H36" s="81"/>
      <c r="I36" s="81"/>
      <c r="J36" s="81"/>
      <c r="K36" s="81"/>
      <c r="L36" s="81"/>
      <c r="M36" s="152"/>
      <c r="Q36" s="390"/>
    </row>
    <row r="37" spans="1:17">
      <c r="A37" s="82" t="s">
        <v>188</v>
      </c>
      <c r="B37" s="82"/>
      <c r="C37" s="82"/>
      <c r="D37" s="82"/>
      <c r="E37" s="82"/>
      <c r="F37" s="82"/>
      <c r="G37" s="82"/>
      <c r="H37" s="82"/>
      <c r="I37" s="82"/>
      <c r="J37" s="82"/>
      <c r="K37" s="82"/>
      <c r="L37" s="82"/>
      <c r="M37" s="82"/>
      <c r="N37" s="82"/>
      <c r="O37" s="82"/>
      <c r="P37" s="82"/>
      <c r="Q37" s="390"/>
    </row>
    <row r="38" spans="1:17">
      <c r="A38" s="78" t="s">
        <v>202</v>
      </c>
      <c r="B38" s="78"/>
      <c r="C38" s="78"/>
      <c r="D38" s="78"/>
      <c r="E38" s="78"/>
      <c r="F38" s="78"/>
      <c r="G38" s="78"/>
      <c r="H38" s="78"/>
      <c r="I38" s="78"/>
      <c r="J38" s="78"/>
      <c r="K38" s="78"/>
      <c r="L38" s="78"/>
      <c r="M38" s="78"/>
      <c r="Q38" s="390"/>
    </row>
    <row r="39" spans="1:17">
      <c r="A39" s="61" t="s">
        <v>186</v>
      </c>
      <c r="B39" s="61"/>
      <c r="C39" s="61"/>
      <c r="D39" s="61"/>
      <c r="E39" s="61"/>
      <c r="F39" s="61"/>
      <c r="G39" s="61"/>
      <c r="H39" s="61"/>
      <c r="I39" s="61"/>
      <c r="J39" s="61"/>
      <c r="K39" s="61"/>
      <c r="L39" s="61"/>
      <c r="M39" s="61"/>
      <c r="Q39" s="390"/>
    </row>
    <row r="40" spans="1:17">
      <c r="A40" s="61" t="s">
        <v>187</v>
      </c>
      <c r="B40" s="61"/>
      <c r="C40" s="61"/>
      <c r="D40" s="61"/>
      <c r="E40" s="61"/>
      <c r="F40" s="61"/>
      <c r="G40" s="61"/>
      <c r="H40" s="61"/>
      <c r="I40" s="61"/>
      <c r="J40" s="61"/>
      <c r="K40" s="61"/>
      <c r="L40" s="61"/>
      <c r="M40" s="61"/>
      <c r="Q40" s="390"/>
    </row>
    <row r="41" spans="1:17">
      <c r="A41" s="79" t="s">
        <v>189</v>
      </c>
      <c r="B41" s="79"/>
      <c r="C41" s="80"/>
      <c r="D41" s="80"/>
      <c r="E41" s="80"/>
      <c r="F41" s="80"/>
      <c r="G41" s="80"/>
      <c r="H41" s="80"/>
      <c r="I41" s="80"/>
      <c r="J41" s="65"/>
      <c r="K41" s="80"/>
      <c r="L41" s="80"/>
      <c r="M41" s="80"/>
      <c r="Q41" s="390"/>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CCF6-F5E7-4796-8A34-8056E3B80CAF}">
  <dimension ref="A1:P23"/>
  <sheetViews>
    <sheetView showGridLines="0" zoomScale="85" zoomScaleNormal="85" workbookViewId="0">
      <pane xSplit="2" topLeftCell="J1" activePane="topRight" state="frozen"/>
      <selection pane="topRight"/>
    </sheetView>
  </sheetViews>
  <sheetFormatPr baseColWidth="10" defaultRowHeight="12.75"/>
  <cols>
    <col min="1" max="1" width="43.28515625" style="13" customWidth="1"/>
    <col min="2" max="2" width="45.42578125" style="13" customWidth="1"/>
    <col min="3" max="12" width="12.28515625" style="13" customWidth="1"/>
    <col min="13" max="16384" width="11.42578125" style="13"/>
  </cols>
  <sheetData>
    <row r="1" spans="1:16" ht="15" customHeight="1">
      <c r="A1" s="84" t="s">
        <v>198</v>
      </c>
      <c r="B1" s="84"/>
      <c r="C1" s="84"/>
      <c r="D1" s="84"/>
      <c r="E1" s="84"/>
      <c r="F1" s="246"/>
      <c r="G1" s="84"/>
      <c r="H1" s="84"/>
      <c r="I1" s="84"/>
      <c r="J1" s="84"/>
      <c r="K1" s="90"/>
      <c r="L1" s="90"/>
    </row>
    <row r="2" spans="1:16">
      <c r="A2" s="91"/>
      <c r="B2" s="92"/>
      <c r="C2" s="93">
        <v>2011</v>
      </c>
      <c r="D2" s="248">
        <v>2012</v>
      </c>
      <c r="E2" s="94">
        <v>2013</v>
      </c>
      <c r="F2" s="95">
        <v>2014</v>
      </c>
      <c r="G2" s="96">
        <v>2015</v>
      </c>
      <c r="H2" s="96">
        <v>2016</v>
      </c>
      <c r="I2" s="94">
        <v>2017</v>
      </c>
      <c r="J2" s="95">
        <v>2018</v>
      </c>
      <c r="K2" s="94">
        <v>2019</v>
      </c>
      <c r="L2" s="97">
        <v>2020</v>
      </c>
      <c r="M2" s="178">
        <v>2021</v>
      </c>
      <c r="N2" s="178">
        <v>2022</v>
      </c>
      <c r="O2" s="178">
        <v>2023</v>
      </c>
      <c r="P2" s="178">
        <v>2024</v>
      </c>
    </row>
    <row r="3" spans="1:16">
      <c r="A3" s="208" t="s">
        <v>3</v>
      </c>
      <c r="B3" s="340" t="s">
        <v>196</v>
      </c>
      <c r="C3" s="341">
        <v>48.6</v>
      </c>
      <c r="D3" s="342">
        <v>49.6</v>
      </c>
      <c r="E3" s="343">
        <v>52.2</v>
      </c>
      <c r="F3" s="344">
        <v>54.1</v>
      </c>
      <c r="G3" s="344">
        <v>57.5</v>
      </c>
      <c r="H3" s="344">
        <v>60.39</v>
      </c>
      <c r="I3" s="344">
        <v>61.09</v>
      </c>
      <c r="J3" s="344">
        <v>61.27</v>
      </c>
      <c r="K3" s="344">
        <v>61.4</v>
      </c>
      <c r="L3" s="344">
        <v>61</v>
      </c>
      <c r="M3" s="344">
        <v>64.150000000000006</v>
      </c>
      <c r="N3" s="344">
        <v>66.319999999999993</v>
      </c>
      <c r="O3" s="344">
        <v>67.900000000000006</v>
      </c>
      <c r="P3" s="344">
        <v>69.56</v>
      </c>
    </row>
    <row r="4" spans="1:16" ht="14.25">
      <c r="A4" s="209" t="s">
        <v>149</v>
      </c>
      <c r="B4" s="209" t="s">
        <v>196</v>
      </c>
      <c r="C4" s="345">
        <v>53.9</v>
      </c>
      <c r="D4" s="346">
        <v>57.6</v>
      </c>
      <c r="E4" s="347">
        <v>57.6</v>
      </c>
      <c r="F4" s="348">
        <v>58.6</v>
      </c>
      <c r="G4" s="348">
        <v>59.8</v>
      </c>
      <c r="H4" s="348">
        <v>60.81</v>
      </c>
      <c r="I4" s="348">
        <v>63.42</v>
      </c>
      <c r="J4" s="348">
        <v>64.52</v>
      </c>
      <c r="K4" s="348">
        <v>65.2</v>
      </c>
      <c r="L4" s="348">
        <v>66</v>
      </c>
      <c r="M4" s="348">
        <v>68.290000000000006</v>
      </c>
      <c r="N4" s="348">
        <v>68.22</v>
      </c>
      <c r="O4" s="348">
        <v>68.400000000000006</v>
      </c>
      <c r="P4" s="348">
        <v>68.89</v>
      </c>
    </row>
    <row r="5" spans="1:16">
      <c r="A5" s="210" t="s">
        <v>31</v>
      </c>
      <c r="B5" s="210" t="s">
        <v>196</v>
      </c>
      <c r="C5" s="349">
        <v>47.7</v>
      </c>
      <c r="D5" s="350">
        <v>50.6</v>
      </c>
      <c r="E5" s="351">
        <v>52.9</v>
      </c>
      <c r="F5" s="352">
        <v>54.9</v>
      </c>
      <c r="G5" s="352">
        <v>57.9</v>
      </c>
      <c r="H5" s="352">
        <v>60.46</v>
      </c>
      <c r="I5" s="352">
        <v>61.49</v>
      </c>
      <c r="J5" s="352">
        <v>61.9</v>
      </c>
      <c r="K5" s="352">
        <v>62.1</v>
      </c>
      <c r="L5" s="352">
        <v>69</v>
      </c>
      <c r="M5" s="352">
        <v>65.16</v>
      </c>
      <c r="N5" s="352">
        <v>66.819999999999993</v>
      </c>
      <c r="O5" s="352">
        <v>68.099999999999994</v>
      </c>
      <c r="P5" s="352">
        <v>69.39</v>
      </c>
    </row>
    <row r="6" spans="1:16">
      <c r="A6" s="211" t="s">
        <v>159</v>
      </c>
      <c r="B6" s="353" t="s">
        <v>196</v>
      </c>
      <c r="C6" s="354">
        <v>40</v>
      </c>
      <c r="D6" s="355">
        <v>41.3</v>
      </c>
      <c r="E6" s="356">
        <v>42.3</v>
      </c>
      <c r="F6" s="357">
        <v>44.6</v>
      </c>
      <c r="G6" s="357">
        <v>47</v>
      </c>
      <c r="H6" s="357">
        <v>49.26</v>
      </c>
      <c r="I6" s="357">
        <v>50.73</v>
      </c>
      <c r="J6" s="357">
        <v>50.7</v>
      </c>
      <c r="K6" s="357">
        <v>52.5</v>
      </c>
      <c r="L6" s="357">
        <v>53</v>
      </c>
      <c r="M6" s="357">
        <v>56.96</v>
      </c>
      <c r="N6" s="357">
        <v>58.57</v>
      </c>
      <c r="O6" s="357">
        <v>59.8</v>
      </c>
      <c r="P6" s="357">
        <v>60.93</v>
      </c>
    </row>
    <row r="7" spans="1:16">
      <c r="A7" s="208" t="s">
        <v>4</v>
      </c>
      <c r="B7" s="340" t="s">
        <v>196</v>
      </c>
      <c r="C7" s="344">
        <v>49.2</v>
      </c>
      <c r="D7" s="342">
        <v>51.2</v>
      </c>
      <c r="E7" s="343">
        <v>52.6</v>
      </c>
      <c r="F7" s="344">
        <v>53.4</v>
      </c>
      <c r="G7" s="344">
        <v>55.6</v>
      </c>
      <c r="H7" s="344">
        <v>56.85</v>
      </c>
      <c r="I7" s="344">
        <v>58.09</v>
      </c>
      <c r="J7" s="344">
        <v>59.5</v>
      </c>
      <c r="K7" s="344">
        <v>60.9</v>
      </c>
      <c r="L7" s="344">
        <v>62</v>
      </c>
      <c r="M7" s="344">
        <v>63.33</v>
      </c>
      <c r="N7" s="344">
        <v>64.400000000000006</v>
      </c>
      <c r="O7" s="344">
        <v>65.3</v>
      </c>
      <c r="P7" s="344">
        <v>66.11</v>
      </c>
    </row>
    <row r="8" spans="1:16">
      <c r="A8" s="209" t="s">
        <v>5</v>
      </c>
      <c r="B8" s="209" t="s">
        <v>196</v>
      </c>
      <c r="C8" s="348">
        <v>44.9</v>
      </c>
      <c r="D8" s="346">
        <v>44.6</v>
      </c>
      <c r="E8" s="347">
        <v>45.9</v>
      </c>
      <c r="F8" s="348">
        <v>47.7</v>
      </c>
      <c r="G8" s="348">
        <v>49.7</v>
      </c>
      <c r="H8" s="348">
        <v>51.66</v>
      </c>
      <c r="I8" s="348">
        <v>52.13</v>
      </c>
      <c r="J8" s="348">
        <v>53.4</v>
      </c>
      <c r="K8" s="348">
        <v>54.6</v>
      </c>
      <c r="L8" s="348">
        <v>56</v>
      </c>
      <c r="M8" s="348">
        <v>57.26</v>
      </c>
      <c r="N8" s="348">
        <v>57.55</v>
      </c>
      <c r="O8" s="348">
        <v>59.1</v>
      </c>
      <c r="P8" s="348">
        <v>59.91</v>
      </c>
    </row>
    <row r="9" spans="1:16">
      <c r="A9" s="358" t="s">
        <v>0</v>
      </c>
      <c r="B9" s="210" t="s">
        <v>196</v>
      </c>
      <c r="C9" s="352">
        <v>48.4</v>
      </c>
      <c r="D9" s="350">
        <v>49.8</v>
      </c>
      <c r="E9" s="351">
        <v>51.2</v>
      </c>
      <c r="F9" s="352">
        <v>52.2</v>
      </c>
      <c r="G9" s="352">
        <v>54.3</v>
      </c>
      <c r="H9" s="352">
        <v>55.67</v>
      </c>
      <c r="I9" s="352">
        <v>56.69</v>
      </c>
      <c r="J9" s="352">
        <v>58.05</v>
      </c>
      <c r="K9" s="352">
        <v>59.4</v>
      </c>
      <c r="L9" s="352">
        <v>61</v>
      </c>
      <c r="M9" s="352">
        <v>61.82</v>
      </c>
      <c r="N9" s="352">
        <v>62.66</v>
      </c>
      <c r="O9" s="352">
        <v>63.7</v>
      </c>
      <c r="P9" s="352">
        <v>64.52</v>
      </c>
    </row>
    <row r="10" spans="1:16">
      <c r="A10" s="359" t="s">
        <v>6</v>
      </c>
      <c r="B10" s="340" t="s">
        <v>196</v>
      </c>
      <c r="C10" s="344">
        <v>75.599999999999994</v>
      </c>
      <c r="D10" s="342">
        <v>74.400000000000006</v>
      </c>
      <c r="E10" s="343">
        <v>75</v>
      </c>
      <c r="F10" s="344">
        <v>75.900000000000006</v>
      </c>
      <c r="G10" s="344">
        <v>76.5</v>
      </c>
      <c r="H10" s="344">
        <v>77.19</v>
      </c>
      <c r="I10" s="344">
        <v>78.430000000000007</v>
      </c>
      <c r="J10" s="344">
        <v>79</v>
      </c>
      <c r="K10" s="344">
        <v>80</v>
      </c>
      <c r="L10" s="344">
        <v>81</v>
      </c>
      <c r="M10" s="344">
        <v>81.56</v>
      </c>
      <c r="N10" s="344">
        <v>82.12</v>
      </c>
      <c r="O10" s="344">
        <v>82.4</v>
      </c>
      <c r="P10" s="344">
        <v>83.02</v>
      </c>
    </row>
    <row r="11" spans="1:16">
      <c r="A11" s="360" t="s">
        <v>37</v>
      </c>
      <c r="B11" s="209" t="s">
        <v>196</v>
      </c>
      <c r="C11" s="348">
        <v>72.5</v>
      </c>
      <c r="D11" s="346">
        <v>69.7</v>
      </c>
      <c r="E11" s="347">
        <v>70.599999999999994</v>
      </c>
      <c r="F11" s="348">
        <v>72.3</v>
      </c>
      <c r="G11" s="348">
        <v>74.099999999999994</v>
      </c>
      <c r="H11" s="348">
        <v>75.290000000000006</v>
      </c>
      <c r="I11" s="348">
        <v>73.319999999999993</v>
      </c>
      <c r="J11" s="348">
        <v>75.599999999999994</v>
      </c>
      <c r="K11" s="348">
        <v>76.3</v>
      </c>
      <c r="L11" s="348">
        <v>77</v>
      </c>
      <c r="M11" s="348">
        <v>77.52</v>
      </c>
      <c r="N11" s="348">
        <v>77.92</v>
      </c>
      <c r="O11" s="348">
        <v>79</v>
      </c>
      <c r="P11" s="348">
        <v>79.010000000000005</v>
      </c>
    </row>
    <row r="12" spans="1:16">
      <c r="A12" s="361" t="s">
        <v>1</v>
      </c>
      <c r="B12" s="210" t="s">
        <v>196</v>
      </c>
      <c r="C12" s="362">
        <v>72.900000000000006</v>
      </c>
      <c r="D12" s="363">
        <v>74</v>
      </c>
      <c r="E12" s="364">
        <v>75.5</v>
      </c>
      <c r="F12" s="362">
        <v>75.5</v>
      </c>
      <c r="G12" s="362">
        <v>76.2</v>
      </c>
      <c r="H12" s="362">
        <v>76.97</v>
      </c>
      <c r="I12" s="362">
        <v>77.8</v>
      </c>
      <c r="J12" s="362">
        <v>78.61</v>
      </c>
      <c r="K12" s="362">
        <v>79.599999999999994</v>
      </c>
      <c r="L12" s="362">
        <v>81</v>
      </c>
      <c r="M12" s="362">
        <v>81.06</v>
      </c>
      <c r="N12" s="362">
        <v>81.61</v>
      </c>
      <c r="O12" s="362">
        <v>82</v>
      </c>
      <c r="P12" s="362">
        <v>82.55</v>
      </c>
    </row>
    <row r="13" spans="1:16">
      <c r="A13" s="365" t="s">
        <v>146</v>
      </c>
      <c r="B13" s="366" t="s">
        <v>196</v>
      </c>
      <c r="C13" s="362">
        <v>54.2</v>
      </c>
      <c r="D13" s="363">
        <v>56</v>
      </c>
      <c r="E13" s="364">
        <v>57.3</v>
      </c>
      <c r="F13" s="362">
        <v>58.5</v>
      </c>
      <c r="G13" s="362">
        <v>60.4</v>
      </c>
      <c r="H13" s="362">
        <v>61.97</v>
      </c>
      <c r="I13" s="362">
        <v>62.94</v>
      </c>
      <c r="J13" s="362">
        <v>63.8</v>
      </c>
      <c r="K13" s="362">
        <v>64.599999999999994</v>
      </c>
      <c r="L13" s="362">
        <v>66</v>
      </c>
      <c r="M13" s="362">
        <v>67.099999999999994</v>
      </c>
      <c r="N13" s="362">
        <v>68.11</v>
      </c>
      <c r="O13" s="362">
        <v>69.099999999999994</v>
      </c>
      <c r="P13" s="362">
        <v>70.02</v>
      </c>
    </row>
    <row r="14" spans="1:16">
      <c r="A14" s="81" t="s">
        <v>165</v>
      </c>
      <c r="B14" s="81"/>
      <c r="C14" s="81"/>
      <c r="D14" s="81"/>
      <c r="E14" s="81"/>
      <c r="F14" s="81"/>
      <c r="G14" s="81"/>
      <c r="H14" s="81"/>
      <c r="I14" s="81"/>
      <c r="J14" s="81"/>
      <c r="K14" s="81"/>
      <c r="L14" s="81"/>
      <c r="M14" s="152"/>
    </row>
    <row r="15" spans="1:16">
      <c r="A15" s="82" t="s">
        <v>161</v>
      </c>
      <c r="B15" s="82"/>
      <c r="C15" s="82"/>
      <c r="D15" s="82"/>
      <c r="E15" s="82"/>
      <c r="F15" s="82"/>
      <c r="G15" s="82"/>
      <c r="H15" s="82"/>
      <c r="I15" s="82"/>
      <c r="J15" s="82"/>
      <c r="K15" s="82"/>
      <c r="L15" s="82"/>
      <c r="M15" s="82"/>
      <c r="N15" s="82"/>
      <c r="O15" s="339"/>
      <c r="P15" s="339"/>
    </row>
    <row r="16" spans="1:16">
      <c r="A16" s="78" t="s">
        <v>203</v>
      </c>
      <c r="B16" s="78"/>
      <c r="C16" s="78"/>
      <c r="D16" s="78"/>
      <c r="E16" s="78"/>
      <c r="F16" s="78"/>
      <c r="G16" s="78"/>
      <c r="H16" s="78"/>
      <c r="I16" s="78"/>
      <c r="J16" s="78"/>
      <c r="K16" s="78"/>
      <c r="L16" s="78"/>
      <c r="M16" s="78"/>
      <c r="O16" s="339"/>
      <c r="P16" s="339"/>
    </row>
    <row r="17" spans="1:16">
      <c r="A17" s="79" t="s">
        <v>189</v>
      </c>
      <c r="B17" s="79"/>
      <c r="C17" s="80"/>
      <c r="D17" s="80"/>
      <c r="E17" s="80"/>
      <c r="F17" s="80"/>
      <c r="G17" s="80"/>
      <c r="H17" s="80"/>
      <c r="I17" s="80"/>
      <c r="J17" s="65"/>
      <c r="K17" s="80"/>
      <c r="L17" s="80"/>
      <c r="M17" s="80"/>
      <c r="O17" s="339"/>
      <c r="P17" s="339"/>
    </row>
    <row r="18" spans="1:16">
      <c r="O18" s="339"/>
      <c r="P18" s="339"/>
    </row>
    <row r="19" spans="1:16">
      <c r="O19" s="339"/>
      <c r="P19" s="339"/>
    </row>
    <row r="20" spans="1:16">
      <c r="O20" s="339"/>
      <c r="P20" s="339"/>
    </row>
    <row r="21" spans="1:16">
      <c r="O21" s="339"/>
      <c r="P21" s="339"/>
    </row>
    <row r="22" spans="1:16">
      <c r="O22" s="339"/>
      <c r="P22" s="339"/>
    </row>
    <row r="23" spans="1:16">
      <c r="O23" s="339"/>
      <c r="P23" s="33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0"/>
  <sheetViews>
    <sheetView showGridLines="0" topLeftCell="A10" zoomScale="80" zoomScaleNormal="80" workbookViewId="0"/>
  </sheetViews>
  <sheetFormatPr baseColWidth="10" defaultRowHeight="12.75"/>
  <cols>
    <col min="1" max="1" width="60.5703125" style="13" customWidth="1"/>
    <col min="2" max="2" width="19.42578125" style="13" customWidth="1"/>
    <col min="3" max="3" width="12.7109375" style="13" customWidth="1"/>
    <col min="4" max="4" width="11.42578125" style="13"/>
    <col min="5" max="5" width="14.7109375" style="13" customWidth="1"/>
    <col min="6" max="6" width="11.42578125" style="13"/>
    <col min="7" max="7" width="12.42578125" style="13" customWidth="1"/>
    <col min="8" max="8" width="11.42578125" style="13"/>
    <col min="9" max="9" width="14.7109375" style="13" customWidth="1"/>
    <col min="10" max="10" width="16.5703125" style="13" customWidth="1"/>
    <col min="11" max="12" width="12.7109375" style="13" customWidth="1"/>
    <col min="13" max="13" width="14.7109375" style="13" customWidth="1"/>
    <col min="14" max="16384" width="11.42578125" style="13"/>
  </cols>
  <sheetData>
    <row r="1" spans="1:14">
      <c r="A1" s="41" t="s">
        <v>205</v>
      </c>
      <c r="B1" s="179"/>
      <c r="C1" s="179"/>
      <c r="D1" s="179"/>
      <c r="E1" s="179"/>
      <c r="F1" s="179"/>
      <c r="G1" s="179"/>
      <c r="H1" s="179"/>
      <c r="I1" s="179"/>
      <c r="J1" s="41"/>
      <c r="K1" s="41"/>
      <c r="L1" s="41"/>
      <c r="M1" s="41"/>
      <c r="N1" s="41"/>
    </row>
    <row r="2" spans="1:14">
      <c r="A2" s="41"/>
      <c r="B2" s="179"/>
      <c r="C2" s="179"/>
      <c r="D2" s="179"/>
      <c r="E2" s="179"/>
      <c r="F2" s="179"/>
      <c r="G2" s="179"/>
      <c r="H2" s="179"/>
      <c r="I2" s="179"/>
      <c r="J2" s="41"/>
      <c r="K2" s="41"/>
      <c r="L2" s="41"/>
      <c r="M2" s="41"/>
      <c r="N2" s="41"/>
    </row>
    <row r="3" spans="1:14">
      <c r="A3" s="12"/>
      <c r="B3" s="411" t="s">
        <v>204</v>
      </c>
      <c r="C3" s="412"/>
      <c r="D3" s="412"/>
      <c r="E3" s="413"/>
      <c r="F3" s="414" t="s">
        <v>163</v>
      </c>
      <c r="G3" s="415"/>
      <c r="H3" s="415"/>
      <c r="I3" s="416"/>
      <c r="J3" s="411" t="s">
        <v>206</v>
      </c>
      <c r="K3" s="412"/>
      <c r="L3" s="412"/>
      <c r="M3" s="413"/>
      <c r="N3" s="329"/>
    </row>
    <row r="4" spans="1:14" ht="51">
      <c r="A4" s="285"/>
      <c r="B4" s="276" t="s">
        <v>56</v>
      </c>
      <c r="C4" s="284" t="s">
        <v>48</v>
      </c>
      <c r="D4" s="282" t="s">
        <v>144</v>
      </c>
      <c r="E4" s="282" t="s">
        <v>180</v>
      </c>
      <c r="F4" s="368" t="s">
        <v>56</v>
      </c>
      <c r="G4" s="368" t="s">
        <v>48</v>
      </c>
      <c r="H4" s="369" t="s">
        <v>144</v>
      </c>
      <c r="I4" s="369" t="s">
        <v>180</v>
      </c>
      <c r="J4" s="284" t="s">
        <v>154</v>
      </c>
      <c r="K4" s="282" t="s">
        <v>21</v>
      </c>
      <c r="L4" s="284" t="s">
        <v>2</v>
      </c>
      <c r="M4" s="284" t="s">
        <v>181</v>
      </c>
      <c r="N4" s="330"/>
    </row>
    <row r="5" spans="1:14">
      <c r="A5" s="273" t="s">
        <v>30</v>
      </c>
      <c r="B5" s="391">
        <v>1589.684</v>
      </c>
      <c r="C5" s="289">
        <v>80.003</v>
      </c>
      <c r="D5" s="271">
        <v>5</v>
      </c>
      <c r="E5" s="333">
        <v>69.599999999999994</v>
      </c>
      <c r="F5" s="391">
        <v>1642.462</v>
      </c>
      <c r="G5" s="370">
        <v>75.790000000000006</v>
      </c>
      <c r="H5" s="371">
        <v>4.6144142147580895</v>
      </c>
      <c r="I5" s="372">
        <v>67.95</v>
      </c>
      <c r="J5" s="297">
        <f>(B5-F5)/F5*100</f>
        <v>-3.2133467928025135</v>
      </c>
      <c r="K5" s="298">
        <f>(C5-G5)/G5*100</f>
        <v>5.5587808417997016</v>
      </c>
      <c r="L5" s="297">
        <f>D5-H5</f>
        <v>0.38558578524191045</v>
      </c>
      <c r="M5" s="297">
        <f>E5-I5</f>
        <v>1.6499999999999915</v>
      </c>
      <c r="N5" s="331"/>
    </row>
    <row r="6" spans="1:14">
      <c r="A6" s="299" t="s">
        <v>152</v>
      </c>
      <c r="B6" s="392"/>
      <c r="C6" s="287"/>
      <c r="D6" s="272"/>
      <c r="E6" s="334"/>
      <c r="F6" s="392"/>
      <c r="G6" s="374"/>
      <c r="H6" s="375"/>
      <c r="I6" s="376"/>
      <c r="J6" s="301"/>
      <c r="K6" s="291"/>
      <c r="L6" s="301"/>
      <c r="M6" s="301"/>
      <c r="N6" s="332"/>
    </row>
    <row r="7" spans="1:14">
      <c r="A7" s="302" t="s">
        <v>22</v>
      </c>
      <c r="B7" s="392">
        <v>7.6959999999999997</v>
      </c>
      <c r="C7" s="300">
        <v>0.45200000000000001</v>
      </c>
      <c r="D7" s="247">
        <v>5.9</v>
      </c>
      <c r="E7" s="335">
        <v>48.5</v>
      </c>
      <c r="F7" s="392">
        <v>7.4509999999999996</v>
      </c>
      <c r="G7" s="373">
        <v>0.435</v>
      </c>
      <c r="H7" s="377">
        <v>5.8381425312038653</v>
      </c>
      <c r="I7" s="378">
        <v>44.83</v>
      </c>
      <c r="J7" s="301">
        <f t="shared" ref="J7:J19" si="0">(B7-F7)/F7*100</f>
        <v>3.2881492417125235</v>
      </c>
      <c r="K7" s="291">
        <f t="shared" ref="K7:K19" si="1">(C7-G7)/G7*100</f>
        <v>3.9080459770114975</v>
      </c>
      <c r="L7" s="301">
        <f t="shared" ref="L7:L19" si="2">D7-H7</f>
        <v>6.1857468796135073E-2</v>
      </c>
      <c r="M7" s="301">
        <f t="shared" ref="M7:M17" si="3">E7-I7</f>
        <v>3.6700000000000017</v>
      </c>
      <c r="N7" s="332"/>
    </row>
    <row r="8" spans="1:14">
      <c r="A8" s="302" t="s">
        <v>23</v>
      </c>
      <c r="B8" s="392">
        <v>29.23</v>
      </c>
      <c r="C8" s="300">
        <v>1.5660000000000001</v>
      </c>
      <c r="D8" s="247">
        <v>5.4</v>
      </c>
      <c r="E8" s="335">
        <v>64</v>
      </c>
      <c r="F8" s="392">
        <v>28.527000000000001</v>
      </c>
      <c r="G8" s="373">
        <v>1.4159999999999999</v>
      </c>
      <c r="H8" s="377">
        <v>4.9637185823956251</v>
      </c>
      <c r="I8" s="378">
        <v>62.99</v>
      </c>
      <c r="J8" s="301">
        <f t="shared" si="0"/>
        <v>2.46433203631647</v>
      </c>
      <c r="K8" s="291">
        <f t="shared" si="1"/>
        <v>10.593220338983061</v>
      </c>
      <c r="L8" s="301">
        <f t="shared" si="2"/>
        <v>0.43628141760437522</v>
      </c>
      <c r="M8" s="301">
        <f t="shared" si="3"/>
        <v>1.009999999999998</v>
      </c>
      <c r="N8" s="332"/>
    </row>
    <row r="9" spans="1:14">
      <c r="A9" s="302" t="s">
        <v>24</v>
      </c>
      <c r="B9" s="392">
        <v>126.458</v>
      </c>
      <c r="C9" s="300">
        <v>8.26</v>
      </c>
      <c r="D9" s="247">
        <v>6.5</v>
      </c>
      <c r="E9" s="335">
        <v>58.7</v>
      </c>
      <c r="F9" s="392">
        <v>125.977</v>
      </c>
      <c r="G9" s="373">
        <v>8.9350000000000005</v>
      </c>
      <c r="H9" s="377">
        <v>7.0925645157449377</v>
      </c>
      <c r="I9" s="378">
        <v>56.61</v>
      </c>
      <c r="J9" s="301">
        <f t="shared" si="0"/>
        <v>0.38181572826785409</v>
      </c>
      <c r="K9" s="291">
        <f t="shared" si="1"/>
        <v>-7.5545607162842821</v>
      </c>
      <c r="L9" s="301">
        <f t="shared" si="2"/>
        <v>-0.59256451574493774</v>
      </c>
      <c r="M9" s="301">
        <f t="shared" si="3"/>
        <v>2.0900000000000034</v>
      </c>
      <c r="N9" s="332"/>
    </row>
    <row r="10" spans="1:14">
      <c r="A10" s="302" t="s">
        <v>25</v>
      </c>
      <c r="B10" s="392">
        <v>9.2370000000000001</v>
      </c>
      <c r="C10" s="300">
        <v>0.48599999999999999</v>
      </c>
      <c r="D10" s="247">
        <v>5.3</v>
      </c>
      <c r="E10" s="335">
        <v>66.5</v>
      </c>
      <c r="F10" s="392">
        <v>9.2040000000000006</v>
      </c>
      <c r="G10" s="373">
        <v>0.46100000000000002</v>
      </c>
      <c r="H10" s="377">
        <v>5.0086918730986527</v>
      </c>
      <c r="I10" s="378">
        <v>65.290000000000006</v>
      </c>
      <c r="J10" s="301">
        <f t="shared" si="0"/>
        <v>0.35853976531942061</v>
      </c>
      <c r="K10" s="291">
        <f t="shared" si="1"/>
        <v>5.4229934924078016</v>
      </c>
      <c r="L10" s="301">
        <f t="shared" si="2"/>
        <v>0.29130812690134711</v>
      </c>
      <c r="M10" s="301">
        <f t="shared" si="3"/>
        <v>1.2099999999999937</v>
      </c>
      <c r="N10" s="332"/>
    </row>
    <row r="11" spans="1:14">
      <c r="A11" s="302" t="s">
        <v>26</v>
      </c>
      <c r="B11" s="392">
        <v>58.82</v>
      </c>
      <c r="C11" s="300">
        <v>4.3540000000000001</v>
      </c>
      <c r="D11" s="247">
        <v>7.4</v>
      </c>
      <c r="E11" s="335">
        <v>44.3</v>
      </c>
      <c r="F11" s="392">
        <v>57.563000000000002</v>
      </c>
      <c r="G11" s="373">
        <v>4.0549999999999997</v>
      </c>
      <c r="H11" s="377">
        <v>7.0444556399075795</v>
      </c>
      <c r="I11" s="378">
        <v>43.8</v>
      </c>
      <c r="J11" s="301">
        <f t="shared" si="0"/>
        <v>2.1836943870194361</v>
      </c>
      <c r="K11" s="291">
        <f t="shared" si="1"/>
        <v>7.3736128236744856</v>
      </c>
      <c r="L11" s="301">
        <f t="shared" si="2"/>
        <v>0.35554436009242085</v>
      </c>
      <c r="M11" s="301">
        <f t="shared" si="3"/>
        <v>0.5</v>
      </c>
      <c r="N11" s="332"/>
    </row>
    <row r="12" spans="1:14">
      <c r="A12" s="303" t="s">
        <v>141</v>
      </c>
      <c r="B12" s="392">
        <v>44.124000000000002</v>
      </c>
      <c r="C12" s="300">
        <v>3.1459999999999999</v>
      </c>
      <c r="D12" s="247">
        <v>7.1</v>
      </c>
      <c r="E12" s="335">
        <v>42.1</v>
      </c>
      <c r="F12" s="392">
        <v>43.896999999999998</v>
      </c>
      <c r="G12" s="373">
        <v>3.0110000000000001</v>
      </c>
      <c r="H12" s="377">
        <v>6.8592386723466303</v>
      </c>
      <c r="I12" s="378">
        <v>39.61</v>
      </c>
      <c r="J12" s="301">
        <f t="shared" si="0"/>
        <v>0.51711962093082409</v>
      </c>
      <c r="K12" s="291">
        <f t="shared" si="1"/>
        <v>4.4835602789770768</v>
      </c>
      <c r="L12" s="301">
        <f t="shared" si="2"/>
        <v>0.24076132765336933</v>
      </c>
      <c r="M12" s="301">
        <f t="shared" si="3"/>
        <v>2.490000000000002</v>
      </c>
      <c r="N12" s="332"/>
    </row>
    <row r="13" spans="1:14">
      <c r="A13" s="304" t="s">
        <v>142</v>
      </c>
      <c r="B13" s="393">
        <v>33.722000000000001</v>
      </c>
      <c r="C13" s="305">
        <v>2.552</v>
      </c>
      <c r="D13" s="281">
        <v>7.6</v>
      </c>
      <c r="E13" s="336">
        <v>45.1</v>
      </c>
      <c r="F13" s="393">
        <v>33.503999999999998</v>
      </c>
      <c r="G13" s="379">
        <v>2.4359999999999999</v>
      </c>
      <c r="H13" s="380">
        <v>7.2707736389684818</v>
      </c>
      <c r="I13" s="381">
        <v>42.49</v>
      </c>
      <c r="J13" s="301">
        <f t="shared" si="0"/>
        <v>0.65066857688635249</v>
      </c>
      <c r="K13" s="291">
        <f t="shared" si="1"/>
        <v>4.7619047619047663</v>
      </c>
      <c r="L13" s="301">
        <f t="shared" si="2"/>
        <v>0.32922636103151781</v>
      </c>
      <c r="M13" s="301">
        <f t="shared" si="3"/>
        <v>2.6099999999999994</v>
      </c>
      <c r="N13" s="332"/>
    </row>
    <row r="14" spans="1:14">
      <c r="A14" s="304" t="s">
        <v>143</v>
      </c>
      <c r="B14" s="393">
        <v>10.401999999999999</v>
      </c>
      <c r="C14" s="305">
        <v>0.59399999999999997</v>
      </c>
      <c r="D14" s="281">
        <v>5.7</v>
      </c>
      <c r="E14" s="336">
        <v>29</v>
      </c>
      <c r="F14" s="393">
        <v>10.393000000000001</v>
      </c>
      <c r="G14" s="379">
        <v>0.57099999999999995</v>
      </c>
      <c r="H14" s="380">
        <v>5.532569999037813</v>
      </c>
      <c r="I14" s="381">
        <v>27.32</v>
      </c>
      <c r="J14" s="301">
        <f t="shared" si="0"/>
        <v>8.6596747811012842E-2</v>
      </c>
      <c r="K14" s="291">
        <f t="shared" si="1"/>
        <v>4.0280210157618255</v>
      </c>
      <c r="L14" s="301">
        <f t="shared" si="2"/>
        <v>0.16743000096218719</v>
      </c>
      <c r="M14" s="301">
        <f t="shared" si="3"/>
        <v>1.6799999999999997</v>
      </c>
      <c r="N14" s="332"/>
    </row>
    <row r="15" spans="1:14" ht="24" customHeight="1">
      <c r="A15" s="302" t="s">
        <v>42</v>
      </c>
      <c r="B15" s="392">
        <v>1011.694</v>
      </c>
      <c r="C15" s="300">
        <v>47.499000000000002</v>
      </c>
      <c r="D15" s="283">
        <v>4.7</v>
      </c>
      <c r="E15" s="337">
        <v>80.2</v>
      </c>
      <c r="F15" s="392">
        <v>1069.088</v>
      </c>
      <c r="G15" s="373">
        <v>43.73</v>
      </c>
      <c r="H15" s="382">
        <v>4.0904022868089438</v>
      </c>
      <c r="I15" s="383">
        <v>79.13</v>
      </c>
      <c r="J15" s="301">
        <f t="shared" si="0"/>
        <v>-5.3685010027238178</v>
      </c>
      <c r="K15" s="291">
        <f t="shared" si="1"/>
        <v>8.6187971644180319</v>
      </c>
      <c r="L15" s="301">
        <f t="shared" si="2"/>
        <v>0.60959771319105638</v>
      </c>
      <c r="M15" s="301">
        <f t="shared" si="3"/>
        <v>1.0700000000000074</v>
      </c>
      <c r="N15" s="332"/>
    </row>
    <row r="16" spans="1:14">
      <c r="A16" s="302" t="s">
        <v>27</v>
      </c>
      <c r="B16" s="392">
        <v>196.30799999999999</v>
      </c>
      <c r="C16" s="300">
        <v>7.54</v>
      </c>
      <c r="D16" s="247">
        <v>3.8</v>
      </c>
      <c r="E16" s="335">
        <v>47.5</v>
      </c>
      <c r="F16" s="392">
        <v>196.27600000000001</v>
      </c>
      <c r="G16" s="373">
        <v>7.3730000000000002</v>
      </c>
      <c r="H16" s="377">
        <v>3.7564450060119423</v>
      </c>
      <c r="I16" s="378">
        <v>48.43</v>
      </c>
      <c r="J16" s="301">
        <f t="shared" si="0"/>
        <v>1.6303572520319481E-2</v>
      </c>
      <c r="K16" s="291">
        <f t="shared" si="1"/>
        <v>2.2650210226502079</v>
      </c>
      <c r="L16" s="301">
        <f t="shared" si="2"/>
        <v>4.3554993988057511E-2</v>
      </c>
      <c r="M16" s="301">
        <f t="shared" si="3"/>
        <v>-0.92999999999999972</v>
      </c>
      <c r="N16" s="332"/>
    </row>
    <row r="17" spans="1:15">
      <c r="A17" s="302" t="s">
        <v>28</v>
      </c>
      <c r="B17" s="392">
        <v>90.497</v>
      </c>
      <c r="C17" s="300">
        <v>5.66</v>
      </c>
      <c r="D17" s="247">
        <v>6.3</v>
      </c>
      <c r="E17" s="335">
        <v>63.6</v>
      </c>
      <c r="F17" s="392">
        <v>88.727999999999994</v>
      </c>
      <c r="G17" s="373">
        <v>5.4560000000000004</v>
      </c>
      <c r="H17" s="377">
        <v>6.1491299251645488</v>
      </c>
      <c r="I17" s="378">
        <v>59.77</v>
      </c>
      <c r="J17" s="301">
        <f t="shared" si="0"/>
        <v>1.9937336579208431</v>
      </c>
      <c r="K17" s="291">
        <f t="shared" si="1"/>
        <v>3.7390029325513141</v>
      </c>
      <c r="L17" s="301">
        <f t="shared" si="2"/>
        <v>0.15087007483545101</v>
      </c>
      <c r="M17" s="301">
        <f t="shared" si="3"/>
        <v>3.8299999999999983</v>
      </c>
      <c r="N17" s="332"/>
    </row>
    <row r="18" spans="1:15">
      <c r="A18" s="302" t="s">
        <v>153</v>
      </c>
      <c r="B18" s="392">
        <v>12.355</v>
      </c>
      <c r="C18" s="300">
        <v>0.89600000000000002</v>
      </c>
      <c r="D18" s="247">
        <v>7.3</v>
      </c>
      <c r="E18" s="335">
        <v>74.599999999999994</v>
      </c>
      <c r="F18" s="392">
        <v>12.475</v>
      </c>
      <c r="G18" s="373">
        <v>0.77900000000000003</v>
      </c>
      <c r="H18" s="377">
        <v>6.2444889779559123</v>
      </c>
      <c r="I18" s="378">
        <v>73.680000000000007</v>
      </c>
      <c r="J18" s="301">
        <f t="shared" si="0"/>
        <v>-0.96192384769538453</v>
      </c>
      <c r="K18" s="291">
        <f t="shared" si="1"/>
        <v>15.019255455712448</v>
      </c>
      <c r="L18" s="301">
        <f t="shared" si="2"/>
        <v>1.0555110220440875</v>
      </c>
      <c r="M18" s="301">
        <f>E18-I18</f>
        <v>0.91999999999998749</v>
      </c>
      <c r="N18" s="332"/>
    </row>
    <row r="19" spans="1:15">
      <c r="A19" s="286" t="s">
        <v>29</v>
      </c>
      <c r="B19" s="394">
        <v>2.8839999999999999</v>
      </c>
      <c r="C19" s="288">
        <v>0.13300000000000001</v>
      </c>
      <c r="D19" s="306">
        <v>4.5999999999999996</v>
      </c>
      <c r="E19" s="338">
        <v>45.9</v>
      </c>
      <c r="F19" s="394">
        <v>2.9060000000000001</v>
      </c>
      <c r="G19" s="384">
        <v>0.128</v>
      </c>
      <c r="H19" s="385">
        <v>4.4046799724707499</v>
      </c>
      <c r="I19" s="386">
        <v>50.78</v>
      </c>
      <c r="J19" s="290">
        <f t="shared" si="0"/>
        <v>-0.75705437026841849</v>
      </c>
      <c r="K19" s="292">
        <f t="shared" si="1"/>
        <v>3.9062500000000036</v>
      </c>
      <c r="L19" s="290">
        <f t="shared" si="2"/>
        <v>0.19532002752924971</v>
      </c>
      <c r="M19" s="290">
        <f>E19-I19</f>
        <v>-4.8800000000000026</v>
      </c>
      <c r="N19" s="332"/>
    </row>
    <row r="20" spans="1:15">
      <c r="A20" s="98" t="s">
        <v>185</v>
      </c>
      <c r="B20" s="180"/>
      <c r="C20" s="180"/>
      <c r="D20" s="180"/>
      <c r="E20" s="180"/>
      <c r="F20" s="180"/>
      <c r="G20" s="180"/>
      <c r="H20" s="180"/>
      <c r="I20" s="180"/>
      <c r="J20" s="101"/>
      <c r="O20" s="181"/>
    </row>
    <row r="21" spans="1:15">
      <c r="A21" s="82" t="s">
        <v>190</v>
      </c>
      <c r="B21" s="78"/>
      <c r="C21" s="78"/>
      <c r="D21" s="78"/>
      <c r="E21" s="78"/>
      <c r="F21" s="78"/>
      <c r="G21" s="78"/>
      <c r="H21" s="78"/>
      <c r="I21" s="78"/>
      <c r="J21" s="78"/>
      <c r="O21" s="181"/>
    </row>
    <row r="22" spans="1:15" s="61" customFormat="1">
      <c r="A22" s="82" t="s">
        <v>207</v>
      </c>
      <c r="B22" s="78"/>
      <c r="C22" s="78"/>
      <c r="D22" s="78"/>
      <c r="E22" s="78"/>
      <c r="F22" s="78"/>
      <c r="G22" s="78"/>
      <c r="H22" s="78"/>
      <c r="I22" s="78"/>
      <c r="J22" s="78"/>
      <c r="K22" s="13"/>
      <c r="L22" s="13"/>
      <c r="M22" s="13"/>
      <c r="N22" s="13"/>
    </row>
    <row r="23" spans="1:15" s="61" customFormat="1">
      <c r="A23" s="61" t="s">
        <v>186</v>
      </c>
    </row>
    <row r="24" spans="1:15">
      <c r="A24" s="409" t="s">
        <v>191</v>
      </c>
      <c r="B24" s="409"/>
      <c r="C24" s="409"/>
      <c r="D24" s="409"/>
      <c r="E24" s="409"/>
      <c r="F24" s="409"/>
      <c r="G24" s="409"/>
      <c r="H24" s="409"/>
      <c r="I24" s="409"/>
      <c r="J24" s="409"/>
      <c r="K24" s="409"/>
      <c r="L24" s="409"/>
      <c r="M24" s="409"/>
      <c r="N24" s="307"/>
      <c r="O24" s="181"/>
    </row>
    <row r="25" spans="1:15" ht="27.75" customHeight="1">
      <c r="A25" s="410" t="s">
        <v>192</v>
      </c>
      <c r="B25" s="410"/>
      <c r="C25" s="410"/>
      <c r="D25" s="410"/>
      <c r="E25" s="410"/>
      <c r="F25" s="410"/>
      <c r="G25" s="410"/>
      <c r="H25" s="410"/>
      <c r="I25" s="410"/>
      <c r="J25" s="410"/>
      <c r="K25" s="410"/>
      <c r="L25" s="410"/>
      <c r="M25" s="410"/>
      <c r="N25" s="308"/>
      <c r="O25" s="181"/>
    </row>
    <row r="26" spans="1:15" ht="38.25" customHeight="1">
      <c r="A26" s="409"/>
      <c r="B26" s="409"/>
      <c r="C26" s="409"/>
      <c r="D26" s="409"/>
      <c r="E26" s="409"/>
      <c r="F26" s="409"/>
      <c r="G26" s="409"/>
      <c r="H26" s="409"/>
      <c r="I26" s="409"/>
      <c r="J26" s="409"/>
      <c r="K26" s="409"/>
      <c r="L26" s="409"/>
      <c r="M26" s="409"/>
      <c r="N26" s="307"/>
      <c r="O26" s="181"/>
    </row>
    <row r="27" spans="1:15">
      <c r="A27" s="102"/>
      <c r="B27" s="102"/>
      <c r="C27" s="102"/>
      <c r="D27" s="102"/>
      <c r="E27" s="102"/>
      <c r="F27" s="102"/>
      <c r="G27" s="102"/>
      <c r="H27" s="102"/>
      <c r="I27" s="102"/>
      <c r="J27" s="102"/>
      <c r="K27" s="102"/>
      <c r="L27" s="102"/>
      <c r="M27" s="102"/>
      <c r="N27" s="102"/>
      <c r="O27" s="181"/>
    </row>
    <row r="28" spans="1:15">
      <c r="A28" s="83"/>
      <c r="B28" s="83"/>
      <c r="C28" s="83"/>
      <c r="D28" s="83"/>
      <c r="E28" s="83"/>
      <c r="F28" s="83"/>
      <c r="G28" s="83"/>
      <c r="H28" s="83"/>
      <c r="I28" s="83"/>
      <c r="J28" s="83"/>
      <c r="K28" s="83"/>
      <c r="L28" s="83"/>
      <c r="M28" s="83"/>
      <c r="N28" s="83"/>
      <c r="O28" s="181"/>
    </row>
    <row r="29" spans="1:15">
      <c r="O29" s="181"/>
    </row>
    <row r="30" spans="1:15">
      <c r="O30" s="181"/>
    </row>
  </sheetData>
  <mergeCells count="6">
    <mergeCell ref="A26:M26"/>
    <mergeCell ref="A25:M25"/>
    <mergeCell ref="J3:M3"/>
    <mergeCell ref="A24:M24"/>
    <mergeCell ref="B3:E3"/>
    <mergeCell ref="F3:I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9"/>
  <sheetViews>
    <sheetView showGridLines="0" zoomScale="86" zoomScaleNormal="86" workbookViewId="0"/>
  </sheetViews>
  <sheetFormatPr baseColWidth="10" defaultRowHeight="15"/>
  <cols>
    <col min="1" max="1" width="38.85546875" customWidth="1"/>
    <col min="2" max="2" width="9.85546875" customWidth="1"/>
    <col min="3" max="5" width="12.42578125" customWidth="1"/>
    <col min="6" max="6" width="13.28515625" customWidth="1"/>
    <col min="7" max="7" width="13.42578125" customWidth="1"/>
    <col min="8" max="8" width="12.42578125" customWidth="1"/>
  </cols>
  <sheetData>
    <row r="1" spans="1:8">
      <c r="A1" s="64" t="s">
        <v>210</v>
      </c>
      <c r="B1" s="64"/>
      <c r="C1" s="64"/>
      <c r="D1" s="64"/>
      <c r="E1" s="64"/>
      <c r="F1" s="64"/>
      <c r="G1" s="64"/>
      <c r="H1" s="64"/>
    </row>
    <row r="2" spans="1:8">
      <c r="A2" s="65" t="s">
        <v>60</v>
      </c>
      <c r="B2" s="83"/>
      <c r="C2" s="83"/>
      <c r="D2" s="83"/>
      <c r="E2" s="83"/>
      <c r="F2" s="83"/>
      <c r="G2" s="83"/>
      <c r="H2" s="83"/>
    </row>
    <row r="3" spans="1:8" ht="15" customHeight="1">
      <c r="A3" s="11"/>
      <c r="B3" s="417" t="s">
        <v>7</v>
      </c>
      <c r="C3" s="418"/>
      <c r="D3" s="419"/>
      <c r="E3" s="423" t="s">
        <v>8</v>
      </c>
      <c r="F3" s="420" t="s">
        <v>9</v>
      </c>
      <c r="G3" s="420" t="s">
        <v>10</v>
      </c>
      <c r="H3" s="420" t="s">
        <v>11</v>
      </c>
    </row>
    <row r="4" spans="1:8" ht="26.25" customHeight="1">
      <c r="A4" s="11"/>
      <c r="B4" s="20" t="s">
        <v>12</v>
      </c>
      <c r="C4" s="20" t="s">
        <v>13</v>
      </c>
      <c r="D4" s="20" t="s">
        <v>14</v>
      </c>
      <c r="E4" s="424"/>
      <c r="F4" s="422"/>
      <c r="G4" s="422"/>
      <c r="H4" s="421"/>
    </row>
    <row r="5" spans="1:8">
      <c r="A5" s="1" t="s">
        <v>3</v>
      </c>
      <c r="B5" s="278">
        <v>51.9</v>
      </c>
      <c r="C5" s="278">
        <v>20</v>
      </c>
      <c r="D5" s="278">
        <v>18</v>
      </c>
      <c r="E5" s="103">
        <v>9.4</v>
      </c>
      <c r="F5" s="103">
        <v>0.2</v>
      </c>
      <c r="G5" s="103">
        <v>0.5</v>
      </c>
      <c r="H5" s="103">
        <v>100</v>
      </c>
    </row>
    <row r="6" spans="1:8">
      <c r="A6" s="2" t="s">
        <v>151</v>
      </c>
      <c r="B6" s="277">
        <v>30.6</v>
      </c>
      <c r="C6" s="277">
        <v>32.200000000000003</v>
      </c>
      <c r="D6" s="277">
        <v>16.8</v>
      </c>
      <c r="E6" s="104">
        <v>18.3</v>
      </c>
      <c r="F6" s="104">
        <v>0.9</v>
      </c>
      <c r="G6" s="104">
        <v>1.2</v>
      </c>
      <c r="H6" s="104">
        <v>100</v>
      </c>
    </row>
    <row r="7" spans="1:8" s="396" customFormat="1">
      <c r="A7" s="4" t="s">
        <v>150</v>
      </c>
      <c r="B7" s="395">
        <v>46.3</v>
      </c>
      <c r="C7" s="395">
        <v>23.2</v>
      </c>
      <c r="D7" s="395">
        <v>17.7</v>
      </c>
      <c r="E7" s="105">
        <v>11.7</v>
      </c>
      <c r="F7" s="105">
        <v>0.4</v>
      </c>
      <c r="G7" s="105">
        <v>0.7</v>
      </c>
      <c r="H7" s="105">
        <v>100</v>
      </c>
    </row>
    <row r="8" spans="1:8" s="388" customFormat="1">
      <c r="A8" s="387" t="s">
        <v>160</v>
      </c>
      <c r="B8" s="279">
        <v>22.7</v>
      </c>
      <c r="C8" s="279">
        <v>38.1</v>
      </c>
      <c r="D8" s="279">
        <v>26.5</v>
      </c>
      <c r="E8" s="280">
        <v>10.7</v>
      </c>
      <c r="F8" s="280">
        <v>0.7</v>
      </c>
      <c r="G8" s="280">
        <v>1.3</v>
      </c>
      <c r="H8" s="280">
        <v>100</v>
      </c>
    </row>
    <row r="9" spans="1:8">
      <c r="A9" s="5" t="s">
        <v>4</v>
      </c>
      <c r="B9" s="277">
        <v>6.5</v>
      </c>
      <c r="C9" s="103">
        <v>9.5</v>
      </c>
      <c r="D9" s="103">
        <v>74.400000000000006</v>
      </c>
      <c r="E9" s="103">
        <v>8.6</v>
      </c>
      <c r="F9" s="103">
        <v>1</v>
      </c>
      <c r="G9" s="103">
        <v>0</v>
      </c>
      <c r="H9" s="103">
        <v>100</v>
      </c>
    </row>
    <row r="10" spans="1:8">
      <c r="A10" s="6" t="s">
        <v>5</v>
      </c>
      <c r="B10" s="277">
        <v>6.9</v>
      </c>
      <c r="C10" s="104">
        <v>12.9</v>
      </c>
      <c r="D10" s="104">
        <v>67.400000000000006</v>
      </c>
      <c r="E10" s="104">
        <v>11.7</v>
      </c>
      <c r="F10" s="104">
        <v>1</v>
      </c>
      <c r="G10" s="104">
        <v>0</v>
      </c>
      <c r="H10" s="104">
        <v>100</v>
      </c>
    </row>
    <row r="11" spans="1:8" ht="18" customHeight="1">
      <c r="A11" s="7" t="s">
        <v>15</v>
      </c>
      <c r="B11" s="105">
        <v>6.6</v>
      </c>
      <c r="C11" s="105">
        <v>10.4</v>
      </c>
      <c r="D11" s="105">
        <v>72.599999999999994</v>
      </c>
      <c r="E11" s="105">
        <v>9.4</v>
      </c>
      <c r="F11" s="105">
        <v>1</v>
      </c>
      <c r="G11" s="105">
        <v>0</v>
      </c>
      <c r="H11" s="105">
        <v>100</v>
      </c>
    </row>
    <row r="12" spans="1:8">
      <c r="A12" s="8" t="s">
        <v>6</v>
      </c>
      <c r="B12" s="103">
        <v>21.2</v>
      </c>
      <c r="C12" s="103">
        <v>37</v>
      </c>
      <c r="D12" s="103">
        <v>33.700000000000003</v>
      </c>
      <c r="E12" s="103">
        <v>8</v>
      </c>
      <c r="F12" s="103">
        <v>0.2</v>
      </c>
      <c r="G12" s="103">
        <v>0</v>
      </c>
      <c r="H12" s="103">
        <v>100</v>
      </c>
    </row>
    <row r="13" spans="1:8">
      <c r="A13" s="9" t="s">
        <v>16</v>
      </c>
      <c r="B13" s="104">
        <v>9</v>
      </c>
      <c r="C13" s="104">
        <v>28.9</v>
      </c>
      <c r="D13" s="104">
        <v>38.6</v>
      </c>
      <c r="E13" s="104">
        <v>22.3</v>
      </c>
      <c r="F13" s="104">
        <v>1.2</v>
      </c>
      <c r="G13" s="104">
        <v>0</v>
      </c>
      <c r="H13" s="104">
        <v>100</v>
      </c>
    </row>
    <row r="14" spans="1:8">
      <c r="A14" s="10" t="s">
        <v>17</v>
      </c>
      <c r="B14" s="105">
        <v>19.8</v>
      </c>
      <c r="C14" s="105">
        <v>36</v>
      </c>
      <c r="D14" s="105">
        <v>34.299999999999997</v>
      </c>
      <c r="E14" s="105">
        <v>9.6999999999999993</v>
      </c>
      <c r="F14" s="105">
        <v>0.3</v>
      </c>
      <c r="G14" s="105">
        <v>0</v>
      </c>
      <c r="H14" s="105">
        <v>100</v>
      </c>
    </row>
    <row r="15" spans="1:8">
      <c r="A15" s="3" t="s">
        <v>32</v>
      </c>
      <c r="B15" s="106">
        <v>23.4</v>
      </c>
      <c r="C15" s="106">
        <v>20.3</v>
      </c>
      <c r="D15" s="106">
        <v>45.2</v>
      </c>
      <c r="E15" s="106">
        <v>10.3</v>
      </c>
      <c r="F15" s="106">
        <v>0.6</v>
      </c>
      <c r="G15" s="106">
        <v>0.2</v>
      </c>
      <c r="H15" s="106">
        <v>100</v>
      </c>
    </row>
    <row r="16" spans="1:8">
      <c r="A16" s="98" t="s">
        <v>185</v>
      </c>
      <c r="B16" s="107"/>
      <c r="C16" s="107"/>
      <c r="D16" s="107"/>
      <c r="E16" s="107"/>
      <c r="F16" s="107"/>
      <c r="G16" s="108"/>
      <c r="H16" s="107"/>
    </row>
    <row r="17" spans="1:8">
      <c r="A17" s="82" t="s">
        <v>188</v>
      </c>
      <c r="B17" s="65"/>
      <c r="C17" s="65"/>
      <c r="D17" s="65"/>
      <c r="E17" s="65"/>
      <c r="F17" s="65"/>
      <c r="G17" s="109"/>
      <c r="H17" s="65"/>
    </row>
    <row r="18" spans="1:8">
      <c r="A18" s="110" t="s">
        <v>209</v>
      </c>
      <c r="B18" s="110"/>
      <c r="C18" s="110"/>
      <c r="D18" s="110"/>
      <c r="E18" s="110"/>
      <c r="F18" s="110"/>
      <c r="G18" s="110"/>
      <c r="H18" s="110"/>
    </row>
    <row r="19" spans="1:8" ht="16.5" customHeight="1">
      <c r="A19" s="409"/>
      <c r="B19" s="409"/>
      <c r="C19" s="409"/>
      <c r="D19" s="409"/>
      <c r="E19" s="409"/>
      <c r="F19" s="409"/>
      <c r="G19" s="409"/>
      <c r="H19" s="409"/>
    </row>
    <row r="20" spans="1:8">
      <c r="A20" s="111"/>
      <c r="B20" s="111"/>
      <c r="C20" s="111"/>
      <c r="D20" s="111"/>
      <c r="E20" s="111"/>
      <c r="F20" s="111"/>
      <c r="G20" s="111"/>
      <c r="H20" s="111"/>
    </row>
    <row r="21" spans="1:8" s="153" customFormat="1">
      <c r="H21" s="177"/>
    </row>
    <row r="22" spans="1:8" s="153" customFormat="1">
      <c r="H22" s="177"/>
    </row>
    <row r="23" spans="1:8" s="153" customFormat="1">
      <c r="H23" s="177"/>
    </row>
    <row r="24" spans="1:8" s="153" customFormat="1">
      <c r="H24" s="177"/>
    </row>
    <row r="25" spans="1:8" s="153" customFormat="1">
      <c r="H25" s="177"/>
    </row>
    <row r="26" spans="1:8" s="153" customFormat="1">
      <c r="H26" s="177"/>
    </row>
    <row r="27" spans="1:8" s="153" customFormat="1">
      <c r="H27" s="177"/>
    </row>
    <row r="28" spans="1:8" s="153" customFormat="1">
      <c r="H28" s="177"/>
    </row>
    <row r="29" spans="1:8" s="153" customFormat="1">
      <c r="H29" s="177"/>
    </row>
    <row r="30" spans="1:8" s="153" customFormat="1">
      <c r="H30" s="177"/>
    </row>
    <row r="31" spans="1:8" s="153" customFormat="1">
      <c r="H31" s="177"/>
    </row>
    <row r="32" spans="1:8" s="153" customFormat="1">
      <c r="H32" s="177"/>
    </row>
    <row r="33" spans="8:8" s="153" customFormat="1">
      <c r="H33" s="177"/>
    </row>
    <row r="34" spans="8:8" s="153" customFormat="1">
      <c r="H34" s="177"/>
    </row>
    <row r="35" spans="8:8" s="153" customFormat="1">
      <c r="H35" s="177"/>
    </row>
    <row r="36" spans="8:8" s="153" customFormat="1">
      <c r="H36" s="177"/>
    </row>
    <row r="37" spans="8:8" s="153" customFormat="1">
      <c r="H37" s="177"/>
    </row>
    <row r="38" spans="8:8" s="153" customFormat="1">
      <c r="H38" s="177"/>
    </row>
    <row r="39" spans="8:8" s="153" customFormat="1">
      <c r="H39" s="177"/>
    </row>
    <row r="40" spans="8:8" s="153" customFormat="1">
      <c r="H40" s="177"/>
    </row>
    <row r="41" spans="8:8" s="153" customFormat="1">
      <c r="H41" s="177"/>
    </row>
    <row r="42" spans="8:8" s="153" customFormat="1">
      <c r="H42" s="177"/>
    </row>
    <row r="43" spans="8:8" s="153" customFormat="1">
      <c r="H43" s="177"/>
    </row>
    <row r="44" spans="8:8" s="153" customFormat="1">
      <c r="H44" s="177"/>
    </row>
    <row r="45" spans="8:8" s="153" customFormat="1">
      <c r="H45" s="177"/>
    </row>
    <row r="46" spans="8:8" s="153" customFormat="1">
      <c r="H46" s="177"/>
    </row>
    <row r="47" spans="8:8" s="153" customFormat="1">
      <c r="H47" s="177"/>
    </row>
    <row r="48" spans="8:8" s="153" customFormat="1">
      <c r="H48" s="177"/>
    </row>
    <row r="49" spans="8:8" s="153" customFormat="1">
      <c r="H49" s="177"/>
    </row>
    <row r="50" spans="8:8" s="153" customFormat="1">
      <c r="H50" s="177"/>
    </row>
    <row r="51" spans="8:8" s="153" customFormat="1">
      <c r="H51" s="177"/>
    </row>
    <row r="52" spans="8:8" s="153" customFormat="1">
      <c r="H52" s="177"/>
    </row>
    <row r="53" spans="8:8" s="153" customFormat="1">
      <c r="H53" s="177"/>
    </row>
    <row r="54" spans="8:8" s="153" customFormat="1">
      <c r="H54" s="177"/>
    </row>
    <row r="55" spans="8:8" s="153" customFormat="1">
      <c r="H55" s="177"/>
    </row>
    <row r="56" spans="8:8" s="153" customFormat="1">
      <c r="H56" s="177"/>
    </row>
    <row r="57" spans="8:8" s="153" customFormat="1">
      <c r="H57" s="177"/>
    </row>
    <row r="58" spans="8:8" s="153" customFormat="1">
      <c r="H58" s="177"/>
    </row>
    <row r="59" spans="8:8" s="153" customFormat="1">
      <c r="H59" s="177"/>
    </row>
    <row r="60" spans="8:8" s="153" customFormat="1">
      <c r="H60" s="177"/>
    </row>
    <row r="61" spans="8:8" s="153" customFormat="1">
      <c r="H61" s="177"/>
    </row>
    <row r="62" spans="8:8" s="153" customFormat="1">
      <c r="H62" s="177"/>
    </row>
    <row r="63" spans="8:8" s="153" customFormat="1">
      <c r="H63" s="177"/>
    </row>
    <row r="64" spans="8:8" s="153" customFormat="1">
      <c r="H64" s="177"/>
    </row>
    <row r="65" spans="8:8" s="153" customFormat="1">
      <c r="H65" s="177"/>
    </row>
    <row r="66" spans="8:8" s="153" customFormat="1">
      <c r="H66" s="177"/>
    </row>
    <row r="67" spans="8:8" s="153" customFormat="1">
      <c r="H67" s="177"/>
    </row>
    <row r="68" spans="8:8" s="153" customFormat="1">
      <c r="H68" s="177"/>
    </row>
    <row r="69" spans="8:8" s="153" customFormat="1">
      <c r="H69" s="177"/>
    </row>
    <row r="70" spans="8:8" s="153" customFormat="1">
      <c r="H70" s="177"/>
    </row>
    <row r="71" spans="8:8" s="153" customFormat="1">
      <c r="H71" s="177"/>
    </row>
    <row r="72" spans="8:8" s="153" customFormat="1">
      <c r="H72" s="177"/>
    </row>
    <row r="73" spans="8:8" s="153" customFormat="1">
      <c r="H73" s="177"/>
    </row>
    <row r="74" spans="8:8" s="153" customFormat="1">
      <c r="H74" s="177"/>
    </row>
    <row r="75" spans="8:8" s="153" customFormat="1">
      <c r="H75" s="177"/>
    </row>
    <row r="76" spans="8:8" s="153" customFormat="1">
      <c r="H76" s="177"/>
    </row>
    <row r="77" spans="8:8" s="153" customFormat="1">
      <c r="H77" s="177"/>
    </row>
    <row r="78" spans="8:8" s="153" customFormat="1">
      <c r="H78" s="177"/>
    </row>
    <row r="79" spans="8:8" s="153" customFormat="1">
      <c r="H79" s="177"/>
    </row>
    <row r="80" spans="8:8" s="153" customFormat="1">
      <c r="H80" s="177"/>
    </row>
    <row r="81" spans="8:8" s="153" customFormat="1">
      <c r="H81" s="177"/>
    </row>
    <row r="82" spans="8:8" s="153" customFormat="1">
      <c r="H82" s="177"/>
    </row>
    <row r="83" spans="8:8" s="153" customFormat="1">
      <c r="H83" s="177"/>
    </row>
    <row r="84" spans="8:8" s="153" customFormat="1">
      <c r="H84" s="177"/>
    </row>
    <row r="85" spans="8:8" s="153" customFormat="1">
      <c r="H85" s="177"/>
    </row>
    <row r="86" spans="8:8" s="153" customFormat="1">
      <c r="H86" s="177"/>
    </row>
    <row r="87" spans="8:8" s="153" customFormat="1">
      <c r="H87" s="177"/>
    </row>
    <row r="88" spans="8:8" s="153" customFormat="1">
      <c r="H88" s="177"/>
    </row>
    <row r="89" spans="8:8" s="153" customFormat="1">
      <c r="H89" s="177"/>
    </row>
    <row r="90" spans="8:8" s="153" customFormat="1">
      <c r="H90" s="177"/>
    </row>
    <row r="91" spans="8:8" s="153" customFormat="1">
      <c r="H91" s="177"/>
    </row>
    <row r="92" spans="8:8" s="153" customFormat="1">
      <c r="H92" s="177"/>
    </row>
    <row r="93" spans="8:8" s="153" customFormat="1">
      <c r="H93" s="177"/>
    </row>
    <row r="94" spans="8:8" s="153" customFormat="1">
      <c r="H94" s="177"/>
    </row>
    <row r="95" spans="8:8" s="153" customFormat="1">
      <c r="H95" s="177"/>
    </row>
    <row r="96" spans="8:8" s="153" customFormat="1">
      <c r="H96" s="177"/>
    </row>
    <row r="97" spans="1:8" s="153" customFormat="1">
      <c r="H97" s="177"/>
    </row>
    <row r="98" spans="1:8" s="153" customFormat="1">
      <c r="H98" s="177"/>
    </row>
    <row r="99" spans="1:8" s="153" customFormat="1">
      <c r="H99" s="177"/>
    </row>
    <row r="100" spans="1:8" s="153" customFormat="1">
      <c r="H100" s="177"/>
    </row>
    <row r="101" spans="1:8" s="153" customFormat="1">
      <c r="H101" s="177"/>
    </row>
    <row r="102" spans="1:8" s="153" customFormat="1">
      <c r="H102" s="177"/>
    </row>
    <row r="103" spans="1:8" s="153" customFormat="1">
      <c r="H103" s="177"/>
    </row>
    <row r="104" spans="1:8" s="153" customFormat="1">
      <c r="H104" s="177"/>
    </row>
    <row r="105" spans="1:8" s="153" customFormat="1">
      <c r="H105" s="177"/>
    </row>
    <row r="106" spans="1:8" s="153" customFormat="1">
      <c r="H106" s="177"/>
    </row>
    <row r="107" spans="1:8" s="153" customFormat="1">
      <c r="H107" s="177"/>
    </row>
    <row r="108" spans="1:8" s="153" customFormat="1">
      <c r="H108" s="177"/>
    </row>
    <row r="110" spans="1:8" ht="15.75">
      <c r="A110" s="425" t="s">
        <v>105</v>
      </c>
      <c r="B110" s="426"/>
      <c r="C110" s="426"/>
      <c r="D110" s="426"/>
      <c r="E110" s="426"/>
      <c r="F110" s="426"/>
      <c r="G110" s="426"/>
      <c r="H110" s="426"/>
    </row>
    <row r="111" spans="1:8">
      <c r="A111" s="153"/>
      <c r="B111" s="153"/>
      <c r="C111" s="153"/>
      <c r="D111" s="153"/>
      <c r="E111" s="153"/>
      <c r="F111" s="153"/>
      <c r="G111" s="153"/>
      <c r="H111" s="153"/>
    </row>
    <row r="112" spans="1:8" ht="15.75">
      <c r="A112" s="155" t="s">
        <v>106</v>
      </c>
      <c r="B112" s="427" t="s">
        <v>107</v>
      </c>
      <c r="C112" s="427"/>
      <c r="D112" s="427" t="s">
        <v>108</v>
      </c>
      <c r="E112" s="427"/>
      <c r="F112" s="427" t="s">
        <v>109</v>
      </c>
      <c r="G112" s="427"/>
      <c r="H112" s="389" t="s">
        <v>110</v>
      </c>
    </row>
    <row r="113" spans="1:8" ht="15.75">
      <c r="A113" s="155" t="s">
        <v>106</v>
      </c>
      <c r="B113" s="156" t="s">
        <v>112</v>
      </c>
      <c r="C113" s="156" t="s">
        <v>113</v>
      </c>
      <c r="D113" s="156" t="s">
        <v>112</v>
      </c>
      <c r="E113" s="156" t="s">
        <v>113</v>
      </c>
      <c r="F113" s="156" t="s">
        <v>112</v>
      </c>
      <c r="G113" s="156" t="s">
        <v>113</v>
      </c>
      <c r="H113" s="156" t="s">
        <v>112</v>
      </c>
    </row>
    <row r="114" spans="1:8">
      <c r="A114" s="153"/>
      <c r="B114" s="153"/>
      <c r="C114" s="153"/>
      <c r="D114" s="153"/>
      <c r="E114" s="153"/>
      <c r="F114" s="153"/>
      <c r="G114" s="153"/>
      <c r="H114" s="153"/>
    </row>
    <row r="115" spans="1:8" ht="15.75">
      <c r="A115" s="165" t="s">
        <v>69</v>
      </c>
      <c r="B115" s="164"/>
      <c r="C115" s="164"/>
      <c r="D115" s="164">
        <v>1</v>
      </c>
      <c r="E115" s="164"/>
      <c r="F115" s="164"/>
      <c r="G115" s="164"/>
      <c r="H115" s="164"/>
    </row>
    <row r="116" spans="1:8" ht="15.75">
      <c r="A116" s="165" t="s">
        <v>114</v>
      </c>
      <c r="B116" s="159">
        <v>26</v>
      </c>
      <c r="C116" s="159">
        <v>79</v>
      </c>
      <c r="D116" s="159">
        <v>59</v>
      </c>
      <c r="E116" s="159">
        <v>296</v>
      </c>
      <c r="F116" s="159">
        <v>53</v>
      </c>
      <c r="G116" s="159">
        <v>30</v>
      </c>
      <c r="H116" s="159">
        <v>1</v>
      </c>
    </row>
    <row r="117" spans="1:8" ht="15.75">
      <c r="A117" s="165" t="s">
        <v>115</v>
      </c>
      <c r="B117" s="159"/>
      <c r="C117" s="159"/>
      <c r="D117" s="159"/>
      <c r="E117" s="159"/>
      <c r="F117" s="159"/>
      <c r="G117" s="159"/>
      <c r="H117" s="159"/>
    </row>
    <row r="118" spans="1:8" ht="15.75">
      <c r="A118" s="165" t="s">
        <v>116</v>
      </c>
      <c r="B118" s="159"/>
      <c r="C118" s="160"/>
      <c r="D118" s="159"/>
      <c r="E118" s="159"/>
      <c r="F118" s="159"/>
      <c r="G118" s="159"/>
      <c r="H118" s="159"/>
    </row>
    <row r="119" spans="1:8" ht="15.75">
      <c r="A119" s="165" t="s">
        <v>67</v>
      </c>
      <c r="B119" s="159">
        <v>270</v>
      </c>
      <c r="C119" s="159">
        <v>230</v>
      </c>
      <c r="D119" s="159">
        <v>296</v>
      </c>
      <c r="E119" s="159">
        <v>203</v>
      </c>
      <c r="F119" s="159">
        <v>172</v>
      </c>
      <c r="G119" s="159">
        <v>46</v>
      </c>
      <c r="H119" s="159"/>
    </row>
    <row r="120" spans="1:8" ht="15.75">
      <c r="A120" s="165" t="s">
        <v>62</v>
      </c>
      <c r="B120" s="159">
        <v>869</v>
      </c>
      <c r="C120" s="159">
        <v>886</v>
      </c>
      <c r="D120" s="159">
        <v>1762</v>
      </c>
      <c r="E120" s="159">
        <v>1862</v>
      </c>
      <c r="F120" s="159">
        <v>2148</v>
      </c>
      <c r="G120" s="159">
        <v>1798</v>
      </c>
      <c r="H120" s="159"/>
    </row>
    <row r="121" spans="1:8" ht="15.75">
      <c r="A121" s="165" t="s">
        <v>70</v>
      </c>
      <c r="B121" s="159">
        <v>20732</v>
      </c>
      <c r="C121" s="159">
        <v>6097</v>
      </c>
      <c r="D121" s="159">
        <v>1190</v>
      </c>
      <c r="E121" s="159">
        <v>451</v>
      </c>
      <c r="F121" s="159">
        <v>2231</v>
      </c>
      <c r="G121" s="159">
        <v>667</v>
      </c>
      <c r="H121" s="159"/>
    </row>
    <row r="122" spans="1:8" ht="15.75">
      <c r="A122" s="165" t="s">
        <v>68</v>
      </c>
      <c r="B122" s="159">
        <v>143</v>
      </c>
      <c r="C122" s="159">
        <v>119</v>
      </c>
      <c r="D122" s="159">
        <v>958</v>
      </c>
      <c r="E122" s="159">
        <v>2757</v>
      </c>
      <c r="F122" s="159">
        <v>1815</v>
      </c>
      <c r="G122" s="159">
        <v>818</v>
      </c>
      <c r="H122" s="159">
        <v>5</v>
      </c>
    </row>
    <row r="123" spans="1:8" ht="15.75">
      <c r="A123" s="165" t="s">
        <v>63</v>
      </c>
      <c r="B123" s="159">
        <v>53</v>
      </c>
      <c r="C123" s="159">
        <v>26</v>
      </c>
      <c r="D123" s="159">
        <v>81</v>
      </c>
      <c r="E123" s="159">
        <v>56</v>
      </c>
      <c r="F123" s="159">
        <v>113</v>
      </c>
      <c r="G123" s="159">
        <v>89</v>
      </c>
      <c r="H123" s="159"/>
    </row>
    <row r="124" spans="1:8" ht="15.75">
      <c r="A124" s="165" t="s">
        <v>64</v>
      </c>
      <c r="B124" s="159">
        <v>493</v>
      </c>
      <c r="C124" s="159">
        <v>283</v>
      </c>
      <c r="D124" s="159">
        <v>831</v>
      </c>
      <c r="E124" s="159">
        <v>313</v>
      </c>
      <c r="F124" s="159">
        <v>1393</v>
      </c>
      <c r="G124" s="159">
        <v>1461</v>
      </c>
      <c r="H124" s="159"/>
    </row>
    <row r="125" spans="1:8" ht="15.75">
      <c r="A125" s="165" t="s">
        <v>61</v>
      </c>
      <c r="B125" s="159">
        <v>43</v>
      </c>
      <c r="C125" s="159">
        <v>27</v>
      </c>
      <c r="D125" s="159">
        <v>64</v>
      </c>
      <c r="E125" s="159">
        <v>38</v>
      </c>
      <c r="F125" s="159">
        <v>112</v>
      </c>
      <c r="G125" s="159">
        <v>63</v>
      </c>
      <c r="H125" s="159"/>
    </row>
    <row r="126" spans="1:8" ht="15.75">
      <c r="A126" s="165" t="s">
        <v>72</v>
      </c>
      <c r="B126" s="159">
        <v>77</v>
      </c>
      <c r="C126" s="159">
        <v>140</v>
      </c>
      <c r="D126" s="159">
        <v>277</v>
      </c>
      <c r="E126" s="159">
        <v>707</v>
      </c>
      <c r="F126" s="159">
        <v>1117</v>
      </c>
      <c r="G126" s="159">
        <v>1043</v>
      </c>
      <c r="H126" s="159">
        <v>79</v>
      </c>
    </row>
    <row r="127" spans="1:8" ht="15.75">
      <c r="A127" s="165" t="s">
        <v>66</v>
      </c>
      <c r="B127" s="159">
        <v>158</v>
      </c>
      <c r="C127" s="159">
        <v>59</v>
      </c>
      <c r="D127" s="159">
        <v>205</v>
      </c>
      <c r="E127" s="159">
        <v>63</v>
      </c>
      <c r="F127" s="159">
        <v>302</v>
      </c>
      <c r="G127" s="159">
        <v>102</v>
      </c>
      <c r="H127" s="159"/>
    </row>
    <row r="128" spans="1:8" ht="15.75">
      <c r="A128" s="165" t="s">
        <v>65</v>
      </c>
      <c r="B128" s="159">
        <v>7</v>
      </c>
      <c r="C128" s="159">
        <v>12</v>
      </c>
      <c r="D128" s="159">
        <v>14</v>
      </c>
      <c r="E128" s="159">
        <v>5</v>
      </c>
      <c r="F128" s="159">
        <v>21</v>
      </c>
      <c r="G128" s="159">
        <v>20</v>
      </c>
      <c r="H128" s="159"/>
    </row>
    <row r="129" spans="1:8" ht="15.75">
      <c r="A129" s="165" t="s">
        <v>71</v>
      </c>
      <c r="B129" s="159">
        <v>104</v>
      </c>
      <c r="C129" s="159">
        <v>124</v>
      </c>
      <c r="D129" s="159">
        <v>400</v>
      </c>
      <c r="E129" s="159">
        <v>566</v>
      </c>
      <c r="F129" s="159">
        <v>506</v>
      </c>
      <c r="G129" s="159">
        <v>957</v>
      </c>
      <c r="H129" s="159">
        <v>2</v>
      </c>
    </row>
    <row r="130" spans="1:8" ht="15.75">
      <c r="A130" s="167" t="s">
        <v>73</v>
      </c>
      <c r="B130" s="166">
        <v>22975</v>
      </c>
      <c r="C130" s="166">
        <v>8082</v>
      </c>
      <c r="D130" s="166">
        <v>6138</v>
      </c>
      <c r="E130" s="166">
        <v>7317</v>
      </c>
      <c r="F130" s="166">
        <v>9983</v>
      </c>
      <c r="G130" s="166">
        <v>7094</v>
      </c>
      <c r="H130" s="166">
        <v>87</v>
      </c>
    </row>
    <row r="131" spans="1:8" ht="15.75">
      <c r="A131" s="165" t="s">
        <v>74</v>
      </c>
      <c r="B131" s="159">
        <v>25</v>
      </c>
      <c r="C131" s="159">
        <v>21</v>
      </c>
      <c r="D131" s="159">
        <v>83</v>
      </c>
      <c r="E131" s="159">
        <v>39</v>
      </c>
      <c r="F131" s="159">
        <v>81</v>
      </c>
      <c r="G131" s="159">
        <v>25</v>
      </c>
      <c r="H131" s="159"/>
    </row>
    <row r="132" spans="1:8" ht="15.75">
      <c r="A132" s="165" t="s">
        <v>117</v>
      </c>
      <c r="B132" s="159">
        <v>1</v>
      </c>
      <c r="C132" s="159">
        <v>1</v>
      </c>
      <c r="D132" s="159">
        <v>24</v>
      </c>
      <c r="E132" s="159">
        <v>23</v>
      </c>
      <c r="F132" s="159">
        <v>43</v>
      </c>
      <c r="G132" s="159">
        <v>31</v>
      </c>
      <c r="H132" s="159"/>
    </row>
    <row r="133" spans="1:8" ht="15.75">
      <c r="A133" s="165" t="s">
        <v>75</v>
      </c>
      <c r="B133" s="159">
        <v>441</v>
      </c>
      <c r="C133" s="159">
        <v>470</v>
      </c>
      <c r="D133" s="159">
        <v>223</v>
      </c>
      <c r="E133" s="159">
        <v>104</v>
      </c>
      <c r="F133" s="159">
        <v>22</v>
      </c>
      <c r="G133" s="159">
        <v>19</v>
      </c>
      <c r="H133" s="159"/>
    </row>
    <row r="134" spans="1:8" ht="15.75">
      <c r="A134" s="165" t="s">
        <v>118</v>
      </c>
      <c r="B134" s="159">
        <v>8</v>
      </c>
      <c r="C134" s="159">
        <v>5</v>
      </c>
      <c r="D134" s="159">
        <v>4</v>
      </c>
      <c r="E134" s="159">
        <v>2</v>
      </c>
      <c r="F134" s="159">
        <v>7</v>
      </c>
      <c r="G134" s="159">
        <v>3</v>
      </c>
      <c r="H134" s="159"/>
    </row>
    <row r="135" spans="1:8" ht="15.75">
      <c r="A135" s="165" t="s">
        <v>81</v>
      </c>
      <c r="B135" s="159">
        <v>120</v>
      </c>
      <c r="C135" s="159">
        <v>90</v>
      </c>
      <c r="D135" s="159">
        <v>149</v>
      </c>
      <c r="E135" s="159">
        <v>112</v>
      </c>
      <c r="F135" s="159">
        <v>49</v>
      </c>
      <c r="G135" s="159">
        <v>47</v>
      </c>
      <c r="H135" s="159"/>
    </row>
    <row r="136" spans="1:8" ht="15.75">
      <c r="A136" s="165" t="s">
        <v>119</v>
      </c>
      <c r="B136" s="159"/>
      <c r="C136" s="159"/>
      <c r="D136" s="159"/>
      <c r="E136" s="159"/>
      <c r="F136" s="159"/>
      <c r="G136" s="159"/>
      <c r="H136" s="159"/>
    </row>
    <row r="137" spans="1:8" ht="15.75">
      <c r="A137" s="165" t="s">
        <v>76</v>
      </c>
      <c r="B137" s="159">
        <v>21</v>
      </c>
      <c r="C137" s="159">
        <v>16</v>
      </c>
      <c r="D137" s="159">
        <v>33</v>
      </c>
      <c r="E137" s="159">
        <v>8</v>
      </c>
      <c r="F137" s="159">
        <v>2</v>
      </c>
      <c r="G137" s="159"/>
      <c r="H137" s="159"/>
    </row>
    <row r="138" spans="1:8" ht="15.75">
      <c r="A138" s="165" t="s">
        <v>120</v>
      </c>
      <c r="B138" s="159"/>
      <c r="C138" s="159"/>
      <c r="D138" s="159">
        <v>9</v>
      </c>
      <c r="E138" s="159">
        <v>15</v>
      </c>
      <c r="F138" s="159">
        <v>6</v>
      </c>
      <c r="G138" s="159">
        <v>18</v>
      </c>
      <c r="H138" s="159"/>
    </row>
    <row r="139" spans="1:8" ht="15.75">
      <c r="A139" s="165" t="s">
        <v>121</v>
      </c>
      <c r="B139" s="159">
        <v>6</v>
      </c>
      <c r="C139" s="159">
        <v>1</v>
      </c>
      <c r="D139" s="159">
        <v>10</v>
      </c>
      <c r="E139" s="159"/>
      <c r="F139" s="159">
        <v>5</v>
      </c>
      <c r="G139" s="159">
        <v>2</v>
      </c>
      <c r="H139" s="159"/>
    </row>
    <row r="140" spans="1:8" ht="15.75">
      <c r="A140" s="165" t="s">
        <v>78</v>
      </c>
      <c r="B140" s="159">
        <v>28</v>
      </c>
      <c r="C140" s="159">
        <v>33</v>
      </c>
      <c r="D140" s="159">
        <v>22</v>
      </c>
      <c r="E140" s="159">
        <v>6</v>
      </c>
      <c r="F140" s="159">
        <v>1</v>
      </c>
      <c r="G140" s="159">
        <v>0</v>
      </c>
      <c r="H140" s="159">
        <v>0</v>
      </c>
    </row>
    <row r="141" spans="1:8" ht="15.75">
      <c r="A141" s="165" t="s">
        <v>77</v>
      </c>
      <c r="B141" s="159">
        <v>98</v>
      </c>
      <c r="C141" s="159">
        <v>60</v>
      </c>
      <c r="D141" s="159">
        <v>94</v>
      </c>
      <c r="E141" s="159">
        <v>48</v>
      </c>
      <c r="F141" s="159">
        <v>11</v>
      </c>
      <c r="G141" s="159">
        <v>12</v>
      </c>
      <c r="H141" s="159">
        <v>0</v>
      </c>
    </row>
    <row r="142" spans="1:8" ht="15.75">
      <c r="A142" s="165" t="s">
        <v>80</v>
      </c>
      <c r="B142" s="159">
        <v>8</v>
      </c>
      <c r="C142" s="159">
        <v>45</v>
      </c>
      <c r="D142" s="159">
        <v>14</v>
      </c>
      <c r="E142" s="159">
        <v>128</v>
      </c>
      <c r="F142" s="159">
        <v>13</v>
      </c>
      <c r="G142" s="159">
        <v>10</v>
      </c>
      <c r="H142" s="159">
        <v>2</v>
      </c>
    </row>
    <row r="143" spans="1:8" ht="15.75">
      <c r="A143" s="165" t="s">
        <v>122</v>
      </c>
      <c r="B143" s="159">
        <v>0</v>
      </c>
      <c r="C143" s="159">
        <v>0</v>
      </c>
      <c r="D143" s="159">
        <v>3</v>
      </c>
      <c r="E143" s="159">
        <v>6</v>
      </c>
      <c r="F143" s="159">
        <v>4</v>
      </c>
      <c r="G143" s="159">
        <v>1</v>
      </c>
      <c r="H143" s="159">
        <v>0</v>
      </c>
    </row>
    <row r="144" spans="1:8" ht="15.75">
      <c r="A144" s="165" t="s">
        <v>123</v>
      </c>
      <c r="B144" s="159">
        <v>2</v>
      </c>
      <c r="C144" s="159">
        <v>3</v>
      </c>
      <c r="D144" s="159">
        <v>6</v>
      </c>
      <c r="E144" s="159">
        <v>4</v>
      </c>
      <c r="F144" s="159">
        <v>14</v>
      </c>
      <c r="G144" s="159">
        <v>17</v>
      </c>
      <c r="H144" s="159">
        <v>0</v>
      </c>
    </row>
    <row r="145" spans="1:8" ht="15.75">
      <c r="A145" s="169" t="s">
        <v>79</v>
      </c>
      <c r="B145" s="170"/>
      <c r="C145" s="170"/>
      <c r="D145" s="170"/>
      <c r="E145" s="170"/>
      <c r="F145" s="170"/>
      <c r="G145" s="170"/>
      <c r="H145" s="170"/>
    </row>
    <row r="146" spans="1:8" s="174" customFormat="1" ht="15.75">
      <c r="A146" s="172" t="s">
        <v>124</v>
      </c>
      <c r="B146" s="173">
        <v>758</v>
      </c>
      <c r="C146" s="173">
        <v>745</v>
      </c>
      <c r="D146" s="173">
        <v>674</v>
      </c>
      <c r="E146" s="173">
        <v>495</v>
      </c>
      <c r="F146" s="173">
        <v>258</v>
      </c>
      <c r="G146" s="173">
        <v>185</v>
      </c>
      <c r="H146" s="173">
        <v>2</v>
      </c>
    </row>
    <row r="147" spans="1:8" ht="15.75">
      <c r="A147" s="154" t="s">
        <v>84</v>
      </c>
      <c r="B147" s="159">
        <v>11</v>
      </c>
      <c r="C147" s="161">
        <v>10</v>
      </c>
      <c r="D147" s="159">
        <v>3</v>
      </c>
      <c r="E147" s="159">
        <v>6</v>
      </c>
      <c r="F147" s="159">
        <v>3</v>
      </c>
      <c r="G147" s="159">
        <v>2</v>
      </c>
      <c r="H147" s="159"/>
    </row>
    <row r="148" spans="1:8" ht="15.75">
      <c r="A148" s="154" t="s">
        <v>82</v>
      </c>
      <c r="B148" s="159">
        <v>37</v>
      </c>
      <c r="C148" s="159">
        <v>57</v>
      </c>
      <c r="D148" s="159">
        <v>11</v>
      </c>
      <c r="E148" s="159">
        <v>9</v>
      </c>
      <c r="F148" s="159">
        <v>19</v>
      </c>
      <c r="G148" s="159">
        <v>19</v>
      </c>
      <c r="H148" s="159"/>
    </row>
    <row r="149" spans="1:8" s="174" customFormat="1" ht="15.75">
      <c r="A149" s="175" t="s">
        <v>125</v>
      </c>
      <c r="B149" s="176">
        <v>356</v>
      </c>
      <c r="C149" s="176">
        <v>257</v>
      </c>
      <c r="D149" s="176">
        <v>281</v>
      </c>
      <c r="E149" s="176">
        <v>146</v>
      </c>
      <c r="F149" s="176">
        <v>537</v>
      </c>
      <c r="G149" s="176">
        <v>231</v>
      </c>
      <c r="H149" s="176">
        <v>2</v>
      </c>
    </row>
    <row r="150" spans="1:8" s="174" customFormat="1" ht="15.75">
      <c r="A150" s="175" t="s">
        <v>126</v>
      </c>
      <c r="B150" s="176">
        <v>28</v>
      </c>
      <c r="C150" s="176">
        <v>9</v>
      </c>
      <c r="D150" s="176">
        <v>30</v>
      </c>
      <c r="E150" s="176">
        <v>32</v>
      </c>
      <c r="F150" s="176">
        <v>53</v>
      </c>
      <c r="G150" s="176">
        <v>115</v>
      </c>
      <c r="H150" s="176"/>
    </row>
    <row r="151" spans="1:8" ht="15.75">
      <c r="A151" s="154" t="s">
        <v>83</v>
      </c>
      <c r="B151" s="159">
        <v>13</v>
      </c>
      <c r="C151" s="159">
        <v>4</v>
      </c>
      <c r="D151" s="159">
        <v>1</v>
      </c>
      <c r="E151" s="159"/>
      <c r="F151" s="159">
        <v>5</v>
      </c>
      <c r="G151" s="159"/>
      <c r="H151" s="159"/>
    </row>
    <row r="152" spans="1:8" s="174" customFormat="1" ht="15.75">
      <c r="A152" s="175" t="s">
        <v>127</v>
      </c>
      <c r="B152" s="176">
        <v>997</v>
      </c>
      <c r="C152" s="176">
        <v>815</v>
      </c>
      <c r="D152" s="176">
        <v>810</v>
      </c>
      <c r="E152" s="176">
        <v>433</v>
      </c>
      <c r="F152" s="176">
        <v>1959</v>
      </c>
      <c r="G152" s="176">
        <v>991</v>
      </c>
      <c r="H152" s="176">
        <v>168</v>
      </c>
    </row>
    <row r="153" spans="1:8" ht="15.75">
      <c r="A153" s="154" t="s">
        <v>128</v>
      </c>
      <c r="B153" s="159">
        <v>218</v>
      </c>
      <c r="C153" s="159">
        <v>125</v>
      </c>
      <c r="D153" s="159">
        <v>103</v>
      </c>
      <c r="E153" s="159">
        <v>39</v>
      </c>
      <c r="F153" s="159">
        <v>22</v>
      </c>
      <c r="G153" s="159">
        <v>2</v>
      </c>
      <c r="H153" s="159"/>
    </row>
    <row r="154" spans="1:8" ht="15.75">
      <c r="A154" s="154" t="s">
        <v>129</v>
      </c>
      <c r="B154" s="159">
        <v>471</v>
      </c>
      <c r="C154" s="159">
        <v>216</v>
      </c>
      <c r="D154" s="159">
        <v>163</v>
      </c>
      <c r="E154" s="159">
        <v>81</v>
      </c>
      <c r="F154" s="159">
        <v>154</v>
      </c>
      <c r="G154" s="159">
        <v>91</v>
      </c>
      <c r="H154" s="159"/>
    </row>
    <row r="155" spans="1:8" ht="15.75">
      <c r="A155" s="157" t="s">
        <v>130</v>
      </c>
      <c r="B155" s="158">
        <v>2131</v>
      </c>
      <c r="C155" s="158">
        <v>1493</v>
      </c>
      <c r="D155" s="158">
        <v>1402</v>
      </c>
      <c r="E155" s="158">
        <v>746</v>
      </c>
      <c r="F155" s="158">
        <v>2752</v>
      </c>
      <c r="G155" s="158">
        <v>1451</v>
      </c>
      <c r="H155" s="158">
        <v>170</v>
      </c>
    </row>
    <row r="156" spans="1:8" ht="15.75">
      <c r="A156" s="162" t="s">
        <v>85</v>
      </c>
      <c r="B156" s="163">
        <v>25864</v>
      </c>
      <c r="C156" s="163">
        <v>10320</v>
      </c>
      <c r="D156" s="163">
        <v>8214</v>
      </c>
      <c r="E156" s="163">
        <v>8558</v>
      </c>
      <c r="F156" s="163">
        <v>12993</v>
      </c>
      <c r="G156" s="163">
        <v>8730</v>
      </c>
      <c r="H156" s="163">
        <v>259</v>
      </c>
    </row>
    <row r="157" spans="1:8" ht="15.75">
      <c r="A157" s="155"/>
      <c r="B157" s="155"/>
      <c r="C157" s="155"/>
      <c r="D157" s="155"/>
      <c r="E157" s="155"/>
      <c r="F157" s="155"/>
      <c r="G157" s="155"/>
      <c r="H157" s="155"/>
    </row>
    <row r="158" spans="1:8" ht="15.75">
      <c r="A158" s="155"/>
      <c r="B158" s="155"/>
      <c r="C158" s="155"/>
      <c r="D158" s="155"/>
      <c r="E158" s="155"/>
      <c r="F158" s="155"/>
      <c r="G158" s="155"/>
      <c r="H158" s="155"/>
    </row>
    <row r="159" spans="1:8" ht="15.75">
      <c r="A159" s="154" t="s">
        <v>86</v>
      </c>
      <c r="B159" s="164">
        <v>204</v>
      </c>
      <c r="C159" s="164">
        <v>55</v>
      </c>
      <c r="D159" s="164">
        <v>284</v>
      </c>
      <c r="E159" s="164">
        <v>59</v>
      </c>
      <c r="F159" s="164">
        <v>713</v>
      </c>
      <c r="G159" s="164">
        <v>249</v>
      </c>
      <c r="H159" s="164"/>
    </row>
    <row r="160" spans="1:8" ht="15.75">
      <c r="A160" s="154" t="s">
        <v>131</v>
      </c>
      <c r="B160" s="159">
        <v>1</v>
      </c>
      <c r="C160" s="159">
        <v>1</v>
      </c>
      <c r="D160" s="159"/>
      <c r="E160" s="159">
        <v>1</v>
      </c>
      <c r="F160" s="159">
        <v>10</v>
      </c>
      <c r="G160" s="159">
        <v>1</v>
      </c>
      <c r="H160" s="159"/>
    </row>
    <row r="161" spans="1:8" ht="15.75">
      <c r="A161" s="154" t="s">
        <v>132</v>
      </c>
      <c r="B161" s="159">
        <v>9</v>
      </c>
      <c r="C161" s="159">
        <v>5</v>
      </c>
      <c r="D161" s="159">
        <v>10</v>
      </c>
      <c r="E161" s="159">
        <v>1</v>
      </c>
      <c r="F161" s="159">
        <v>31</v>
      </c>
      <c r="G161" s="159">
        <v>21</v>
      </c>
      <c r="H161" s="159"/>
    </row>
    <row r="162" spans="1:8" ht="15.75">
      <c r="A162" s="154" t="s">
        <v>92</v>
      </c>
      <c r="B162" s="159">
        <v>6</v>
      </c>
      <c r="C162" s="159"/>
      <c r="D162" s="159">
        <v>54</v>
      </c>
      <c r="E162" s="159">
        <v>5</v>
      </c>
      <c r="F162" s="159">
        <v>100</v>
      </c>
      <c r="G162" s="159">
        <v>21</v>
      </c>
      <c r="H162" s="159"/>
    </row>
    <row r="163" spans="1:8" ht="15.75">
      <c r="A163" s="154" t="s">
        <v>133</v>
      </c>
      <c r="B163" s="159">
        <v>176</v>
      </c>
      <c r="C163" s="159">
        <v>23</v>
      </c>
      <c r="D163" s="159">
        <v>823</v>
      </c>
      <c r="E163" s="159">
        <v>84</v>
      </c>
      <c r="F163" s="159">
        <v>1857</v>
      </c>
      <c r="G163" s="159">
        <v>392</v>
      </c>
      <c r="H163" s="159"/>
    </row>
    <row r="164" spans="1:8" ht="15.75">
      <c r="A164" s="154" t="s">
        <v>87</v>
      </c>
      <c r="B164" s="159">
        <v>130</v>
      </c>
      <c r="C164" s="159">
        <v>45</v>
      </c>
      <c r="D164" s="159">
        <v>249</v>
      </c>
      <c r="E164" s="159">
        <v>34</v>
      </c>
      <c r="F164" s="159">
        <v>333</v>
      </c>
      <c r="G164" s="159">
        <v>98</v>
      </c>
      <c r="H164" s="159"/>
    </row>
    <row r="165" spans="1:8" ht="15.75">
      <c r="A165" s="154" t="s">
        <v>88</v>
      </c>
      <c r="B165" s="159">
        <v>2828</v>
      </c>
      <c r="C165" s="159">
        <v>397</v>
      </c>
      <c r="D165" s="159">
        <v>6743</v>
      </c>
      <c r="E165" s="159">
        <v>690</v>
      </c>
      <c r="F165" s="159">
        <v>8306</v>
      </c>
      <c r="G165" s="159">
        <v>2364</v>
      </c>
      <c r="H165" s="159"/>
    </row>
    <row r="166" spans="1:8" ht="15.75">
      <c r="A166" s="154" t="s">
        <v>89</v>
      </c>
      <c r="B166" s="159">
        <v>2116</v>
      </c>
      <c r="C166" s="159">
        <v>315</v>
      </c>
      <c r="D166" s="159">
        <v>5243</v>
      </c>
      <c r="E166" s="159">
        <v>822</v>
      </c>
      <c r="F166" s="159">
        <v>3922</v>
      </c>
      <c r="G166" s="159">
        <v>1556</v>
      </c>
      <c r="H166" s="159"/>
    </row>
    <row r="167" spans="1:8" ht="15.75">
      <c r="A167" s="154" t="s">
        <v>90</v>
      </c>
      <c r="B167" s="159">
        <v>685</v>
      </c>
      <c r="C167" s="159">
        <v>203</v>
      </c>
      <c r="D167" s="159">
        <v>722</v>
      </c>
      <c r="E167" s="159">
        <v>161</v>
      </c>
      <c r="F167" s="159">
        <v>1213</v>
      </c>
      <c r="G167" s="159">
        <v>438</v>
      </c>
      <c r="H167" s="159"/>
    </row>
    <row r="168" spans="1:8" ht="15.75">
      <c r="A168" s="154" t="s">
        <v>91</v>
      </c>
      <c r="B168" s="159">
        <v>638</v>
      </c>
      <c r="C168" s="159">
        <v>94</v>
      </c>
      <c r="D168" s="159">
        <v>1689</v>
      </c>
      <c r="E168" s="159">
        <v>173</v>
      </c>
      <c r="F168" s="159">
        <v>2297</v>
      </c>
      <c r="G168" s="159">
        <v>544</v>
      </c>
      <c r="H168" s="159"/>
    </row>
    <row r="169" spans="1:8" ht="15.75">
      <c r="A169" s="162" t="s">
        <v>93</v>
      </c>
      <c r="B169" s="163">
        <v>6793</v>
      </c>
      <c r="C169" s="163">
        <v>1138</v>
      </c>
      <c r="D169" s="163">
        <v>15817</v>
      </c>
      <c r="E169" s="163">
        <v>2030</v>
      </c>
      <c r="F169" s="163">
        <v>18782</v>
      </c>
      <c r="G169" s="163">
        <v>5684</v>
      </c>
      <c r="H169" s="163">
        <v>0</v>
      </c>
    </row>
    <row r="170" spans="1:8" ht="15.75">
      <c r="A170" s="155"/>
      <c r="B170" s="155"/>
      <c r="C170" s="155"/>
      <c r="D170" s="155"/>
      <c r="E170" s="155"/>
      <c r="F170" s="155"/>
      <c r="G170" s="155"/>
      <c r="H170" s="155"/>
    </row>
    <row r="171" spans="1:8" ht="15.75">
      <c r="A171" s="154" t="s">
        <v>103</v>
      </c>
      <c r="B171" s="164">
        <v>22</v>
      </c>
      <c r="C171" s="164">
        <v>15</v>
      </c>
      <c r="D171" s="164">
        <v>18</v>
      </c>
      <c r="E171" s="164">
        <v>8</v>
      </c>
      <c r="F171" s="164">
        <v>49</v>
      </c>
      <c r="G171" s="164">
        <v>7</v>
      </c>
      <c r="H171" s="164"/>
    </row>
    <row r="172" spans="1:8" ht="15.75">
      <c r="A172" s="154" t="s">
        <v>94</v>
      </c>
      <c r="B172" s="159">
        <v>44</v>
      </c>
      <c r="C172" s="159">
        <v>15</v>
      </c>
      <c r="D172" s="159">
        <v>42</v>
      </c>
      <c r="E172" s="159">
        <v>9</v>
      </c>
      <c r="F172" s="159">
        <v>80</v>
      </c>
      <c r="G172" s="159">
        <v>23</v>
      </c>
      <c r="H172" s="159"/>
    </row>
    <row r="173" spans="1:8" ht="15.75">
      <c r="A173" s="154" t="s">
        <v>95</v>
      </c>
      <c r="B173" s="159">
        <v>989</v>
      </c>
      <c r="C173" s="159">
        <v>456</v>
      </c>
      <c r="D173" s="159">
        <v>2026</v>
      </c>
      <c r="E173" s="159">
        <v>1309</v>
      </c>
      <c r="F173" s="159">
        <v>29316</v>
      </c>
      <c r="G173" s="159">
        <v>18482</v>
      </c>
      <c r="H173" s="159"/>
    </row>
    <row r="174" spans="1:8" ht="15.75">
      <c r="A174" s="154" t="s">
        <v>96</v>
      </c>
      <c r="B174" s="159">
        <v>2414</v>
      </c>
      <c r="C174" s="159">
        <v>407</v>
      </c>
      <c r="D174" s="159">
        <v>1915</v>
      </c>
      <c r="E174" s="159">
        <v>692</v>
      </c>
      <c r="F174" s="159">
        <v>8570</v>
      </c>
      <c r="G174" s="159">
        <v>4593</v>
      </c>
      <c r="H174" s="159"/>
    </row>
    <row r="175" spans="1:8" ht="15.75">
      <c r="A175" s="154" t="s">
        <v>134</v>
      </c>
      <c r="B175" s="159">
        <v>479</v>
      </c>
      <c r="C175" s="159">
        <v>190</v>
      </c>
      <c r="D175" s="159">
        <v>620</v>
      </c>
      <c r="E175" s="159">
        <v>373</v>
      </c>
      <c r="F175" s="159">
        <v>6569</v>
      </c>
      <c r="G175" s="159">
        <v>3470</v>
      </c>
      <c r="H175" s="159"/>
    </row>
    <row r="176" spans="1:8" ht="15.75">
      <c r="A176" s="154" t="s">
        <v>97</v>
      </c>
      <c r="B176" s="159">
        <v>41</v>
      </c>
      <c r="C176" s="159">
        <v>12</v>
      </c>
      <c r="D176" s="159">
        <v>52</v>
      </c>
      <c r="E176" s="159">
        <v>16</v>
      </c>
      <c r="F176" s="159">
        <v>138</v>
      </c>
      <c r="G176" s="159">
        <v>124</v>
      </c>
      <c r="H176" s="159"/>
    </row>
    <row r="177" spans="1:8" ht="15.75">
      <c r="A177" s="154" t="s">
        <v>135</v>
      </c>
      <c r="B177" s="159"/>
      <c r="C177" s="159"/>
      <c r="D177" s="159"/>
      <c r="E177" s="159">
        <v>1</v>
      </c>
      <c r="F177" s="159">
        <v>1</v>
      </c>
      <c r="G177" s="159"/>
      <c r="H177" s="159"/>
    </row>
    <row r="178" spans="1:8" ht="15.75">
      <c r="A178" s="154" t="s">
        <v>166</v>
      </c>
      <c r="B178" s="159">
        <v>2</v>
      </c>
      <c r="C178" s="159"/>
      <c r="D178" s="159">
        <v>1</v>
      </c>
      <c r="E178" s="159"/>
      <c r="F178" s="159">
        <v>11</v>
      </c>
      <c r="G178" s="159">
        <v>32</v>
      </c>
      <c r="H178" s="159"/>
    </row>
    <row r="179" spans="1:8" ht="15.75">
      <c r="A179" s="154" t="s">
        <v>98</v>
      </c>
      <c r="B179" s="159">
        <v>50</v>
      </c>
      <c r="C179" s="159">
        <v>95</v>
      </c>
      <c r="D179" s="159">
        <v>58</v>
      </c>
      <c r="E179" s="159">
        <v>251</v>
      </c>
      <c r="F179" s="159">
        <v>332</v>
      </c>
      <c r="G179" s="159">
        <v>1486</v>
      </c>
      <c r="H179" s="159"/>
    </row>
    <row r="180" spans="1:8" ht="15.75">
      <c r="A180" s="154" t="s">
        <v>136</v>
      </c>
      <c r="B180" s="159">
        <v>97</v>
      </c>
      <c r="C180" s="159">
        <v>21</v>
      </c>
      <c r="D180" s="159">
        <v>127</v>
      </c>
      <c r="E180" s="159">
        <v>93</v>
      </c>
      <c r="F180" s="159">
        <v>1212</v>
      </c>
      <c r="G180" s="159">
        <v>756</v>
      </c>
      <c r="H180" s="159"/>
    </row>
    <row r="181" spans="1:8" ht="15.75">
      <c r="A181" s="154" t="s">
        <v>167</v>
      </c>
      <c r="B181" s="159">
        <v>5</v>
      </c>
      <c r="C181" s="159">
        <v>5</v>
      </c>
      <c r="D181" s="159">
        <v>16</v>
      </c>
      <c r="E181" s="159">
        <v>17</v>
      </c>
      <c r="F181" s="159">
        <v>77</v>
      </c>
      <c r="G181" s="159">
        <v>120</v>
      </c>
      <c r="H181" s="159"/>
    </row>
    <row r="182" spans="1:8" ht="15.75">
      <c r="A182" s="154" t="s">
        <v>168</v>
      </c>
      <c r="B182" s="159">
        <v>16</v>
      </c>
      <c r="C182" s="159">
        <v>4</v>
      </c>
      <c r="D182" s="159">
        <v>7</v>
      </c>
      <c r="E182" s="159">
        <v>1</v>
      </c>
      <c r="F182" s="159">
        <v>353</v>
      </c>
      <c r="G182" s="159">
        <v>24</v>
      </c>
      <c r="H182" s="159"/>
    </row>
    <row r="183" spans="1:8" ht="15.75">
      <c r="A183" s="154" t="s">
        <v>137</v>
      </c>
      <c r="B183" s="159">
        <v>1</v>
      </c>
      <c r="C183" s="159"/>
      <c r="D183" s="159">
        <v>3</v>
      </c>
      <c r="E183" s="159">
        <v>1</v>
      </c>
      <c r="F183" s="159">
        <v>8</v>
      </c>
      <c r="G183" s="159">
        <v>6</v>
      </c>
      <c r="H183" s="159"/>
    </row>
    <row r="184" spans="1:8" ht="15.75">
      <c r="A184" s="154" t="s">
        <v>169</v>
      </c>
      <c r="B184" s="159">
        <v>390</v>
      </c>
      <c r="C184" s="159">
        <v>164</v>
      </c>
      <c r="D184" s="159">
        <v>515</v>
      </c>
      <c r="E184" s="159">
        <v>335</v>
      </c>
      <c r="F184" s="159">
        <v>2496</v>
      </c>
      <c r="G184" s="159">
        <v>3040</v>
      </c>
      <c r="H184" s="159"/>
    </row>
    <row r="185" spans="1:8" ht="15.75">
      <c r="A185" s="154" t="s">
        <v>170</v>
      </c>
      <c r="B185" s="159">
        <v>1</v>
      </c>
      <c r="C185" s="159">
        <v>2</v>
      </c>
      <c r="D185" s="159">
        <v>7</v>
      </c>
      <c r="E185" s="159">
        <v>6</v>
      </c>
      <c r="F185" s="159">
        <v>26</v>
      </c>
      <c r="G185" s="159">
        <v>17</v>
      </c>
      <c r="H185" s="159"/>
    </row>
    <row r="186" spans="1:8" ht="15.75">
      <c r="A186" s="154" t="s">
        <v>171</v>
      </c>
      <c r="B186" s="159"/>
      <c r="C186" s="159"/>
      <c r="D186" s="159"/>
      <c r="E186" s="159"/>
      <c r="F186" s="159">
        <v>15</v>
      </c>
      <c r="G186" s="159">
        <v>2</v>
      </c>
      <c r="H186" s="159"/>
    </row>
    <row r="187" spans="1:8" ht="15.75">
      <c r="A187" s="154" t="s">
        <v>172</v>
      </c>
      <c r="B187" s="159">
        <v>11</v>
      </c>
      <c r="C187" s="159"/>
      <c r="D187" s="159">
        <v>10</v>
      </c>
      <c r="E187" s="159">
        <v>3</v>
      </c>
      <c r="F187" s="159">
        <v>248</v>
      </c>
      <c r="G187" s="159">
        <v>43</v>
      </c>
      <c r="H187" s="159"/>
    </row>
    <row r="188" spans="1:8" ht="15.75">
      <c r="A188" s="154" t="s">
        <v>102</v>
      </c>
      <c r="B188" s="159">
        <v>11</v>
      </c>
      <c r="C188" s="159">
        <v>4</v>
      </c>
      <c r="D188" s="159">
        <v>16</v>
      </c>
      <c r="E188" s="159">
        <v>14</v>
      </c>
      <c r="F188" s="159">
        <v>82</v>
      </c>
      <c r="G188" s="159">
        <v>175</v>
      </c>
      <c r="H188" s="159"/>
    </row>
    <row r="189" spans="1:8" ht="15.75">
      <c r="A189" s="154" t="s">
        <v>100</v>
      </c>
      <c r="B189" s="159">
        <v>1</v>
      </c>
      <c r="C189" s="159"/>
      <c r="D189" s="159"/>
      <c r="E189" s="159"/>
      <c r="F189" s="159">
        <v>3</v>
      </c>
      <c r="G189" s="159">
        <v>1</v>
      </c>
      <c r="H189" s="159"/>
    </row>
    <row r="190" spans="1:8" ht="15.75">
      <c r="A190" s="154" t="s">
        <v>138</v>
      </c>
      <c r="B190" s="159"/>
      <c r="C190" s="159"/>
      <c r="D190" s="159">
        <v>1</v>
      </c>
      <c r="E190" s="159"/>
      <c r="F190" s="159">
        <v>25</v>
      </c>
      <c r="G190" s="159">
        <v>7</v>
      </c>
      <c r="H190" s="159"/>
    </row>
    <row r="191" spans="1:8" ht="15.75">
      <c r="A191" s="154" t="s">
        <v>139</v>
      </c>
      <c r="B191" s="159"/>
      <c r="C191" s="159"/>
      <c r="D191" s="159"/>
      <c r="E191" s="159"/>
      <c r="F191" s="159">
        <v>3</v>
      </c>
      <c r="G191" s="159">
        <v>3</v>
      </c>
      <c r="H191" s="159"/>
    </row>
    <row r="192" spans="1:8" ht="15.75">
      <c r="A192" s="154" t="s">
        <v>140</v>
      </c>
      <c r="B192" s="159">
        <v>1</v>
      </c>
      <c r="C192" s="159"/>
      <c r="D192" s="159">
        <v>3</v>
      </c>
      <c r="E192" s="159">
        <v>2</v>
      </c>
      <c r="F192" s="159">
        <v>5</v>
      </c>
      <c r="G192" s="159">
        <v>1</v>
      </c>
      <c r="H192" s="159"/>
    </row>
    <row r="193" spans="1:8" ht="15.75">
      <c r="A193" s="154" t="s">
        <v>101</v>
      </c>
      <c r="B193" s="159"/>
      <c r="C193" s="159"/>
      <c r="D193" s="159">
        <v>2</v>
      </c>
      <c r="E193" s="159"/>
      <c r="F193" s="159"/>
      <c r="G193" s="159">
        <v>1</v>
      </c>
      <c r="H193" s="159"/>
    </row>
    <row r="194" spans="1:8" ht="15.75">
      <c r="A194" s="154" t="s">
        <v>173</v>
      </c>
      <c r="B194" s="159">
        <v>1</v>
      </c>
      <c r="C194" s="159">
        <v>2</v>
      </c>
      <c r="D194" s="159">
        <v>1</v>
      </c>
      <c r="E194" s="159">
        <v>4</v>
      </c>
      <c r="F194" s="159">
        <v>3</v>
      </c>
      <c r="G194" s="159">
        <v>3</v>
      </c>
      <c r="H194" s="159"/>
    </row>
    <row r="195" spans="1:8" ht="15.75">
      <c r="A195" s="154" t="s">
        <v>99</v>
      </c>
      <c r="B195" s="159">
        <v>239</v>
      </c>
      <c r="C195" s="159">
        <v>116</v>
      </c>
      <c r="D195" s="159">
        <v>261</v>
      </c>
      <c r="E195" s="159">
        <v>153</v>
      </c>
      <c r="F195" s="159">
        <v>4068</v>
      </c>
      <c r="G195" s="159">
        <v>2315</v>
      </c>
      <c r="H195" s="159"/>
    </row>
    <row r="196" spans="1:8" ht="15.75">
      <c r="A196" s="162" t="s">
        <v>104</v>
      </c>
      <c r="B196" s="163">
        <v>4815</v>
      </c>
      <c r="C196" s="163">
        <v>1508</v>
      </c>
      <c r="D196" s="163">
        <v>5701</v>
      </c>
      <c r="E196" s="163">
        <v>3288</v>
      </c>
      <c r="F196" s="163">
        <v>53690</v>
      </c>
      <c r="G196" s="163">
        <v>34731</v>
      </c>
      <c r="H196" s="163">
        <v>0</v>
      </c>
    </row>
    <row r="197" spans="1:8" ht="15.75">
      <c r="A197" s="155"/>
      <c r="B197" s="155"/>
      <c r="C197" s="155"/>
      <c r="D197" s="155"/>
      <c r="E197" s="155"/>
      <c r="F197" s="155"/>
      <c r="G197" s="155"/>
      <c r="H197" s="155"/>
    </row>
    <row r="198" spans="1:8">
      <c r="A198" s="153"/>
      <c r="B198" s="153"/>
      <c r="C198" s="153"/>
      <c r="D198" s="153"/>
      <c r="E198" s="153"/>
      <c r="F198" s="153"/>
      <c r="G198" s="153"/>
      <c r="H198" s="153"/>
    </row>
    <row r="199" spans="1:8" ht="15.75">
      <c r="A199" s="171" t="s">
        <v>111</v>
      </c>
      <c r="B199" s="168">
        <v>37472</v>
      </c>
      <c r="C199" s="168">
        <v>12966</v>
      </c>
      <c r="D199" s="168">
        <v>29732</v>
      </c>
      <c r="E199" s="168">
        <v>13876</v>
      </c>
      <c r="F199" s="168">
        <v>85465</v>
      </c>
      <c r="G199" s="168">
        <v>49145</v>
      </c>
      <c r="H199" s="168">
        <v>259</v>
      </c>
    </row>
  </sheetData>
  <mergeCells count="10">
    <mergeCell ref="A19:H19"/>
    <mergeCell ref="A110:H110"/>
    <mergeCell ref="B112:C112"/>
    <mergeCell ref="D112:E112"/>
    <mergeCell ref="F112:G112"/>
    <mergeCell ref="B3:D3"/>
    <mergeCell ref="H3:H4"/>
    <mergeCell ref="G3:G4"/>
    <mergeCell ref="F3:F4"/>
    <mergeCell ref="E3:E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5"/>
  <sheetViews>
    <sheetView zoomScale="85" zoomScaleNormal="85" workbookViewId="0"/>
  </sheetViews>
  <sheetFormatPr baseColWidth="10" defaultRowHeight="12.75"/>
  <cols>
    <col min="1" max="1" width="41.42578125" style="128" customWidth="1"/>
    <col min="2" max="2" width="11.42578125" style="128"/>
    <col min="3" max="9" width="12.42578125" style="128" customWidth="1"/>
    <col min="10" max="16384" width="11.42578125" style="128"/>
  </cols>
  <sheetData>
    <row r="1" spans="1:13" ht="14.25">
      <c r="A1" s="127" t="s">
        <v>57</v>
      </c>
      <c r="B1" s="127"/>
      <c r="C1" s="127"/>
      <c r="D1" s="127"/>
      <c r="E1" s="127"/>
      <c r="F1" s="127"/>
      <c r="G1" s="127"/>
      <c r="H1" s="127"/>
      <c r="I1" s="127"/>
    </row>
    <row r="2" spans="1:13">
      <c r="A2" s="129" t="s">
        <v>59</v>
      </c>
      <c r="B2" s="129"/>
      <c r="C2" s="129"/>
      <c r="D2" s="129"/>
      <c r="E2" s="129"/>
      <c r="F2" s="129"/>
      <c r="G2" s="129"/>
      <c r="H2" s="129"/>
      <c r="I2" s="129"/>
    </row>
    <row r="3" spans="1:13">
      <c r="A3" s="130"/>
      <c r="B3" s="130"/>
      <c r="C3" s="131">
        <v>2014</v>
      </c>
      <c r="D3" s="131">
        <v>2015</v>
      </c>
      <c r="E3" s="132">
        <v>2016</v>
      </c>
      <c r="F3" s="133">
        <v>2017</v>
      </c>
      <c r="G3" s="133">
        <v>2018</v>
      </c>
      <c r="H3" s="134">
        <v>2019</v>
      </c>
      <c r="I3" s="134">
        <v>2020</v>
      </c>
      <c r="J3" s="134">
        <v>2021</v>
      </c>
      <c r="K3" s="134">
        <v>2022</v>
      </c>
      <c r="L3" s="134">
        <v>2023</v>
      </c>
      <c r="M3" s="134">
        <v>2024</v>
      </c>
    </row>
    <row r="4" spans="1:13">
      <c r="A4" s="432" t="s">
        <v>146</v>
      </c>
      <c r="B4" s="39" t="s">
        <v>18</v>
      </c>
      <c r="C4" s="112">
        <v>1.8</v>
      </c>
      <c r="D4" s="112">
        <v>2.2000000000000002</v>
      </c>
      <c r="E4" s="112">
        <v>2.2000000000000002</v>
      </c>
      <c r="F4" s="113">
        <v>2.2999999999999998</v>
      </c>
      <c r="G4" s="112">
        <v>1.8</v>
      </c>
      <c r="H4" s="114">
        <v>1.4</v>
      </c>
      <c r="I4" s="114">
        <v>1</v>
      </c>
      <c r="J4" s="114">
        <v>1</v>
      </c>
      <c r="K4" s="114">
        <v>0.9</v>
      </c>
      <c r="L4" s="114">
        <v>0.8</v>
      </c>
      <c r="M4" s="114">
        <v>0.88600000000000001</v>
      </c>
    </row>
    <row r="5" spans="1:13">
      <c r="A5" s="433"/>
      <c r="B5" s="39" t="s">
        <v>19</v>
      </c>
      <c r="C5" s="114">
        <v>1.7</v>
      </c>
      <c r="D5" s="114">
        <v>2.2000000000000002</v>
      </c>
      <c r="E5" s="114">
        <v>2.2999999999999998</v>
      </c>
      <c r="F5" s="114">
        <v>2.6</v>
      </c>
      <c r="G5" s="114">
        <v>2</v>
      </c>
      <c r="H5" s="114">
        <v>1.4</v>
      </c>
      <c r="I5" s="114">
        <v>1.2</v>
      </c>
      <c r="J5" s="114">
        <v>1.2</v>
      </c>
      <c r="K5" s="114">
        <v>1</v>
      </c>
      <c r="L5" s="114">
        <v>1</v>
      </c>
      <c r="M5" s="114">
        <v>1.0900000000000001</v>
      </c>
    </row>
    <row r="6" spans="1:13">
      <c r="A6" s="434"/>
      <c r="B6" s="40" t="s">
        <v>20</v>
      </c>
      <c r="C6" s="115">
        <v>3.5</v>
      </c>
      <c r="D6" s="115">
        <v>4.4000000000000004</v>
      </c>
      <c r="E6" s="115">
        <v>4.5</v>
      </c>
      <c r="F6" s="115">
        <v>4.9000000000000004</v>
      </c>
      <c r="G6" s="115">
        <v>3.9</v>
      </c>
      <c r="H6" s="116">
        <v>2.8</v>
      </c>
      <c r="I6" s="116">
        <v>2.2000000000000002</v>
      </c>
      <c r="J6" s="116">
        <v>2.2999999999999998</v>
      </c>
      <c r="K6" s="116">
        <v>2</v>
      </c>
      <c r="L6" s="116">
        <v>1.9</v>
      </c>
      <c r="M6" s="116">
        <v>1.976</v>
      </c>
    </row>
    <row r="7" spans="1:13">
      <c r="A7" s="429" t="s">
        <v>47</v>
      </c>
      <c r="B7" s="36" t="s">
        <v>18</v>
      </c>
      <c r="C7" s="117">
        <v>1.4</v>
      </c>
      <c r="D7" s="117">
        <v>1.7</v>
      </c>
      <c r="E7" s="117">
        <v>1.8</v>
      </c>
      <c r="F7" s="117">
        <v>1.9</v>
      </c>
      <c r="G7" s="117">
        <v>1.5</v>
      </c>
      <c r="H7" s="118">
        <v>1.1000000000000001</v>
      </c>
      <c r="I7" s="118">
        <v>0.8</v>
      </c>
      <c r="J7" s="118">
        <v>0.9</v>
      </c>
      <c r="K7" s="118">
        <v>0.8</v>
      </c>
      <c r="L7" s="118">
        <v>0.7</v>
      </c>
      <c r="M7" s="118">
        <v>0.66500000000000004</v>
      </c>
    </row>
    <row r="8" spans="1:13">
      <c r="A8" s="430"/>
      <c r="B8" s="37" t="s">
        <v>19</v>
      </c>
      <c r="C8" s="119">
        <v>0.9</v>
      </c>
      <c r="D8" s="119">
        <v>1.3</v>
      </c>
      <c r="E8" s="119">
        <v>1.3</v>
      </c>
      <c r="F8" s="119">
        <v>1.4</v>
      </c>
      <c r="G8" s="119">
        <v>1.2</v>
      </c>
      <c r="H8" s="120">
        <v>1</v>
      </c>
      <c r="I8" s="120">
        <v>0.8</v>
      </c>
      <c r="J8" s="120">
        <v>0.8</v>
      </c>
      <c r="K8" s="120">
        <v>0.7</v>
      </c>
      <c r="L8" s="120">
        <v>0.7</v>
      </c>
      <c r="M8" s="120">
        <v>0.71</v>
      </c>
    </row>
    <row r="9" spans="1:13">
      <c r="A9" s="431"/>
      <c r="B9" s="38" t="s">
        <v>20</v>
      </c>
      <c r="C9" s="121">
        <v>2.2999999999999998</v>
      </c>
      <c r="D9" s="121">
        <v>3</v>
      </c>
      <c r="E9" s="121">
        <v>3.1</v>
      </c>
      <c r="F9" s="121">
        <v>3.3</v>
      </c>
      <c r="G9" s="121">
        <v>2.7</v>
      </c>
      <c r="H9" s="122">
        <v>2.1</v>
      </c>
      <c r="I9" s="122">
        <v>1.6</v>
      </c>
      <c r="J9" s="122">
        <v>1.7</v>
      </c>
      <c r="K9" s="122">
        <v>1.5</v>
      </c>
      <c r="L9" s="122">
        <v>1.3</v>
      </c>
      <c r="M9" s="122">
        <v>1.375</v>
      </c>
    </row>
    <row r="10" spans="1:13">
      <c r="A10" s="124" t="s">
        <v>185</v>
      </c>
      <c r="B10" s="124"/>
      <c r="C10" s="124"/>
      <c r="D10" s="124"/>
      <c r="E10" s="124"/>
      <c r="F10" s="124"/>
      <c r="G10" s="124"/>
      <c r="H10" s="124"/>
      <c r="I10" s="124"/>
    </row>
    <row r="11" spans="1:13">
      <c r="A11" s="82" t="s">
        <v>193</v>
      </c>
      <c r="B11" s="125"/>
      <c r="C11" s="125"/>
      <c r="D11" s="125"/>
      <c r="E11" s="125"/>
      <c r="F11" s="125"/>
      <c r="G11" s="125"/>
      <c r="H11" s="125"/>
      <c r="I11" s="125"/>
    </row>
    <row r="12" spans="1:13">
      <c r="A12" s="123" t="s">
        <v>208</v>
      </c>
      <c r="B12" s="123"/>
      <c r="C12" s="123"/>
      <c r="D12" s="123"/>
      <c r="E12" s="123"/>
      <c r="F12" s="123"/>
      <c r="G12" s="123"/>
      <c r="H12" s="123"/>
      <c r="I12" s="123"/>
    </row>
    <row r="13" spans="1:13" ht="24" customHeight="1">
      <c r="A13" s="428" t="s">
        <v>194</v>
      </c>
      <c r="B13" s="428"/>
      <c r="C13" s="428"/>
      <c r="D13" s="428"/>
      <c r="E13" s="428"/>
      <c r="F13" s="428"/>
      <c r="G13" s="428"/>
      <c r="H13" s="428"/>
      <c r="I13" s="428"/>
      <c r="J13" s="428"/>
      <c r="K13" s="428"/>
    </row>
    <row r="14" spans="1:13" ht="24.75" customHeight="1">
      <c r="A14" s="428" t="s">
        <v>195</v>
      </c>
      <c r="B14" s="428"/>
      <c r="C14" s="428"/>
      <c r="D14" s="428"/>
      <c r="E14" s="428"/>
      <c r="F14" s="428"/>
      <c r="G14" s="428"/>
      <c r="H14" s="428"/>
      <c r="I14" s="428"/>
    </row>
    <row r="15" spans="1:13">
      <c r="A15" s="126"/>
      <c r="B15" s="126"/>
      <c r="C15" s="126"/>
      <c r="D15" s="126"/>
      <c r="E15" s="126"/>
      <c r="F15" s="126"/>
      <c r="G15" s="126"/>
      <c r="H15" s="126"/>
      <c r="I15" s="126"/>
    </row>
  </sheetData>
  <mergeCells count="4">
    <mergeCell ref="A14:I14"/>
    <mergeCell ref="A7:A9"/>
    <mergeCell ref="A4:A6"/>
    <mergeCell ref="A13:K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SOMMAIRE</vt:lpstr>
      <vt:lpstr>Figure 1</vt:lpstr>
      <vt:lpstr>Figure 2</vt:lpstr>
      <vt:lpstr>Figure 3</vt:lpstr>
      <vt:lpstr>Figure 4</vt:lpstr>
      <vt:lpstr>Figure 5</vt:lpstr>
      <vt:lpstr>Figure 6</vt:lpstr>
      <vt:lpstr>Figure 7</vt:lpstr>
      <vt:lpstr>Figure 8</vt:lpstr>
      <vt:lpstr>Figure 9</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CHEDORGE Daphne</dc:creator>
  <cp:lastModifiedBy>CHARDON Olivier</cp:lastModifiedBy>
  <dcterms:created xsi:type="dcterms:W3CDTF">2022-04-12T13:54:24Z</dcterms:created>
  <dcterms:modified xsi:type="dcterms:W3CDTF">2026-09-04T09:48:17Z</dcterms:modified>
</cp:coreProperties>
</file>