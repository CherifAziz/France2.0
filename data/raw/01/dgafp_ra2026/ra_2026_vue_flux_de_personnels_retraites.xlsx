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Travaux B3 par thèmes\ 5 Départs à la retraite et retraités\Marronniers\RAPPORT ANNUEL\2026\Données complémentaires\Retraite\ra_2026_retraite\"/>
    </mc:Choice>
  </mc:AlternateContent>
  <xr:revisionPtr revIDLastSave="0" documentId="13_ncr:1_{FEF3A7D1-213A-45AC-AA47-0138EC22316A}" xr6:coauthVersionLast="47" xr6:coauthVersionMax="47" xr10:uidLastSave="{00000000-0000-0000-0000-000000000000}"/>
  <bookViews>
    <workbookView xWindow="25080" yWindow="-120" windowWidth="25440" windowHeight="15270" xr2:uid="{A32423EF-CF88-448E-92F1-2099896C0B36}"/>
  </bookViews>
  <sheets>
    <sheet name="Sommaire" sheetId="13" r:id="rId1"/>
    <sheet name="Figure 1" sheetId="1" r:id="rId2"/>
    <sheet name="Figure 2" sheetId="2" r:id="rId3"/>
    <sheet name="Figure 3" sheetId="3" r:id="rId4"/>
    <sheet name="Figure 4" sheetId="19" r:id="rId5"/>
    <sheet name="Figure 5" sheetId="4" r:id="rId6"/>
    <sheet name="Figure 6" sheetId="5" r:id="rId7"/>
    <sheet name="Figure 7" sheetId="6" r:id="rId8"/>
    <sheet name="Figure 8" sheetId="7" r:id="rId9"/>
    <sheet name="Figure 9" sheetId="14" r:id="rId10"/>
    <sheet name="Figure 10" sheetId="9" r:id="rId11"/>
    <sheet name="Figure 11" sheetId="10" r:id="rId12"/>
    <sheet name="Figure encadré 3 militaires" sheetId="11" r:id="rId13"/>
    <sheet name="Figure encadré 4 contractuels" sheetId="18" r:id="rId14"/>
    <sheet name="Fig. A encadré 6 retraite progr" sheetId="21" r:id="rId15"/>
    <sheet name="Fig. B encadré 6 retraite progr" sheetId="24" r:id="rId16"/>
  </sheets>
  <externalReferences>
    <externalReference r:id="rId1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 i="11" l="1"/>
  <c r="M5" i="11"/>
  <c r="K5" i="11"/>
  <c r="R7" i="10"/>
  <c r="I7" i="10"/>
  <c r="B2" i="7"/>
  <c r="B2" i="6"/>
  <c r="L5" i="6"/>
  <c r="M5" i="6"/>
  <c r="K5" i="6"/>
  <c r="B2" i="4"/>
  <c r="L5" i="19"/>
  <c r="M5" i="19"/>
  <c r="C5" i="19"/>
  <c r="D5" i="19"/>
  <c r="E5" i="19"/>
  <c r="F5" i="19"/>
  <c r="G5" i="19"/>
  <c r="H5" i="19"/>
  <c r="I5" i="19"/>
  <c r="J5" i="19"/>
  <c r="K5" i="19"/>
  <c r="B4" i="19"/>
  <c r="L5" i="3"/>
  <c r="M5" i="3"/>
  <c r="K5" i="3"/>
  <c r="AA5" i="2"/>
  <c r="AB5" i="2"/>
  <c r="Z5" i="2"/>
  <c r="B25" i="1"/>
  <c r="B2" i="1" l="1"/>
</calcChain>
</file>

<file path=xl/sharedStrings.xml><?xml version="1.0" encoding="utf-8"?>
<sst xmlns="http://schemas.openxmlformats.org/spreadsheetml/2006/main" count="271" uniqueCount="167">
  <si>
    <t>FPT</t>
  </si>
  <si>
    <t>FPH</t>
  </si>
  <si>
    <t>FP hors militaires</t>
  </si>
  <si>
    <t>FSPOEIE</t>
  </si>
  <si>
    <t>Ensemble</t>
  </si>
  <si>
    <t>Contractuels</t>
  </si>
  <si>
    <t>CNRACL</t>
  </si>
  <si>
    <t xml:space="preserve">FPT </t>
  </si>
  <si>
    <t>Vieillesse</t>
  </si>
  <si>
    <t>Invalidité</t>
  </si>
  <si>
    <t xml:space="preserve">Femmes </t>
  </si>
  <si>
    <t>Hommes</t>
  </si>
  <si>
    <t>D9</t>
  </si>
  <si>
    <t>Q3</t>
  </si>
  <si>
    <t>Médiane</t>
  </si>
  <si>
    <t>Q1</t>
  </si>
  <si>
    <t>D1</t>
  </si>
  <si>
    <t>Surcote</t>
  </si>
  <si>
    <t>Normale</t>
  </si>
  <si>
    <t>Décote</t>
  </si>
  <si>
    <t>Sédentaire</t>
  </si>
  <si>
    <t>Actif</t>
  </si>
  <si>
    <t>Carrière longue</t>
  </si>
  <si>
    <t>FPE</t>
  </si>
  <si>
    <t>Caisse de retraite</t>
  </si>
  <si>
    <t>Fonctionnaires</t>
  </si>
  <si>
    <t>Statut</t>
  </si>
  <si>
    <t>Femmes</t>
  </si>
  <si>
    <t>Militaires</t>
  </si>
  <si>
    <t>Ircantec</t>
  </si>
  <si>
    <t>Champ : Pensions militaires de droit direct versées par le SRE.</t>
  </si>
  <si>
    <t>Fonctionnaires civils</t>
  </si>
  <si>
    <t>Sources : DGFiP-SRE, CNRACL, FSPOEIE et Ircantec. Traitement DGAFP-SDessi.</t>
  </si>
  <si>
    <t>Figure  2 : Nombre de nouvelles pensions de droit direct de la fonction publique depuis 2000</t>
  </si>
  <si>
    <t>Sources : DGFiP-SRE et CNRACL. Traitement DGAFP-SDessi.</t>
  </si>
  <si>
    <t>Ancienneté sédentaire</t>
  </si>
  <si>
    <t>Ancienneté actif</t>
  </si>
  <si>
    <t>Ancienneté carrière longue</t>
  </si>
  <si>
    <t xml:space="preserve">Nom de la feuille </t>
  </si>
  <si>
    <t>Figure 1</t>
  </si>
  <si>
    <t>oui</t>
  </si>
  <si>
    <t>Figure 2</t>
  </si>
  <si>
    <t>Figure 3</t>
  </si>
  <si>
    <t>Figure 4</t>
  </si>
  <si>
    <t>Figure 5</t>
  </si>
  <si>
    <t>Figure 6</t>
  </si>
  <si>
    <t>Figure 7</t>
  </si>
  <si>
    <t>Figure 8</t>
  </si>
  <si>
    <t>Figure 9</t>
  </si>
  <si>
    <t>en années</t>
  </si>
  <si>
    <t>en milliers</t>
  </si>
  <si>
    <t>en %</t>
  </si>
  <si>
    <t>en années révolues</t>
  </si>
  <si>
    <t>Minimum garanti</t>
  </si>
  <si>
    <t>Pension</t>
  </si>
  <si>
    <t>Surcotée</t>
  </si>
  <si>
    <t>Décotée</t>
  </si>
  <si>
    <t>SRE</t>
  </si>
  <si>
    <t>Ensemble fonctionnaires</t>
  </si>
  <si>
    <t>Ens. fonctionnaires</t>
  </si>
  <si>
    <t>Figure 3 : Nombre de nouvelles pensions de fonctionnaires et militaires, par sexe, depuis 2015</t>
  </si>
  <si>
    <t>Figure encadré 3 militaires</t>
  </si>
  <si>
    <t>Figure encadré 4 contractuels</t>
  </si>
  <si>
    <t>Figure 10</t>
  </si>
  <si>
    <t xml:space="preserve">Ensemble FP </t>
  </si>
  <si>
    <t>Catégorie active</t>
  </si>
  <si>
    <t>Nombre
de nouvelles pensions attribuées
(en milliers)</t>
  </si>
  <si>
    <t>Part
des femmes 
(en %)</t>
  </si>
  <si>
    <t>FPE/Fonctionnaires civils</t>
  </si>
  <si>
    <t>FPE/Militaires</t>
  </si>
  <si>
    <t xml:space="preserve">FPE/Ouvriers d'État </t>
  </si>
  <si>
    <t>FPT/Fonctionnaires</t>
  </si>
  <si>
    <t>FPH/Fonctionnaires</t>
  </si>
  <si>
    <t>FP/Ircantec</t>
  </si>
  <si>
    <t>Part
des femmes</t>
  </si>
  <si>
    <t>Ens. militaires</t>
  </si>
  <si>
    <t>dont ancienneté sédentaire</t>
  </si>
  <si>
    <t>dont ancienneté actif</t>
  </si>
  <si>
    <t>dont ancienneté carrière longue</t>
  </si>
  <si>
    <t>Ensemble FP</t>
  </si>
  <si>
    <t>Source : Ircantec. Traitement DGAFP-SDessi.</t>
  </si>
  <si>
    <t>Fonction publique de l'État (FPE)</t>
  </si>
  <si>
    <t>Fonction publique territoriale (FPT)</t>
  </si>
  <si>
    <t>Fonction publique hospitalière (FPH)</t>
  </si>
  <si>
    <t>Figure 2 : Nombre de nouvelles pensions de droit direct de la fonction publique depuis 2000</t>
  </si>
  <si>
    <t>Ouvriers d'État</t>
  </si>
  <si>
    <r>
      <t xml:space="preserve">Répartition 
</t>
    </r>
    <r>
      <rPr>
        <sz val="10"/>
        <rFont val="Arial"/>
        <family val="2"/>
      </rPr>
      <t>(en %)</t>
    </r>
  </si>
  <si>
    <r>
      <t xml:space="preserve">Âge moyen
</t>
    </r>
    <r>
      <rPr>
        <sz val="10"/>
        <rFont val="Arial"/>
        <family val="2"/>
      </rPr>
      <t>(en années)</t>
    </r>
  </si>
  <si>
    <t>Figure : Âge moyen des nouveaux pensionnés militaires, par sexe, depuis 2015</t>
  </si>
  <si>
    <t>Évolution 2025/2024 (en %)</t>
  </si>
  <si>
    <t>Lecture : En 2025, 70 700 nouvelles pensions civiles ou militaires, versées par le SRE ou la CNRACL, ont été attribuées à des femmes, et 48 800 à des hommes.</t>
  </si>
  <si>
    <t>Lecture : En 2025,  les nouveaux pensionnés civils dépendant du régime de retraite de la FPE ou affiliés à la CNRACL sont partis à la retraite pour ancienneté sur un poste sédentaire à 64,3 ans en moyenne. Sur un poste classé en catégorie active, ils sont partis en moyenne à 60,7 ans.</t>
  </si>
  <si>
    <t>Figure 8 : Distribution des âges de liquidation pour les nouveaux pensionnés fonctionnaires de droit direct, en 2025</t>
  </si>
  <si>
    <t>Champ : Pensions de droit direct versées par le SRE ou la CNRACL. Hors La Poste et Orange.</t>
  </si>
  <si>
    <t>Figure 6 : Âge moyen des nouveaux pensionnés fonctionnaires de droit direct, par motif de départ, en 2025</t>
  </si>
  <si>
    <t>Figure 4 : Évolution des pensions de droit direct des fonctionnaires par motif de départ, depuis 2015</t>
  </si>
  <si>
    <t xml:space="preserve">Figure 5 : Répartition des nouvelles pensions de droit direct des fonctionnaires par motif de départ, en 2025 </t>
  </si>
  <si>
    <t>Lecture : En 2025, 27 % des nouveaux pensionnés fonctionnaires ont bénéficié d'une surcote, tandis que 12 % ont subi une décote de leur pension.</t>
  </si>
  <si>
    <t>Figure 9 : Répartition des nouveaux pensionnés fonctionnaires de droit direct par type de pension et par versant, en 2025</t>
  </si>
  <si>
    <t>Figure 9 : Répartition  des nouveaux pensionnés fonctionnaires de droit direct par type de pension et par versant, en 2025</t>
  </si>
  <si>
    <t>Figure 10 : Répartition des nouveaux pensionnés fonctionnaires de droit direct par type de pension et motif de départ à la retraite, en 2025</t>
  </si>
  <si>
    <t>Figure 10 : Répartition  des nouveaux pensionnés fonctionnaires de droit direct par type de pension et motif de départ à la retraite, en 2025</t>
  </si>
  <si>
    <t>Lecture : En 2019, 39 % des nouvelles pensions des femmes étaient surcotées. En 2025, c'est  40 %  (respectivement  47 % et 41 % chez les hommes).</t>
  </si>
  <si>
    <t>Figure 11</t>
  </si>
  <si>
    <t>Figure 11 : Répartition des nouvelles pensions pour les fonctionnaires sédentaires, par sexe, depuis 2019</t>
  </si>
  <si>
    <t>Lecture : En 2025, les nouveaux pensionnés militaires ont liquidé leur retraite à 46,0 ans en moyenne.</t>
  </si>
  <si>
    <t>FPE-civils</t>
  </si>
  <si>
    <t>Taux de retraite (en %)</t>
  </si>
  <si>
    <t>2024              (en  milliers)</t>
  </si>
  <si>
    <t>2025             (en  milliers)</t>
  </si>
  <si>
    <t xml:space="preserve">Contient
des données
sur l'égalité professionnelle entre les femmes et les hommes </t>
  </si>
  <si>
    <t>En niveau
(en milliers)</t>
  </si>
  <si>
    <t xml:space="preserve">En structure </t>
  </si>
  <si>
    <t>Lecture : En 2025,  la moitié des nouveaux pensionnés civils dépendant du régime de retraite de la FPE ou affiliés à la CNRACL sont partis à la retraite avant 62 ans.</t>
  </si>
  <si>
    <t>Part
des femmes
en 2025
 (en %)</t>
  </si>
  <si>
    <t>Champ : Pensions de droit direct. Hors La Poste et Orange pour les pensions versées par le SRE. Pensions attribuées aux agents encore en poste dans la fonction publique moins de un an avant la liquidation de leur retraite pour les pensions versées par lʼIrcantec (disponible depuis 2008).</t>
  </si>
  <si>
    <t>Lecture : En 2025, 40 % des nouveaux pensionnés fonctionnaires qui sont partis à la retraite suite à la suite de lʼoccupation dʼun poste sédentaire ont bénéficié dʼune surcote. Ils sont partis à 65,0 ans en moyenne.</t>
  </si>
  <si>
    <t>Source : DGFiP-SRE. Traitement DGAFP-SDessi.</t>
  </si>
  <si>
    <t>FP</t>
  </si>
  <si>
    <t xml:space="preserve">Évolution 2025/2024 </t>
  </si>
  <si>
    <t>Lecture : En 2025, 51 300 nouvelles pensions de droit direct ont été versées par le SRE ou la CNRACL au motif de lʼancienneté sur un poste sédentaire, soit 47 % dʼentre elles. Parmi elles, 67 % ont été attribuées à des femmes.</t>
  </si>
  <si>
    <t>Figure 1 : Nombre de nouvelles pensions de droit direct de la fonction publique, par versant et caisse de retraite, en 2025</t>
  </si>
  <si>
    <t>Figure 7 : Âge moyen des nouveaux pensionnés fonctionnaires, par motif de départ, depuis 2015</t>
  </si>
  <si>
    <t>Fig. A encadré 6 retraite progr</t>
  </si>
  <si>
    <t>Fig. B encadré 6 retraite progr</t>
  </si>
  <si>
    <r>
      <t>Autres</t>
    </r>
    <r>
      <rPr>
        <vertAlign val="superscript"/>
        <sz val="10"/>
        <rFont val="Arial"/>
        <family val="2"/>
      </rPr>
      <t>1</t>
    </r>
  </si>
  <si>
    <r>
      <t>Autres</t>
    </r>
    <r>
      <rPr>
        <vertAlign val="superscript"/>
        <sz val="10"/>
        <rFont val="Arial"/>
        <family val="2"/>
      </rPr>
      <t>2</t>
    </r>
  </si>
  <si>
    <r>
      <t>Autres</t>
    </r>
    <r>
      <rPr>
        <vertAlign val="superscript"/>
        <sz val="10"/>
        <rFont val="Arial"/>
        <family val="2"/>
      </rPr>
      <t>3</t>
    </r>
  </si>
  <si>
    <r>
      <t>SRE : Service des retraites de l</t>
    </r>
    <r>
      <rPr>
        <sz val="10"/>
        <rFont val="Times New Roman"/>
        <family val="1"/>
      </rPr>
      <t>ʼ</t>
    </r>
    <r>
      <rPr>
        <sz val="10"/>
        <rFont val="Arial"/>
        <family val="2"/>
      </rPr>
      <t>État ; FSPOEIE : Fonds spécial des pensions des ouvriers des établissements industriels de l’État ; Ircantec : Institution de retraite complémentaire des agents non titulaires de lʼÉtat et des collectivités publiques ; CNRACL : Caisse nationale de retraite des agents des collectivités locales.</t>
    </r>
  </si>
  <si>
    <t>1. Principalement des fonctionnaires sans droit à pension.</t>
  </si>
  <si>
    <t>2. Principalement des fonctionnaires à temps non complet de moins de 28 heures.</t>
  </si>
  <si>
    <t>3. Principalement des médecins.</t>
  </si>
  <si>
    <r>
      <t>Départs anticipés (vieillesse)</t>
    </r>
    <r>
      <rPr>
        <b/>
        <vertAlign val="superscript"/>
        <sz val="11"/>
        <rFont val="Calibri"/>
        <family val="2"/>
        <scheme val="minor"/>
      </rPr>
      <t>1</t>
    </r>
  </si>
  <si>
    <t>1. Y compris fonctionnaires handicapés.</t>
  </si>
  <si>
    <r>
      <t>dont motifs familiaux</t>
    </r>
    <r>
      <rPr>
        <i/>
        <vertAlign val="superscript"/>
        <sz val="10"/>
        <rFont val="Arial"/>
        <family val="2"/>
      </rPr>
      <t>1</t>
    </r>
  </si>
  <si>
    <t>Lecture : En 2025,  les nouveaux pensionnés civils dépendant du régime de retraite de la FPE ou affiliés à la CNRACL sont partis à la retraite en moyenne à 63,0 ans pour vieillesse et à 57,6 ans pour invalidité. Tous motifs confondus, les femmes ont liquidé leur retraite en moyenne à 62,2 ans, contre 62,3 ans pour l'ensemble des nouveaux pensionnés.</t>
  </si>
  <si>
    <r>
      <t>Ens. fonctionnaires</t>
    </r>
    <r>
      <rPr>
        <b/>
        <vertAlign val="superscript"/>
        <sz val="10"/>
        <rFont val="Arial"/>
        <family val="2"/>
      </rPr>
      <t>1</t>
    </r>
  </si>
  <si>
    <t>1. Y compris motifs familiaux, fonctionnaires handicapés et invalidité.</t>
  </si>
  <si>
    <r>
      <t>FPE</t>
    </r>
    <r>
      <rPr>
        <b/>
        <vertAlign val="superscript"/>
        <sz val="10"/>
        <rFont val="Arial"/>
        <family val="2"/>
      </rPr>
      <t>1</t>
    </r>
  </si>
  <si>
    <r>
      <t>FPT</t>
    </r>
    <r>
      <rPr>
        <b/>
        <vertAlign val="superscript"/>
        <sz val="10"/>
        <rFont val="Arial"/>
        <family val="2"/>
      </rPr>
      <t>1</t>
    </r>
  </si>
  <si>
    <r>
      <t>FPH</t>
    </r>
    <r>
      <rPr>
        <b/>
        <vertAlign val="superscript"/>
        <sz val="10"/>
        <rFont val="Arial"/>
        <family val="2"/>
      </rPr>
      <t>1</t>
    </r>
  </si>
  <si>
    <r>
      <t>FP</t>
    </r>
    <r>
      <rPr>
        <b/>
        <vertAlign val="superscript"/>
        <sz val="10"/>
        <rFont val="Arial"/>
        <family val="2"/>
      </rPr>
      <t>1</t>
    </r>
  </si>
  <si>
    <r>
      <t>Femmes</t>
    </r>
    <r>
      <rPr>
        <b/>
        <vertAlign val="superscript"/>
        <sz val="10"/>
        <rFont val="Arial"/>
        <family val="2"/>
      </rPr>
      <t>1</t>
    </r>
    <r>
      <rPr>
        <b/>
        <sz val="10"/>
        <rFont val="Arial"/>
        <family val="2"/>
      </rPr>
      <t xml:space="preserve"> </t>
    </r>
  </si>
  <si>
    <t>so : Sans objet.</t>
  </si>
  <si>
    <r>
      <t xml:space="preserve">Effectif 
</t>
    </r>
    <r>
      <rPr>
        <sz val="10"/>
        <rFont val="Arial"/>
        <family val="2"/>
      </rPr>
      <t>(en milliers)</t>
    </r>
  </si>
  <si>
    <r>
      <t xml:space="preserve">Âge moyen 
</t>
    </r>
    <r>
      <rPr>
        <sz val="10"/>
        <rFont val="Arial"/>
        <family val="2"/>
      </rPr>
      <t>(en années)</t>
    </r>
  </si>
  <si>
    <r>
      <t xml:space="preserve">Part
des femmes
 </t>
    </r>
    <r>
      <rPr>
        <sz val="10"/>
        <rFont val="Arial"/>
        <family val="2"/>
      </rPr>
      <t>(en %)</t>
    </r>
  </si>
  <si>
    <t>Champ : Pensionnés contractuels dans la fonction publique moins de un an avant la liquidation de leur retraite.</t>
  </si>
  <si>
    <t>Lecture : En 2025, 19 200 nouveaux pensionnés étaient contractuels dans la fonction publique moins de un an avant leur départ à la retraite. Ils partent en moyenne à 64,6 ans et 67 % sont des femmes. Par rapport à 2024, ils sont en hausse de 6,3 %.</t>
  </si>
  <si>
    <r>
      <rPr>
        <b/>
        <sz val="10"/>
        <rFont val="Aptos Narrow"/>
        <family val="2"/>
      </rPr>
      <t>É</t>
    </r>
    <r>
      <rPr>
        <b/>
        <sz val="10"/>
        <rFont val="Arial"/>
        <family val="2"/>
      </rPr>
      <t>volution 2025/2024 (en %)</t>
    </r>
  </si>
  <si>
    <t>Lecture : En 2025, 14 600 fonctionnaires entrent dans le dispositif de la retraite progressive. Parmi eux, 73 % sont des femmes.</t>
  </si>
  <si>
    <r>
      <rPr>
        <b/>
        <sz val="10"/>
        <rFont val="Aptos Narrow"/>
        <family val="2"/>
      </rPr>
      <t>Â</t>
    </r>
    <r>
      <rPr>
        <b/>
        <sz val="10"/>
        <rFont val="Arial"/>
        <family val="2"/>
      </rPr>
      <t>ge (en années)</t>
    </r>
  </si>
  <si>
    <t>Lecture : En 2025,  les femmes fonctionnaires qui entrent dans le dispositif de la retraite progressive ont en moyenne 61,8 ans, contre 62,0 ans pour les hommes ; elles ont un taux de retraite progressive moyen de 29,7 %, contre 32,5 % pour les hommes.</t>
  </si>
  <si>
    <t>Champ : Pensions de droit direct. Hors La Poste et Orange pour les pensions versées par le SRE. Pensions attribuées aux agents encore en poste dans la fonction publique moins de un an avant la liquidation de leur retraite pour les pensions versées par l'Ircantec.</t>
  </si>
  <si>
    <t>1. Départs au motif de la catégorie active, pour carrière longue et pour motifs familiaux (y compris fonctionnaires handicapés).</t>
  </si>
  <si>
    <t>Figure : Les nouveaux pensionnés contractuels de la fonction publique, en 2025</t>
  </si>
  <si>
    <t>Figure A : Effectifs de fonctionnaires entrant dans le dispositif de retraite progressive</t>
  </si>
  <si>
    <t>Figure B : Fonctionnaires entrant dans le dispositif de retraite progressive 
en 2025 : âge dʼentrée et taux de retraite progressive par sexe</t>
  </si>
  <si>
    <t>Figure B : Fonctionnaires entrant dans le dispositif de retraite progressive en 2025 :  âge d'entrée et taux de retraite progressive par sexe</t>
  </si>
  <si>
    <t xml:space="preserve">Lecture : En 2025, 39 100 fonctionnaires civils de la FPE ont liquidé leur retraite au titre d’un emploi de fonctionnaire civil de la FPE auprès du SRE. </t>
  </si>
  <si>
    <t>Figure 4 : Évolution des nouvelles pensions de droit direct des fonctionnaires par motif de départ, depuis 2015</t>
  </si>
  <si>
    <t>Champ : Pensions de droit direct versées par le SRE ou la CNRACL. Hors La Poste et Orange, hors pensions militaires.</t>
  </si>
  <si>
    <t>Lecture : Entre 2015 et 2025, lʼensemble des nouvelles pensions des fonctionnaires versées par le SRE ou la CNRACL ont augmenté de 13,6 %.</t>
  </si>
  <si>
    <t xml:space="preserve">Champ : Pensions de droit direct versées par le SRE ou la CNRACL. Hors La Poste et Orange, hors pensions militaires. </t>
  </si>
  <si>
    <t>Champ : Fonctionnaires cotisant au SRE ou à la CNRACL.</t>
  </si>
  <si>
    <t>so</t>
  </si>
  <si>
    <t>Les départs à la retraite dans la fonction publique en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</si>
</sst>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0.0%"/>
    <numFmt numFmtId="167" formatCode="_-* #,##0.0_-;\-* #,##0.0_-;_-* &quot;-&quot;??_-;_-@_-"/>
  </numFmts>
  <fonts count="23">
    <font>
      <sz val="11"/>
      <color theme="1"/>
      <name val="Calibri"/>
      <family val="2"/>
      <scheme val="minor"/>
    </font>
    <font>
      <sz val="11"/>
      <color theme="1"/>
      <name val="Calibri"/>
      <family val="2"/>
      <scheme val="minor"/>
    </font>
    <font>
      <b/>
      <sz val="10"/>
      <name val="Arial"/>
      <family val="2"/>
    </font>
    <font>
      <sz val="10"/>
      <name val="Arial"/>
      <family val="2"/>
    </font>
    <font>
      <u/>
      <sz val="11"/>
      <color theme="10"/>
      <name val="Calibri"/>
      <family val="2"/>
      <scheme val="minor"/>
    </font>
    <font>
      <sz val="10"/>
      <color theme="1"/>
      <name val="Arial"/>
      <family val="2"/>
    </font>
    <font>
      <b/>
      <sz val="10"/>
      <color theme="1"/>
      <name val="Arial"/>
      <family val="2"/>
    </font>
    <font>
      <i/>
      <sz val="10"/>
      <name val="Arial"/>
      <family val="2"/>
    </font>
    <font>
      <i/>
      <vertAlign val="superscript"/>
      <sz val="10"/>
      <name val="Arial"/>
      <family val="2"/>
    </font>
    <font>
      <b/>
      <sz val="10"/>
      <color rgb="FF000000"/>
      <name val="Arial"/>
      <family val="2"/>
    </font>
    <font>
      <sz val="10"/>
      <color rgb="FF00B050"/>
      <name val="Arial"/>
      <family val="2"/>
    </font>
    <font>
      <sz val="11"/>
      <name val="Arial"/>
      <family val="2"/>
    </font>
    <font>
      <b/>
      <sz val="10"/>
      <color rgb="FF0070C0"/>
      <name val="Arial"/>
      <family val="2"/>
    </font>
    <font>
      <u/>
      <sz val="10"/>
      <color rgb="FF0070C0"/>
      <name val="Arial"/>
      <family val="2"/>
    </font>
    <font>
      <vertAlign val="superscript"/>
      <sz val="10"/>
      <name val="Arial"/>
      <family val="2"/>
    </font>
    <font>
      <sz val="10"/>
      <name val="Times New Roman"/>
      <family val="1"/>
    </font>
    <font>
      <b/>
      <sz val="11"/>
      <name val="Calibri"/>
      <family val="2"/>
      <scheme val="minor"/>
    </font>
    <font>
      <sz val="11"/>
      <name val="Calibri"/>
      <family val="2"/>
      <scheme val="minor"/>
    </font>
    <font>
      <b/>
      <vertAlign val="superscript"/>
      <sz val="11"/>
      <name val="Calibri"/>
      <family val="2"/>
      <scheme val="minor"/>
    </font>
    <font>
      <b/>
      <i/>
      <sz val="10"/>
      <name val="Arial"/>
      <family val="2"/>
    </font>
    <font>
      <b/>
      <vertAlign val="superscript"/>
      <sz val="10"/>
      <name val="Arial"/>
      <family val="2"/>
    </font>
    <font>
      <b/>
      <sz val="10"/>
      <name val="Aptos Narrow"/>
      <family val="2"/>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3" fillId="0" borderId="0"/>
    <xf numFmtId="0" fontId="4" fillId="0" borderId="0" applyNumberFormat="0" applyFill="0" applyBorder="0" applyAlignment="0" applyProtection="0"/>
    <xf numFmtId="43" fontId="1" fillId="0" borderId="0" applyFont="0" applyFill="0" applyBorder="0" applyAlignment="0" applyProtection="0"/>
  </cellStyleXfs>
  <cellXfs count="339">
    <xf numFmtId="0" fontId="0" fillId="0" borderId="0" xfId="0"/>
    <xf numFmtId="0" fontId="3" fillId="0" borderId="0" xfId="0" applyFont="1"/>
    <xf numFmtId="3" fontId="3" fillId="0" borderId="0" xfId="0" applyNumberFormat="1" applyFont="1"/>
    <xf numFmtId="0" fontId="7" fillId="0" borderId="0" xfId="0" applyFont="1" applyAlignment="1">
      <alignment wrapText="1"/>
    </xf>
    <xf numFmtId="0" fontId="5" fillId="0" borderId="0" xfId="0" applyFont="1"/>
    <xf numFmtId="0" fontId="5" fillId="2" borderId="5" xfId="0" applyFont="1" applyFill="1" applyBorder="1" applyAlignment="1">
      <alignment horizontal="center"/>
    </xf>
    <xf numFmtId="0" fontId="5" fillId="0" borderId="5" xfId="0" applyFont="1" applyBorder="1" applyAlignment="1">
      <alignment horizontal="center" vertical="center"/>
    </xf>
    <xf numFmtId="0" fontId="6" fillId="0" borderId="6" xfId="0" applyFont="1" applyBorder="1" applyAlignment="1">
      <alignment horizontal="center" vertical="top" wrapText="1"/>
    </xf>
    <xf numFmtId="0" fontId="6" fillId="0" borderId="0" xfId="0" applyFont="1"/>
    <xf numFmtId="0" fontId="5" fillId="2" borderId="8" xfId="0" applyFont="1" applyFill="1" applyBorder="1"/>
    <xf numFmtId="0" fontId="6" fillId="2" borderId="8" xfId="0" applyFont="1" applyFill="1" applyBorder="1" applyAlignment="1">
      <alignment horizontal="center"/>
    </xf>
    <xf numFmtId="0" fontId="6" fillId="2" borderId="15" xfId="0" applyFont="1" applyFill="1" applyBorder="1" applyAlignment="1">
      <alignment horizontal="center"/>
    </xf>
    <xf numFmtId="0" fontId="6" fillId="2" borderId="9" xfId="0" applyFont="1" applyFill="1" applyBorder="1" applyAlignment="1">
      <alignment horizontal="center"/>
    </xf>
    <xf numFmtId="0" fontId="6" fillId="2" borderId="12" xfId="0" applyFont="1" applyFill="1" applyBorder="1"/>
    <xf numFmtId="0" fontId="6" fillId="2" borderId="3" xfId="0" applyFont="1" applyFill="1" applyBorder="1"/>
    <xf numFmtId="0" fontId="5" fillId="2" borderId="0" xfId="0" applyFont="1" applyFill="1"/>
    <xf numFmtId="0" fontId="7" fillId="2" borderId="0" xfId="0" applyFont="1" applyFill="1"/>
    <xf numFmtId="0" fontId="3" fillId="2" borderId="0" xfId="0" applyFont="1" applyFill="1"/>
    <xf numFmtId="166" fontId="5" fillId="0" borderId="0" xfId="1" applyNumberFormat="1" applyFont="1"/>
    <xf numFmtId="0" fontId="6" fillId="2" borderId="0" xfId="0" applyFont="1" applyFill="1"/>
    <xf numFmtId="0" fontId="2" fillId="2" borderId="5" xfId="0" applyFont="1" applyFill="1" applyBorder="1" applyAlignment="1">
      <alignment horizontal="center" vertical="center"/>
    </xf>
    <xf numFmtId="0" fontId="2" fillId="2" borderId="11" xfId="0" applyFont="1" applyFill="1" applyBorder="1" applyAlignment="1">
      <alignment horizontal="left" vertical="center"/>
    </xf>
    <xf numFmtId="0" fontId="2" fillId="2" borderId="0" xfId="0" applyFont="1" applyFill="1"/>
    <xf numFmtId="0" fontId="3" fillId="2" borderId="1" xfId="0" applyFont="1" applyFill="1" applyBorder="1"/>
    <xf numFmtId="0" fontId="2" fillId="2" borderId="6"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2" borderId="2" xfId="0" applyFont="1" applyFill="1" applyBorder="1" applyAlignment="1">
      <alignment horizontal="left" vertical="top" wrapText="1"/>
    </xf>
    <xf numFmtId="0" fontId="3" fillId="2" borderId="4" xfId="0" applyFont="1" applyFill="1" applyBorder="1" applyAlignment="1">
      <alignment horizontal="left" vertical="center" wrapText="1"/>
    </xf>
    <xf numFmtId="0" fontId="3" fillId="2" borderId="0" xfId="0" applyFont="1" applyFill="1" applyAlignment="1">
      <alignment vertical="center"/>
    </xf>
    <xf numFmtId="0" fontId="3" fillId="2" borderId="5" xfId="0" applyFont="1" applyFill="1" applyBorder="1" applyAlignment="1">
      <alignment horizontal="left" vertical="top"/>
    </xf>
    <xf numFmtId="0" fontId="3" fillId="2" borderId="9"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vertical="center"/>
    </xf>
    <xf numFmtId="0" fontId="3" fillId="2" borderId="13" xfId="0" applyFont="1" applyFill="1" applyBorder="1" applyAlignment="1">
      <alignment horizontal="left" vertical="top" wrapText="1"/>
    </xf>
    <xf numFmtId="0" fontId="2" fillId="2" borderId="0" xfId="0" applyFont="1" applyFill="1" applyAlignment="1">
      <alignment horizontal="left" vertical="top" wrapText="1"/>
    </xf>
    <xf numFmtId="165" fontId="2" fillId="2" borderId="0" xfId="0" applyNumberFormat="1" applyFont="1" applyFill="1" applyAlignment="1">
      <alignment horizontal="right" vertical="top" wrapText="1" indent="1"/>
    </xf>
    <xf numFmtId="1" fontId="2" fillId="2" borderId="0" xfId="0" applyNumberFormat="1" applyFont="1" applyFill="1" applyAlignment="1">
      <alignment horizontal="right" indent="1"/>
    </xf>
    <xf numFmtId="164" fontId="2" fillId="2" borderId="0" xfId="0" applyNumberFormat="1" applyFont="1" applyFill="1" applyAlignment="1">
      <alignment horizontal="right" indent="1"/>
    </xf>
    <xf numFmtId="0" fontId="2" fillId="2" borderId="5" xfId="0" applyFont="1" applyFill="1" applyBorder="1" applyAlignment="1">
      <alignment horizontal="center" vertical="center" wrapText="1"/>
    </xf>
    <xf numFmtId="0" fontId="9" fillId="2" borderId="8" xfId="0"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0" xfId="0" applyFont="1" applyFill="1" applyAlignment="1">
      <alignment horizontal="left" vertical="top" wrapText="1"/>
    </xf>
    <xf numFmtId="0" fontId="2" fillId="2" borderId="0" xfId="0" applyFont="1" applyFill="1" applyAlignment="1">
      <alignment horizontal="left"/>
    </xf>
    <xf numFmtId="164" fontId="5" fillId="2" borderId="0" xfId="0" applyNumberFormat="1" applyFont="1" applyFill="1"/>
    <xf numFmtId="164" fontId="5" fillId="0" borderId="0" xfId="0" applyNumberFormat="1" applyFont="1"/>
    <xf numFmtId="0" fontId="5" fillId="2" borderId="5" xfId="0" applyFont="1" applyFill="1" applyBorder="1"/>
    <xf numFmtId="0" fontId="9" fillId="2" borderId="6" xfId="0" applyFont="1" applyFill="1" applyBorder="1" applyAlignment="1">
      <alignment vertical="top" wrapText="1"/>
    </xf>
    <xf numFmtId="0" fontId="9" fillId="2" borderId="11" xfId="0" applyFont="1" applyFill="1" applyBorder="1" applyAlignment="1">
      <alignment vertical="top" wrapText="1"/>
    </xf>
    <xf numFmtId="0" fontId="9" fillId="2" borderId="7" xfId="0" applyFont="1" applyFill="1" applyBorder="1" applyAlignment="1">
      <alignment vertical="top" wrapText="1"/>
    </xf>
    <xf numFmtId="0" fontId="3" fillId="0" borderId="0" xfId="0" applyFont="1" applyAlignment="1">
      <alignment vertical="center"/>
    </xf>
    <xf numFmtId="0" fontId="3" fillId="2" borderId="8" xfId="0" applyFont="1" applyFill="1" applyBorder="1" applyAlignment="1">
      <alignment horizontal="left"/>
    </xf>
    <xf numFmtId="0" fontId="2" fillId="2" borderId="12" xfId="0" applyFont="1" applyFill="1" applyBorder="1" applyAlignment="1">
      <alignment horizontal="left" vertical="top" wrapText="1"/>
    </xf>
    <xf numFmtId="1" fontId="3" fillId="2" borderId="12" xfId="0" applyNumberFormat="1" applyFont="1" applyFill="1" applyBorder="1" applyAlignment="1">
      <alignment horizontal="center" vertical="top" wrapText="1"/>
    </xf>
    <xf numFmtId="1" fontId="3" fillId="2" borderId="0" xfId="0" applyNumberFormat="1" applyFont="1" applyFill="1" applyAlignment="1">
      <alignment horizontal="center" vertical="top" wrapText="1"/>
    </xf>
    <xf numFmtId="1" fontId="3" fillId="2" borderId="13" xfId="0" applyNumberFormat="1" applyFont="1" applyFill="1" applyBorder="1" applyAlignment="1">
      <alignment horizontal="center" vertical="top" wrapText="1"/>
    </xf>
    <xf numFmtId="1" fontId="2" fillId="2" borderId="13" xfId="0" applyNumberFormat="1" applyFont="1" applyFill="1" applyBorder="1" applyAlignment="1">
      <alignment horizontal="center" vertical="top" wrapText="1"/>
    </xf>
    <xf numFmtId="1" fontId="3" fillId="2" borderId="11" xfId="0" applyNumberFormat="1" applyFont="1" applyFill="1" applyBorder="1" applyAlignment="1">
      <alignment horizontal="center" vertical="top" wrapText="1"/>
    </xf>
    <xf numFmtId="0" fontId="2" fillId="2" borderId="3" xfId="0" applyFont="1" applyFill="1" applyBorder="1" applyAlignment="1">
      <alignment horizontal="left" vertical="top" wrapText="1"/>
    </xf>
    <xf numFmtId="1" fontId="3" fillId="2" borderId="3" xfId="0" applyNumberFormat="1" applyFont="1" applyFill="1" applyBorder="1" applyAlignment="1">
      <alignment horizontal="center" vertical="top" wrapText="1"/>
    </xf>
    <xf numFmtId="1" fontId="3" fillId="2" borderId="14" xfId="0" applyNumberFormat="1" applyFont="1" applyFill="1" applyBorder="1" applyAlignment="1">
      <alignment horizontal="center" vertical="top" wrapText="1"/>
    </xf>
    <xf numFmtId="1" fontId="3" fillId="2" borderId="4" xfId="0" applyNumberFormat="1" applyFont="1" applyFill="1" applyBorder="1" applyAlignment="1">
      <alignment horizontal="center" vertical="top" wrapText="1"/>
    </xf>
    <xf numFmtId="1" fontId="2" fillId="2" borderId="4" xfId="0" applyNumberFormat="1" applyFont="1" applyFill="1" applyBorder="1" applyAlignment="1">
      <alignment horizontal="center" vertical="top" wrapText="1"/>
    </xf>
    <xf numFmtId="1" fontId="3" fillId="2" borderId="7" xfId="0" applyNumberFormat="1" applyFont="1" applyFill="1" applyBorder="1" applyAlignment="1">
      <alignment horizontal="center" vertical="top" wrapText="1"/>
    </xf>
    <xf numFmtId="1" fontId="2" fillId="2" borderId="0" xfId="0" applyNumberFormat="1" applyFont="1" applyFill="1" applyAlignment="1">
      <alignment horizontal="center" vertical="top" wrapText="1"/>
    </xf>
    <xf numFmtId="0" fontId="2" fillId="2" borderId="8" xfId="0" applyFont="1" applyFill="1" applyBorder="1" applyAlignment="1">
      <alignment horizontal="left" vertical="center"/>
    </xf>
    <xf numFmtId="0" fontId="2" fillId="2" borderId="12" xfId="0" applyFont="1" applyFill="1" applyBorder="1" applyAlignment="1">
      <alignment horizontal="left"/>
    </xf>
    <xf numFmtId="1" fontId="3" fillId="2" borderId="12" xfId="0" applyNumberFormat="1" applyFont="1" applyFill="1" applyBorder="1" applyAlignment="1">
      <alignment horizontal="center" vertical="center" wrapText="1"/>
    </xf>
    <xf numFmtId="1" fontId="3" fillId="2" borderId="0" xfId="0" applyNumberFormat="1" applyFont="1" applyFill="1" applyAlignment="1">
      <alignment horizontal="center" vertical="center" wrapText="1"/>
    </xf>
    <xf numFmtId="1" fontId="2" fillId="2" borderId="13" xfId="0" applyNumberFormat="1" applyFont="1" applyFill="1" applyBorder="1" applyAlignment="1">
      <alignment horizontal="center" vertical="center" wrapText="1"/>
    </xf>
    <xf numFmtId="1" fontId="3" fillId="2" borderId="11" xfId="0" applyNumberFormat="1" applyFont="1" applyFill="1" applyBorder="1" applyAlignment="1">
      <alignment horizontal="center" vertical="center" wrapText="1"/>
    </xf>
    <xf numFmtId="0" fontId="2" fillId="2" borderId="8" xfId="0" applyFont="1" applyFill="1" applyBorder="1" applyAlignment="1">
      <alignment horizontal="left" vertical="top" wrapText="1"/>
    </xf>
    <xf numFmtId="1" fontId="3" fillId="2" borderId="8" xfId="0" applyNumberFormat="1" applyFont="1" applyFill="1" applyBorder="1" applyAlignment="1">
      <alignment horizontal="center" vertical="center" wrapText="1"/>
    </xf>
    <xf numFmtId="1" fontId="3" fillId="2" borderId="15" xfId="0" applyNumberFormat="1" applyFont="1" applyFill="1" applyBorder="1" applyAlignment="1">
      <alignment horizontal="center" vertical="center" wrapText="1"/>
    </xf>
    <xf numFmtId="1" fontId="2" fillId="2" borderId="9" xfId="0" applyNumberFormat="1" applyFont="1" applyFill="1" applyBorder="1" applyAlignment="1">
      <alignment horizontal="center" vertical="center" wrapText="1"/>
    </xf>
    <xf numFmtId="1" fontId="3" fillId="2" borderId="5" xfId="0" applyNumberFormat="1" applyFont="1" applyFill="1" applyBorder="1" applyAlignment="1">
      <alignment horizontal="center" vertical="center" wrapText="1"/>
    </xf>
    <xf numFmtId="1" fontId="2" fillId="2" borderId="0" xfId="0" applyNumberFormat="1" applyFont="1" applyFill="1" applyAlignment="1">
      <alignment horizontal="center" vertical="center" wrapText="1"/>
    </xf>
    <xf numFmtId="0" fontId="2" fillId="2" borderId="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4" xfId="0" applyFont="1" applyFill="1" applyBorder="1" applyAlignment="1">
      <alignment horizontal="center" vertical="center" wrapText="1"/>
    </xf>
    <xf numFmtId="3" fontId="3" fillId="2" borderId="12" xfId="0" applyNumberFormat="1" applyFont="1" applyFill="1" applyBorder="1" applyAlignment="1">
      <alignment horizontal="center" vertical="center" wrapText="1"/>
    </xf>
    <xf numFmtId="164" fontId="3" fillId="2" borderId="0" xfId="0" applyNumberFormat="1" applyFont="1" applyFill="1" applyAlignment="1">
      <alignment horizontal="center" vertical="center" wrapText="1"/>
    </xf>
    <xf numFmtId="164" fontId="3" fillId="2" borderId="13" xfId="0" applyNumberFormat="1" applyFont="1" applyFill="1" applyBorder="1" applyAlignment="1">
      <alignment horizontal="center" vertical="center" wrapText="1"/>
    </xf>
    <xf numFmtId="0" fontId="2" fillId="2" borderId="11" xfId="0" applyFont="1" applyFill="1" applyBorder="1" applyAlignment="1">
      <alignment horizontal="left" vertical="top" wrapText="1"/>
    </xf>
    <xf numFmtId="3" fontId="2" fillId="2" borderId="8" xfId="0" applyNumberFormat="1" applyFont="1" applyFill="1" applyBorder="1" applyAlignment="1">
      <alignment horizontal="center" vertical="center" wrapText="1"/>
    </xf>
    <xf numFmtId="164" fontId="2" fillId="2" borderId="15" xfId="0" applyNumberFormat="1" applyFont="1" applyFill="1" applyBorder="1" applyAlignment="1">
      <alignment horizontal="center" vertical="center" wrapText="1"/>
    </xf>
    <xf numFmtId="164" fontId="2" fillId="2" borderId="9" xfId="0" applyNumberFormat="1" applyFont="1" applyFill="1" applyBorder="1" applyAlignment="1">
      <alignment horizontal="center" vertical="center" wrapText="1"/>
    </xf>
    <xf numFmtId="0" fontId="3" fillId="2" borderId="12" xfId="0" applyFont="1" applyFill="1" applyBorder="1" applyAlignment="1">
      <alignment horizontal="left"/>
    </xf>
    <xf numFmtId="0" fontId="3" fillId="2" borderId="12" xfId="0" applyFont="1" applyFill="1" applyBorder="1" applyAlignment="1">
      <alignment horizontal="left" vertical="top" wrapText="1"/>
    </xf>
    <xf numFmtId="3"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0" fontId="9" fillId="2" borderId="12" xfId="0" applyFont="1" applyFill="1" applyBorder="1" applyAlignment="1">
      <alignment horizontal="left" vertical="top" wrapText="1"/>
    </xf>
    <xf numFmtId="0" fontId="9" fillId="0" borderId="0" xfId="0" applyFont="1" applyAlignment="1">
      <alignment vertical="top" wrapText="1"/>
    </xf>
    <xf numFmtId="0" fontId="7" fillId="2" borderId="0" xfId="0" applyFont="1" applyFill="1" applyAlignment="1">
      <alignment vertical="center"/>
    </xf>
    <xf numFmtId="0" fontId="3" fillId="2" borderId="0" xfId="0" applyFont="1" applyFill="1" applyAlignment="1">
      <alignment horizontal="left" vertical="center" wrapText="1"/>
    </xf>
    <xf numFmtId="0" fontId="3" fillId="2" borderId="0" xfId="0" applyFont="1" applyFill="1" applyAlignment="1">
      <alignment horizontal="left" wrapText="1"/>
    </xf>
    <xf numFmtId="0" fontId="5" fillId="0" borderId="5" xfId="0" applyFont="1" applyBorder="1"/>
    <xf numFmtId="0" fontId="10" fillId="2" borderId="0" xfId="0" applyFont="1" applyFill="1"/>
    <xf numFmtId="1" fontId="5" fillId="2" borderId="1" xfId="0" applyNumberFormat="1" applyFont="1" applyFill="1" applyBorder="1" applyAlignment="1">
      <alignment horizontal="center" vertical="center"/>
    </xf>
    <xf numFmtId="1" fontId="5" fillId="2" borderId="0" xfId="0" applyNumberFormat="1" applyFont="1" applyFill="1" applyAlignment="1">
      <alignment horizontal="center" vertical="center"/>
    </xf>
    <xf numFmtId="1" fontId="5" fillId="2" borderId="13" xfId="0" applyNumberFormat="1" applyFont="1" applyFill="1" applyBorder="1" applyAlignment="1">
      <alignment horizontal="center" vertical="center"/>
    </xf>
    <xf numFmtId="1" fontId="5" fillId="2" borderId="12" xfId="0" applyNumberFormat="1" applyFont="1" applyFill="1" applyBorder="1" applyAlignment="1">
      <alignment horizontal="center" vertical="center"/>
    </xf>
    <xf numFmtId="1" fontId="5" fillId="2" borderId="0" xfId="0" applyNumberFormat="1" applyFont="1" applyFill="1" applyAlignment="1">
      <alignment horizontal="center"/>
    </xf>
    <xf numFmtId="1" fontId="5" fillId="2" borderId="13" xfId="0" applyNumberFormat="1" applyFont="1" applyFill="1" applyBorder="1" applyAlignment="1">
      <alignment horizontal="center"/>
    </xf>
    <xf numFmtId="1" fontId="5" fillId="2" borderId="3" xfId="0" applyNumberFormat="1" applyFont="1" applyFill="1" applyBorder="1" applyAlignment="1">
      <alignment horizontal="center" vertical="center"/>
    </xf>
    <xf numFmtId="1" fontId="5" fillId="2" borderId="14" xfId="0" applyNumberFormat="1" applyFont="1" applyFill="1" applyBorder="1" applyAlignment="1">
      <alignment horizontal="center" vertical="center"/>
    </xf>
    <xf numFmtId="1" fontId="5" fillId="2" borderId="14" xfId="0" applyNumberFormat="1" applyFont="1" applyFill="1" applyBorder="1" applyAlignment="1">
      <alignment horizontal="center"/>
    </xf>
    <xf numFmtId="1" fontId="5" fillId="2" borderId="4" xfId="0" applyNumberFormat="1" applyFont="1" applyFill="1" applyBorder="1" applyAlignment="1">
      <alignment horizontal="center"/>
    </xf>
    <xf numFmtId="0" fontId="9" fillId="2" borderId="0" xfId="0" applyFont="1" applyFill="1" applyAlignment="1">
      <alignment horizontal="center" vertical="top" wrapText="1"/>
    </xf>
    <xf numFmtId="1" fontId="5" fillId="2" borderId="0" xfId="0" applyNumberFormat="1" applyFont="1" applyFill="1"/>
    <xf numFmtId="1" fontId="3" fillId="2" borderId="0" xfId="0" applyNumberFormat="1" applyFont="1" applyFill="1" applyAlignment="1">
      <alignment vertical="center" wrapText="1"/>
    </xf>
    <xf numFmtId="1" fontId="3" fillId="2" borderId="0" xfId="0" applyNumberFormat="1" applyFont="1" applyFill="1" applyAlignment="1">
      <alignment vertical="center"/>
    </xf>
    <xf numFmtId="1" fontId="2" fillId="2" borderId="0" xfId="0" applyNumberFormat="1" applyFont="1" applyFill="1" applyAlignment="1">
      <alignment vertical="center"/>
    </xf>
    <xf numFmtId="0" fontId="3" fillId="0" borderId="0" xfId="0" applyFont="1" applyFill="1" applyAlignment="1">
      <alignment vertical="center"/>
    </xf>
    <xf numFmtId="1" fontId="5" fillId="2" borderId="0" xfId="0" applyNumberFormat="1" applyFont="1" applyFill="1" applyAlignment="1">
      <alignment vertical="center"/>
    </xf>
    <xf numFmtId="164" fontId="5" fillId="2" borderId="1" xfId="0" applyNumberFormat="1" applyFont="1" applyFill="1" applyBorder="1" applyAlignment="1">
      <alignment horizontal="center"/>
    </xf>
    <xf numFmtId="164" fontId="5" fillId="2" borderId="2" xfId="0" applyNumberFormat="1" applyFont="1" applyFill="1" applyBorder="1" applyAlignment="1">
      <alignment horizontal="center"/>
    </xf>
    <xf numFmtId="164" fontId="5" fillId="2" borderId="10" xfId="0" applyNumberFormat="1" applyFont="1" applyFill="1" applyBorder="1" applyAlignment="1">
      <alignment horizontal="center"/>
    </xf>
    <xf numFmtId="164" fontId="5" fillId="2" borderId="12" xfId="0" applyNumberFormat="1" applyFont="1" applyFill="1" applyBorder="1" applyAlignment="1">
      <alignment horizontal="center"/>
    </xf>
    <xf numFmtId="164" fontId="5" fillId="2" borderId="13" xfId="0" applyNumberFormat="1" applyFont="1" applyFill="1" applyBorder="1" applyAlignment="1">
      <alignment horizontal="center"/>
    </xf>
    <xf numFmtId="164" fontId="5" fillId="2" borderId="0" xfId="0" applyNumberFormat="1" applyFont="1" applyFill="1" applyAlignment="1">
      <alignment horizontal="center"/>
    </xf>
    <xf numFmtId="164" fontId="5" fillId="2" borderId="3" xfId="0" applyNumberFormat="1" applyFont="1" applyFill="1" applyBorder="1" applyAlignment="1">
      <alignment horizontal="center"/>
    </xf>
    <xf numFmtId="164" fontId="5" fillId="2" borderId="14" xfId="0" applyNumberFormat="1" applyFont="1" applyFill="1" applyBorder="1" applyAlignment="1">
      <alignment horizontal="center"/>
    </xf>
    <xf numFmtId="164" fontId="5" fillId="2" borderId="4" xfId="0" applyNumberFormat="1" applyFont="1" applyFill="1" applyBorder="1" applyAlignment="1">
      <alignment horizontal="center"/>
    </xf>
    <xf numFmtId="165" fontId="3" fillId="2" borderId="10" xfId="0" applyNumberFormat="1"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165" fontId="3" fillId="2" borderId="0" xfId="0" applyNumberFormat="1" applyFont="1" applyFill="1" applyAlignment="1">
      <alignment horizontal="center" vertical="center" wrapText="1"/>
    </xf>
    <xf numFmtId="165" fontId="3" fillId="2" borderId="13" xfId="0" applyNumberFormat="1" applyFont="1" applyFill="1" applyBorder="1" applyAlignment="1">
      <alignment horizontal="center" vertical="center" wrapText="1"/>
    </xf>
    <xf numFmtId="165" fontId="3" fillId="3" borderId="14" xfId="0" applyNumberFormat="1" applyFont="1" applyFill="1" applyBorder="1" applyAlignment="1">
      <alignment horizontal="center" vertical="center" wrapText="1"/>
    </xf>
    <xf numFmtId="165" fontId="3" fillId="2" borderId="14" xfId="0" applyNumberFormat="1" applyFont="1" applyFill="1" applyBorder="1" applyAlignment="1">
      <alignment horizontal="center" vertical="center" wrapText="1"/>
    </xf>
    <xf numFmtId="165" fontId="3" fillId="2" borderId="6" xfId="0" applyNumberFormat="1" applyFont="1" applyFill="1" applyBorder="1" applyAlignment="1">
      <alignment horizontal="center" vertical="center" wrapText="1"/>
    </xf>
    <xf numFmtId="1" fontId="3" fillId="2" borderId="6" xfId="0" applyNumberFormat="1" applyFont="1" applyFill="1" applyBorder="1" applyAlignment="1">
      <alignment horizontal="center" vertical="center"/>
    </xf>
    <xf numFmtId="164" fontId="3" fillId="2" borderId="6" xfId="0" applyNumberFormat="1" applyFont="1" applyFill="1" applyBorder="1" applyAlignment="1">
      <alignment horizontal="center" vertical="center"/>
    </xf>
    <xf numFmtId="165" fontId="3" fillId="2" borderId="11" xfId="0" applyNumberFormat="1" applyFont="1" applyFill="1" applyBorder="1" applyAlignment="1">
      <alignment horizontal="center" vertical="center" wrapText="1"/>
    </xf>
    <xf numFmtId="1" fontId="3" fillId="2" borderId="11" xfId="0" applyNumberFormat="1" applyFont="1" applyFill="1" applyBorder="1" applyAlignment="1">
      <alignment horizontal="center" vertical="center"/>
    </xf>
    <xf numFmtId="164" fontId="3" fillId="2" borderId="11" xfId="0" applyNumberFormat="1" applyFont="1" applyFill="1" applyBorder="1" applyAlignment="1">
      <alignment horizontal="center" vertical="center"/>
    </xf>
    <xf numFmtId="165" fontId="3" fillId="2" borderId="6" xfId="0" applyNumberFormat="1" applyFont="1" applyFill="1" applyBorder="1" applyAlignment="1">
      <alignment horizontal="center" vertical="top" wrapText="1"/>
    </xf>
    <xf numFmtId="1" fontId="3" fillId="2" borderId="6" xfId="0" applyNumberFormat="1" applyFont="1" applyFill="1" applyBorder="1" applyAlignment="1">
      <alignment horizontal="center"/>
    </xf>
    <xf numFmtId="164" fontId="3" fillId="2" borderId="2" xfId="0" applyNumberFormat="1" applyFont="1" applyFill="1" applyBorder="1" applyAlignment="1">
      <alignment horizontal="center"/>
    </xf>
    <xf numFmtId="165" fontId="3" fillId="0" borderId="11" xfId="0" applyNumberFormat="1" applyFont="1" applyBorder="1" applyAlignment="1">
      <alignment horizontal="center" vertical="top" wrapText="1"/>
    </xf>
    <xf numFmtId="1" fontId="3" fillId="0" borderId="11" xfId="0" applyNumberFormat="1" applyFont="1" applyBorder="1" applyAlignment="1">
      <alignment horizontal="center"/>
    </xf>
    <xf numFmtId="164" fontId="3" fillId="2" borderId="13" xfId="0" applyNumberFormat="1" applyFont="1" applyFill="1" applyBorder="1" applyAlignment="1">
      <alignment horizontal="center"/>
    </xf>
    <xf numFmtId="165" fontId="3" fillId="2" borderId="9" xfId="0" applyNumberFormat="1" applyFont="1" applyFill="1" applyBorder="1" applyAlignment="1">
      <alignment horizontal="center" vertical="top" wrapText="1"/>
    </xf>
    <xf numFmtId="1" fontId="3" fillId="2" borderId="5" xfId="0" applyNumberFormat="1" applyFont="1" applyFill="1" applyBorder="1" applyAlignment="1">
      <alignment horizontal="center"/>
    </xf>
    <xf numFmtId="164" fontId="3" fillId="2" borderId="5" xfId="0" applyNumberFormat="1" applyFont="1" applyFill="1" applyBorder="1" applyAlignment="1">
      <alignment horizontal="center" vertical="center"/>
    </xf>
    <xf numFmtId="165" fontId="3" fillId="2" borderId="11" xfId="0" applyNumberFormat="1" applyFont="1" applyFill="1" applyBorder="1" applyAlignment="1">
      <alignment horizontal="center" vertical="top" wrapText="1"/>
    </xf>
    <xf numFmtId="1" fontId="3" fillId="2" borderId="11" xfId="0" applyNumberFormat="1" applyFont="1" applyFill="1" applyBorder="1" applyAlignment="1">
      <alignment horizontal="center"/>
    </xf>
    <xf numFmtId="164" fontId="3" fillId="2" borderId="7" xfId="0" applyNumberFormat="1" applyFont="1" applyFill="1" applyBorder="1" applyAlignment="1">
      <alignment horizontal="center"/>
    </xf>
    <xf numFmtId="164" fontId="3" fillId="2" borderId="11" xfId="0" applyNumberFormat="1" applyFont="1" applyFill="1" applyBorder="1" applyAlignment="1">
      <alignment horizontal="center"/>
    </xf>
    <xf numFmtId="165" fontId="2" fillId="2" borderId="5" xfId="0" applyNumberFormat="1" applyFont="1" applyFill="1" applyBorder="1" applyAlignment="1">
      <alignment horizontal="center" vertical="top" wrapText="1"/>
    </xf>
    <xf numFmtId="1" fontId="2" fillId="2" borderId="5" xfId="0" applyNumberFormat="1" applyFont="1" applyFill="1" applyBorder="1" applyAlignment="1">
      <alignment horizontal="center"/>
    </xf>
    <xf numFmtId="164" fontId="2" fillId="2" borderId="5" xfId="0" applyNumberFormat="1" applyFont="1" applyFill="1" applyBorder="1" applyAlignment="1">
      <alignment horizontal="center"/>
    </xf>
    <xf numFmtId="0" fontId="3" fillId="2" borderId="0" xfId="0" applyFont="1" applyFill="1" applyAlignment="1">
      <alignment horizontal="left"/>
    </xf>
    <xf numFmtId="0" fontId="3" fillId="2" borderId="0" xfId="0" applyFont="1" applyFill="1" applyAlignment="1">
      <alignment wrapText="1"/>
    </xf>
    <xf numFmtId="0" fontId="2" fillId="2" borderId="0" xfId="0" applyFont="1" applyFill="1" applyAlignment="1">
      <alignment horizontal="left" wrapText="1"/>
    </xf>
    <xf numFmtId="0" fontId="3" fillId="2" borderId="0" xfId="0" applyFont="1" applyFill="1" applyAlignment="1">
      <alignment vertical="center" wrapText="1"/>
    </xf>
    <xf numFmtId="0" fontId="2" fillId="2" borderId="8"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0" borderId="6" xfId="0" applyFont="1" applyBorder="1" applyAlignment="1">
      <alignment horizontal="center" vertical="center" wrapText="1"/>
    </xf>
    <xf numFmtId="0" fontId="3" fillId="0" borderId="5" xfId="0" applyFont="1" applyBorder="1" applyAlignment="1">
      <alignment horizontal="center" vertical="top" wrapText="1"/>
    </xf>
    <xf numFmtId="0" fontId="3" fillId="0" borderId="5" xfId="0" applyFont="1" applyBorder="1" applyAlignment="1">
      <alignment horizontal="center" vertical="center" wrapText="1"/>
    </xf>
    <xf numFmtId="0" fontId="12" fillId="0" borderId="14" xfId="0" applyFont="1" applyBorder="1" applyAlignment="1">
      <alignment horizontal="center" vertical="center"/>
    </xf>
    <xf numFmtId="0" fontId="13" fillId="0" borderId="5" xfId="3" applyFont="1" applyBorder="1" applyAlignment="1">
      <alignment horizontal="left"/>
    </xf>
    <xf numFmtId="0" fontId="7" fillId="0" borderId="0" xfId="0" applyFont="1"/>
    <xf numFmtId="0" fontId="2" fillId="0" borderId="0" xfId="0" applyFont="1"/>
    <xf numFmtId="165" fontId="3" fillId="2" borderId="14" xfId="0" applyNumberFormat="1" applyFont="1" applyFill="1" applyBorder="1" applyAlignment="1">
      <alignment horizontal="center"/>
    </xf>
    <xf numFmtId="165" fontId="3" fillId="2" borderId="4" xfId="0" applyNumberFormat="1" applyFont="1" applyFill="1" applyBorder="1" applyAlignment="1">
      <alignment horizontal="center"/>
    </xf>
    <xf numFmtId="0" fontId="16" fillId="0" borderId="0" xfId="0" applyFont="1"/>
    <xf numFmtId="0" fontId="17" fillId="0" borderId="0" xfId="0" applyFont="1"/>
    <xf numFmtId="0" fontId="17" fillId="0" borderId="0" xfId="0" applyFont="1" applyFill="1"/>
    <xf numFmtId="0" fontId="16" fillId="2" borderId="8" xfId="0" applyFont="1" applyFill="1" applyBorder="1" applyAlignment="1">
      <alignment horizontal="center" wrapText="1"/>
    </xf>
    <xf numFmtId="0" fontId="16"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 xfId="0" applyFont="1" applyFill="1" applyBorder="1" applyAlignment="1">
      <alignment horizontal="left" vertical="top" wrapText="1"/>
    </xf>
    <xf numFmtId="164" fontId="2" fillId="2" borderId="1" xfId="0" applyNumberFormat="1" applyFont="1" applyFill="1" applyBorder="1" applyAlignment="1">
      <alignment horizontal="center" vertical="top" wrapText="1"/>
    </xf>
    <xf numFmtId="1" fontId="2" fillId="2" borderId="1" xfId="0" applyNumberFormat="1" applyFont="1" applyFill="1" applyBorder="1" applyAlignment="1">
      <alignment horizontal="center" vertical="top" wrapText="1"/>
    </xf>
    <xf numFmtId="1" fontId="2" fillId="2" borderId="6" xfId="0" applyNumberFormat="1" applyFont="1" applyFill="1" applyBorder="1" applyAlignment="1">
      <alignment horizontal="center" vertical="top" wrapText="1"/>
    </xf>
    <xf numFmtId="1" fontId="2" fillId="2" borderId="10" xfId="0" applyNumberFormat="1" applyFont="1" applyFill="1" applyBorder="1" applyAlignment="1">
      <alignment horizontal="center" vertical="top" wrapText="1"/>
    </xf>
    <xf numFmtId="0" fontId="7" fillId="2" borderId="12" xfId="0" applyFont="1" applyFill="1" applyBorder="1" applyAlignment="1">
      <alignment horizontal="left" vertical="center" wrapText="1" indent="1"/>
    </xf>
    <xf numFmtId="164" fontId="7" fillId="2" borderId="12" xfId="0" applyNumberFormat="1" applyFont="1" applyFill="1" applyBorder="1" applyAlignment="1">
      <alignment horizontal="center" vertical="top" wrapText="1"/>
    </xf>
    <xf numFmtId="1" fontId="7" fillId="2" borderId="12" xfId="0" applyNumberFormat="1" applyFont="1" applyFill="1" applyBorder="1" applyAlignment="1">
      <alignment horizontal="center" vertical="top" wrapText="1"/>
    </xf>
    <xf numFmtId="1" fontId="7" fillId="2" borderId="11" xfId="0" applyNumberFormat="1" applyFont="1" applyFill="1" applyBorder="1" applyAlignment="1">
      <alignment horizontal="center" vertical="top" wrapText="1"/>
    </xf>
    <xf numFmtId="1" fontId="7" fillId="2" borderId="0" xfId="0" applyNumberFormat="1" applyFont="1" applyFill="1" applyAlignment="1">
      <alignment horizontal="center" vertical="top" wrapText="1"/>
    </xf>
    <xf numFmtId="164" fontId="7" fillId="2" borderId="12" xfId="0" applyNumberFormat="1" applyFont="1" applyFill="1" applyBorder="1" applyAlignment="1">
      <alignment horizontal="center" vertical="center" wrapText="1"/>
    </xf>
    <xf numFmtId="1" fontId="7" fillId="2" borderId="12" xfId="0" applyNumberFormat="1" applyFont="1" applyFill="1" applyBorder="1" applyAlignment="1">
      <alignment horizontal="center" vertical="center" wrapText="1"/>
    </xf>
    <xf numFmtId="1" fontId="7" fillId="2" borderId="11" xfId="0" applyNumberFormat="1" applyFont="1" applyFill="1" applyBorder="1" applyAlignment="1">
      <alignment horizontal="center" vertical="center" wrapText="1"/>
    </xf>
    <xf numFmtId="1" fontId="7" fillId="2" borderId="0" xfId="0" applyNumberFormat="1" applyFont="1" applyFill="1" applyAlignment="1">
      <alignment horizontal="center" vertical="center" wrapText="1"/>
    </xf>
    <xf numFmtId="0" fontId="7" fillId="2" borderId="3" xfId="0" applyFont="1" applyFill="1" applyBorder="1" applyAlignment="1">
      <alignment horizontal="left" vertical="center" wrapText="1" indent="1"/>
    </xf>
    <xf numFmtId="164" fontId="2" fillId="2" borderId="8" xfId="0" applyNumberFormat="1" applyFont="1" applyFill="1" applyBorder="1" applyAlignment="1">
      <alignment horizontal="center" vertical="top" wrapText="1"/>
    </xf>
    <xf numFmtId="1" fontId="2" fillId="2" borderId="8" xfId="0" applyNumberFormat="1" applyFont="1" applyFill="1" applyBorder="1" applyAlignment="1">
      <alignment horizontal="center" vertical="top" wrapText="1"/>
    </xf>
    <xf numFmtId="1" fontId="2" fillId="2" borderId="5" xfId="0" applyNumberFormat="1" applyFont="1" applyFill="1" applyBorder="1" applyAlignment="1">
      <alignment horizontal="center" vertical="top" wrapText="1"/>
    </xf>
    <xf numFmtId="1" fontId="2" fillId="2" borderId="15" xfId="0" applyNumberFormat="1" applyFont="1" applyFill="1" applyBorder="1" applyAlignment="1">
      <alignment horizontal="center" vertical="top" wrapText="1"/>
    </xf>
    <xf numFmtId="1" fontId="2" fillId="2" borderId="0" xfId="0" applyNumberFormat="1" applyFont="1" applyFill="1" applyAlignment="1">
      <alignment horizontal="right" vertical="center" indent="1"/>
    </xf>
    <xf numFmtId="0" fontId="3" fillId="2" borderId="6" xfId="0" applyFont="1" applyFill="1" applyBorder="1" applyAlignment="1">
      <alignment horizontal="left"/>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0" borderId="0" xfId="0" applyFont="1" applyAlignment="1">
      <alignment horizontal="center" vertical="center" wrapText="1"/>
    </xf>
    <xf numFmtId="164" fontId="3" fillId="2" borderId="1" xfId="0" applyNumberFormat="1" applyFont="1" applyFill="1" applyBorder="1" applyAlignment="1">
      <alignment horizontal="right" indent="1"/>
    </xf>
    <xf numFmtId="164" fontId="3" fillId="2" borderId="10" xfId="0" applyNumberFormat="1" applyFont="1" applyFill="1" applyBorder="1" applyAlignment="1">
      <alignment horizontal="right" indent="1"/>
    </xf>
    <xf numFmtId="164" fontId="2" fillId="2" borderId="2" xfId="0" applyNumberFormat="1" applyFont="1" applyFill="1" applyBorder="1" applyAlignment="1">
      <alignment horizontal="right" indent="1"/>
    </xf>
    <xf numFmtId="164" fontId="3" fillId="2" borderId="2" xfId="0" applyNumberFormat="1" applyFont="1" applyFill="1" applyBorder="1" applyAlignment="1">
      <alignment horizontal="right" indent="1"/>
    </xf>
    <xf numFmtId="164" fontId="3" fillId="2" borderId="0" xfId="0" applyNumberFormat="1" applyFont="1" applyFill="1"/>
    <xf numFmtId="164" fontId="3" fillId="0" borderId="0" xfId="0" applyNumberFormat="1" applyFont="1"/>
    <xf numFmtId="1" fontId="3" fillId="0" borderId="0" xfId="0" applyNumberFormat="1" applyFont="1"/>
    <xf numFmtId="0" fontId="7" fillId="2" borderId="12" xfId="0" applyFont="1" applyFill="1" applyBorder="1" applyAlignment="1">
      <alignment horizontal="left" vertical="top" wrapText="1" indent="1"/>
    </xf>
    <xf numFmtId="164" fontId="7" fillId="2" borderId="12" xfId="0" applyNumberFormat="1" applyFont="1" applyFill="1" applyBorder="1" applyAlignment="1">
      <alignment horizontal="right" indent="1"/>
    </xf>
    <xf numFmtId="164" fontId="7" fillId="2" borderId="0" xfId="0" applyNumberFormat="1" applyFont="1" applyFill="1" applyAlignment="1">
      <alignment horizontal="right" indent="1"/>
    </xf>
    <xf numFmtId="164" fontId="19" fillId="2" borderId="13" xfId="0" applyNumberFormat="1" applyFont="1" applyFill="1" applyBorder="1" applyAlignment="1">
      <alignment horizontal="right" indent="1"/>
    </xf>
    <xf numFmtId="164" fontId="7" fillId="2" borderId="13" xfId="0" applyNumberFormat="1" applyFont="1" applyFill="1" applyBorder="1" applyAlignment="1">
      <alignment horizontal="right" indent="1"/>
    </xf>
    <xf numFmtId="164" fontId="7" fillId="2" borderId="0" xfId="0" applyNumberFormat="1" applyFont="1" applyFill="1"/>
    <xf numFmtId="164" fontId="7" fillId="2" borderId="3" xfId="0" applyNumberFormat="1" applyFont="1" applyFill="1" applyBorder="1" applyAlignment="1">
      <alignment horizontal="right" indent="1"/>
    </xf>
    <xf numFmtId="164" fontId="7" fillId="2" borderId="14" xfId="0" applyNumberFormat="1" applyFont="1" applyFill="1" applyBorder="1" applyAlignment="1">
      <alignment horizontal="right" indent="1"/>
    </xf>
    <xf numFmtId="164" fontId="19" fillId="2" borderId="4" xfId="0" applyNumberFormat="1" applyFont="1" applyFill="1" applyBorder="1" applyAlignment="1">
      <alignment horizontal="right" indent="1"/>
    </xf>
    <xf numFmtId="164" fontId="7" fillId="2" borderId="4" xfId="0" applyNumberFormat="1" applyFont="1" applyFill="1" applyBorder="1" applyAlignment="1">
      <alignment horizontal="right" indent="1"/>
    </xf>
    <xf numFmtId="164" fontId="3" fillId="2" borderId="12" xfId="0" applyNumberFormat="1" applyFont="1" applyFill="1" applyBorder="1" applyAlignment="1">
      <alignment horizontal="right" indent="1"/>
    </xf>
    <xf numFmtId="164" fontId="3" fillId="2" borderId="0" xfId="0" applyNumberFormat="1" applyFont="1" applyFill="1" applyAlignment="1">
      <alignment horizontal="right" indent="1"/>
    </xf>
    <xf numFmtId="164" fontId="2" fillId="2" borderId="13" xfId="0" applyNumberFormat="1" applyFont="1" applyFill="1" applyBorder="1" applyAlignment="1">
      <alignment horizontal="right" indent="1"/>
    </xf>
    <xf numFmtId="164" fontId="3" fillId="2" borderId="13" xfId="0" applyNumberFormat="1" applyFont="1" applyFill="1" applyBorder="1" applyAlignment="1">
      <alignment horizontal="right" indent="1"/>
    </xf>
    <xf numFmtId="164" fontId="2" fillId="2" borderId="8" xfId="0" applyNumberFormat="1" applyFont="1" applyFill="1" applyBorder="1" applyAlignment="1">
      <alignment horizontal="right" vertical="center" indent="1"/>
    </xf>
    <xf numFmtId="164" fontId="2" fillId="2" borderId="15" xfId="0" applyNumberFormat="1" applyFont="1" applyFill="1" applyBorder="1" applyAlignment="1">
      <alignment horizontal="right" vertical="center" indent="1"/>
    </xf>
    <xf numFmtId="164" fontId="2" fillId="2" borderId="9" xfId="0" applyNumberFormat="1" applyFont="1" applyFill="1" applyBorder="1" applyAlignment="1">
      <alignment horizontal="right" vertical="center" indent="1"/>
    </xf>
    <xf numFmtId="164" fontId="2" fillId="2" borderId="9" xfId="0" applyNumberFormat="1" applyFont="1" applyFill="1" applyBorder="1" applyAlignment="1">
      <alignment horizontal="right" indent="1"/>
    </xf>
    <xf numFmtId="164" fontId="2" fillId="2" borderId="0" xfId="0" applyNumberFormat="1" applyFont="1" applyFill="1"/>
    <xf numFmtId="164" fontId="2" fillId="2" borderId="0" xfId="0" applyNumberFormat="1" applyFont="1" applyFill="1" applyAlignment="1">
      <alignment horizontal="right" vertical="center" indent="1"/>
    </xf>
    <xf numFmtId="0" fontId="3" fillId="2" borderId="5" xfId="0" applyFont="1" applyFill="1" applyBorder="1"/>
    <xf numFmtId="0" fontId="2" fillId="2" borderId="15" xfId="0" applyFont="1" applyFill="1" applyBorder="1" applyAlignment="1">
      <alignment horizontal="center"/>
    </xf>
    <xf numFmtId="0" fontId="2" fillId="2" borderId="9" xfId="0" applyFont="1" applyFill="1" applyBorder="1" applyAlignment="1">
      <alignment horizontal="center"/>
    </xf>
    <xf numFmtId="0" fontId="2" fillId="2" borderId="6" xfId="0" applyFont="1" applyFill="1" applyBorder="1" applyAlignment="1">
      <alignment vertical="top" wrapText="1"/>
    </xf>
    <xf numFmtId="164" fontId="3" fillId="2" borderId="10" xfId="0" applyNumberFormat="1" applyFont="1" applyFill="1" applyBorder="1" applyAlignment="1">
      <alignment horizontal="center"/>
    </xf>
    <xf numFmtId="0" fontId="2" fillId="2" borderId="11" xfId="0" applyFont="1" applyFill="1" applyBorder="1" applyAlignment="1">
      <alignment vertical="top" wrapText="1"/>
    </xf>
    <xf numFmtId="164" fontId="3" fillId="2" borderId="0" xfId="0" applyNumberFormat="1" applyFont="1" applyFill="1" applyAlignment="1">
      <alignment horizontal="center"/>
    </xf>
    <xf numFmtId="0" fontId="2" fillId="2" borderId="7" xfId="0" applyFont="1" applyFill="1" applyBorder="1" applyAlignment="1">
      <alignment vertical="top" wrapText="1"/>
    </xf>
    <xf numFmtId="164" fontId="3" fillId="2" borderId="14" xfId="0" applyNumberFormat="1" applyFont="1" applyFill="1" applyBorder="1" applyAlignment="1">
      <alignment horizontal="center"/>
    </xf>
    <xf numFmtId="164" fontId="3" fillId="2" borderId="4" xfId="0" applyNumberFormat="1" applyFont="1" applyFill="1" applyBorder="1" applyAlignment="1">
      <alignment horizontal="center"/>
    </xf>
    <xf numFmtId="3" fontId="3" fillId="0" borderId="12" xfId="0" applyNumberFormat="1" applyFont="1" applyFill="1" applyBorder="1" applyAlignment="1">
      <alignment horizontal="center" vertical="center" wrapText="1"/>
    </xf>
    <xf numFmtId="3" fontId="3" fillId="0" borderId="13" xfId="0" applyNumberFormat="1" applyFont="1" applyFill="1" applyBorder="1" applyAlignment="1">
      <alignment horizontal="center" vertical="center" wrapText="1"/>
    </xf>
    <xf numFmtId="0" fontId="5" fillId="0" borderId="0" xfId="0" applyFont="1" applyFill="1"/>
    <xf numFmtId="0" fontId="2" fillId="2" borderId="11" xfId="0" applyFont="1" applyFill="1" applyBorder="1"/>
    <xf numFmtId="3" fontId="3" fillId="2" borderId="13" xfId="0" applyNumberFormat="1" applyFont="1" applyFill="1" applyBorder="1" applyAlignment="1">
      <alignment horizontal="center"/>
    </xf>
    <xf numFmtId="0" fontId="2" fillId="2" borderId="5" xfId="0" applyFont="1" applyFill="1" applyBorder="1"/>
    <xf numFmtId="3" fontId="2" fillId="2" borderId="9" xfId="0" applyNumberFormat="1" applyFont="1" applyFill="1" applyBorder="1" applyAlignment="1">
      <alignment horizontal="center"/>
    </xf>
    <xf numFmtId="0" fontId="2" fillId="0" borderId="0" xfId="0" applyFont="1" applyFill="1"/>
    <xf numFmtId="0" fontId="3" fillId="0" borderId="0" xfId="0" applyFont="1" applyFill="1"/>
    <xf numFmtId="0" fontId="7" fillId="0" borderId="0" xfId="0" applyFont="1" applyFill="1" applyAlignment="1">
      <alignment vertical="center"/>
    </xf>
    <xf numFmtId="0" fontId="11" fillId="0" borderId="0" xfId="0" applyFont="1" applyFill="1" applyAlignment="1">
      <alignment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xf numFmtId="164" fontId="3" fillId="2" borderId="1" xfId="0" applyNumberFormat="1" applyFont="1" applyFill="1" applyBorder="1" applyAlignment="1">
      <alignment horizontal="center"/>
    </xf>
    <xf numFmtId="0" fontId="2" fillId="2" borderId="12" xfId="0" applyFont="1" applyFill="1" applyBorder="1"/>
    <xf numFmtId="164" fontId="3" fillId="2" borderId="12" xfId="0" applyNumberFormat="1" applyFont="1" applyFill="1" applyBorder="1" applyAlignment="1">
      <alignment horizontal="center"/>
    </xf>
    <xf numFmtId="0" fontId="2" fillId="2" borderId="8" xfId="0" applyFont="1" applyFill="1" applyBorder="1"/>
    <xf numFmtId="164" fontId="2" fillId="2" borderId="8" xfId="0" applyNumberFormat="1" applyFont="1" applyFill="1" applyBorder="1" applyAlignment="1">
      <alignment horizontal="center"/>
    </xf>
    <xf numFmtId="164" fontId="2" fillId="2" borderId="9" xfId="0" applyNumberFormat="1" applyFont="1" applyFill="1" applyBorder="1" applyAlignment="1">
      <alignment horizontal="center"/>
    </xf>
    <xf numFmtId="164" fontId="2" fillId="2" borderId="15" xfId="0" applyNumberFormat="1" applyFont="1" applyFill="1" applyBorder="1" applyAlignment="1">
      <alignment horizontal="center"/>
    </xf>
    <xf numFmtId="0" fontId="22" fillId="2" borderId="5" xfId="0" applyFont="1" applyFill="1" applyBorder="1" applyAlignment="1">
      <alignment horizontal="center" vertical="center" wrapText="1"/>
    </xf>
    <xf numFmtId="0" fontId="13" fillId="0" borderId="5" xfId="3" quotePrefix="1" applyFont="1" applyBorder="1" applyAlignment="1">
      <alignment vertical="center"/>
    </xf>
    <xf numFmtId="0" fontId="13" fillId="0" borderId="5" xfId="3" applyFont="1" applyBorder="1" applyAlignment="1">
      <alignment vertical="center"/>
    </xf>
    <xf numFmtId="0" fontId="13" fillId="0" borderId="5" xfId="3" quotePrefix="1" applyFont="1" applyBorder="1"/>
    <xf numFmtId="0" fontId="13" fillId="0" borderId="5" xfId="3" applyFont="1" applyBorder="1"/>
    <xf numFmtId="0" fontId="13" fillId="0" borderId="5" xfId="3" quotePrefix="1" applyFont="1" applyBorder="1" applyAlignment="1">
      <alignment vertical="center" wrapText="1"/>
    </xf>
    <xf numFmtId="0" fontId="13" fillId="0" borderId="5" xfId="3" applyFont="1" applyBorder="1" applyAlignment="1">
      <alignment vertical="center" wrapText="1"/>
    </xf>
    <xf numFmtId="0" fontId="6" fillId="0" borderId="0" xfId="0" applyFont="1" applyAlignment="1">
      <alignment horizontal="left" vertical="center"/>
    </xf>
    <xf numFmtId="0" fontId="6" fillId="0" borderId="14" xfId="0" applyFont="1" applyBorder="1" applyAlignment="1">
      <alignment horizontal="left" vertical="center"/>
    </xf>
    <xf numFmtId="0" fontId="13" fillId="0" borderId="5" xfId="3" quotePrefix="1" applyFont="1" applyBorder="1" applyAlignment="1">
      <alignment horizontal="left"/>
    </xf>
    <xf numFmtId="0" fontId="13" fillId="0" borderId="5" xfId="3" applyFont="1" applyBorder="1" applyAlignment="1">
      <alignment horizontal="left"/>
    </xf>
    <xf numFmtId="0" fontId="13" fillId="0" borderId="8" xfId="3" quotePrefix="1" applyFont="1" applyBorder="1" applyAlignment="1">
      <alignment horizontal="left"/>
    </xf>
    <xf numFmtId="0" fontId="13" fillId="0" borderId="15" xfId="3" quotePrefix="1" applyFont="1" applyBorder="1" applyAlignment="1">
      <alignment horizontal="left"/>
    </xf>
    <xf numFmtId="0" fontId="13" fillId="0" borderId="9" xfId="3" quotePrefix="1" applyFont="1" applyBorder="1" applyAlignment="1">
      <alignment horizontal="left"/>
    </xf>
    <xf numFmtId="0" fontId="3" fillId="2" borderId="1" xfId="0" applyFont="1" applyFill="1" applyBorder="1" applyAlignment="1">
      <alignment horizontal="left" vertical="center"/>
    </xf>
    <xf numFmtId="0" fontId="3" fillId="2" borderId="12" xfId="0" applyFont="1" applyFill="1" applyBorder="1" applyAlignment="1">
      <alignment horizontal="left" vertical="center"/>
    </xf>
    <xf numFmtId="0" fontId="3" fillId="2" borderId="3" xfId="0" applyFont="1" applyFill="1" applyBorder="1" applyAlignment="1">
      <alignment horizontal="left" vertical="center"/>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7" fillId="2" borderId="0" xfId="0" applyFont="1" applyFill="1" applyAlignment="1">
      <alignment horizontal="left" vertical="center"/>
    </xf>
    <xf numFmtId="0" fontId="3" fillId="2" borderId="0" xfId="0" applyFont="1" applyFill="1" applyAlignment="1">
      <alignment horizontal="left"/>
    </xf>
    <xf numFmtId="0" fontId="8" fillId="2" borderId="0" xfId="0" applyFont="1" applyFill="1" applyAlignment="1">
      <alignment horizontal="left"/>
    </xf>
    <xf numFmtId="0" fontId="3" fillId="2" borderId="0" xfId="0" applyFont="1" applyFill="1" applyAlignment="1">
      <alignment horizontal="left" vertical="center"/>
    </xf>
    <xf numFmtId="0" fontId="8" fillId="2" borderId="0" xfId="0" applyFont="1" applyFill="1" applyAlignment="1">
      <alignment horizontal="left" vertical="center"/>
    </xf>
    <xf numFmtId="0" fontId="2" fillId="2" borderId="5" xfId="0" applyFont="1" applyFill="1" applyBorder="1" applyAlignment="1">
      <alignment horizontal="left" vertical="top" wrapText="1"/>
    </xf>
    <xf numFmtId="0" fontId="3" fillId="2" borderId="0" xfId="0" applyFont="1" applyFill="1" applyAlignment="1">
      <alignment wrapText="1"/>
    </xf>
    <xf numFmtId="0" fontId="3" fillId="2" borderId="0" xfId="0" applyFont="1" applyFill="1" applyAlignment="1">
      <alignment horizontal="left" vertical="top" wrapText="1"/>
    </xf>
    <xf numFmtId="0" fontId="2" fillId="2" borderId="0" xfId="0" applyFont="1" applyFill="1" applyAlignment="1">
      <alignment horizontal="left" wrapText="1"/>
    </xf>
    <xf numFmtId="0" fontId="3" fillId="2" borderId="0" xfId="0" applyFont="1" applyFill="1" applyAlignment="1">
      <alignment horizontal="left" vertical="center" wrapText="1"/>
    </xf>
    <xf numFmtId="0" fontId="3" fillId="0" borderId="0" xfId="0" applyFont="1" applyFill="1" applyAlignment="1">
      <alignment horizontal="left" vertical="center" wrapText="1"/>
    </xf>
    <xf numFmtId="0" fontId="16" fillId="2" borderId="8" xfId="0" applyFont="1" applyFill="1" applyBorder="1" applyAlignment="1">
      <alignment horizontal="center" wrapText="1"/>
    </xf>
    <xf numFmtId="0" fontId="16" fillId="2" borderId="9" xfId="0" applyFont="1" applyFill="1" applyBorder="1" applyAlignment="1">
      <alignment horizont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6" xfId="0" applyFont="1" applyFill="1" applyBorder="1" applyAlignment="1">
      <alignment horizontal="center"/>
    </xf>
    <xf numFmtId="0" fontId="3" fillId="2" borderId="7" xfId="0" applyFont="1" applyFill="1" applyBorder="1" applyAlignment="1">
      <alignment horizontal="center"/>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2" borderId="0" xfId="0" applyFont="1" applyFill="1" applyAlignment="1">
      <alignment horizontal="left" wrapText="1"/>
    </xf>
    <xf numFmtId="0" fontId="3" fillId="2" borderId="0" xfId="0" applyFont="1" applyFill="1" applyAlignment="1">
      <alignment vertical="center" wrapText="1"/>
    </xf>
    <xf numFmtId="0" fontId="2" fillId="2" borderId="15" xfId="0" applyFont="1" applyFill="1" applyBorder="1" applyAlignment="1">
      <alignment horizontal="center" vertical="center" wrapText="1"/>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0" xfId="0" applyFont="1" applyAlignment="1">
      <alignment horizontal="left" wrapText="1"/>
    </xf>
    <xf numFmtId="0" fontId="2" fillId="2" borderId="11" xfId="0" applyFont="1" applyFill="1" applyBorder="1" applyAlignment="1">
      <alignment horizontal="center" vertical="center" wrapText="1"/>
    </xf>
    <xf numFmtId="0" fontId="2" fillId="2" borderId="5" xfId="0" applyFont="1" applyFill="1" applyBorder="1" applyAlignment="1">
      <alignment horizontal="center" vertical="top" wrapText="1"/>
    </xf>
    <xf numFmtId="0" fontId="2" fillId="2" borderId="15" xfId="0" applyFont="1" applyFill="1" applyBorder="1" applyAlignment="1">
      <alignment horizontal="center" vertical="top" wrapText="1"/>
    </xf>
    <xf numFmtId="0" fontId="3" fillId="2" borderId="11" xfId="0" applyFont="1" applyFill="1" applyBorder="1"/>
    <xf numFmtId="167" fontId="3" fillId="2" borderId="11" xfId="4" applyNumberFormat="1" applyFont="1" applyFill="1" applyBorder="1" applyAlignment="1">
      <alignment horizontal="left" vertical="center"/>
    </xf>
    <xf numFmtId="167" fontId="3" fillId="2" borderId="0" xfId="4" applyNumberFormat="1" applyFont="1" applyFill="1" applyBorder="1" applyAlignment="1">
      <alignment horizontal="center"/>
    </xf>
    <xf numFmtId="3" fontId="3" fillId="2" borderId="11" xfId="1" applyNumberFormat="1" applyFont="1" applyFill="1" applyBorder="1" applyAlignment="1">
      <alignment horizontal="center"/>
    </xf>
    <xf numFmtId="167" fontId="2" fillId="2" borderId="5" xfId="4" applyNumberFormat="1" applyFont="1" applyFill="1" applyBorder="1" applyAlignment="1">
      <alignment horizontal="left" vertical="center"/>
    </xf>
    <xf numFmtId="167" fontId="2" fillId="2" borderId="8" xfId="4" applyNumberFormat="1" applyFont="1" applyFill="1" applyBorder="1" applyAlignment="1">
      <alignment horizontal="center"/>
    </xf>
    <xf numFmtId="3" fontId="2" fillId="2" borderId="5" xfId="1" applyNumberFormat="1" applyFont="1" applyFill="1" applyBorder="1" applyAlignment="1">
      <alignment horizontal="center"/>
    </xf>
    <xf numFmtId="0" fontId="16" fillId="2" borderId="0" xfId="0" applyFont="1" applyFill="1"/>
    <xf numFmtId="0" fontId="16" fillId="2" borderId="8" xfId="0" applyFont="1" applyFill="1" applyBorder="1" applyAlignment="1">
      <alignment horizontal="center"/>
    </xf>
    <xf numFmtId="0" fontId="16" fillId="2" borderId="15" xfId="0" applyFont="1" applyFill="1" applyBorder="1" applyAlignment="1">
      <alignment horizontal="center"/>
    </xf>
    <xf numFmtId="0" fontId="16" fillId="2" borderId="9" xfId="0" applyFont="1" applyFill="1" applyBorder="1" applyAlignment="1">
      <alignment horizontal="center"/>
    </xf>
    <xf numFmtId="0" fontId="16" fillId="2" borderId="1" xfId="0" applyFont="1" applyFill="1" applyBorder="1"/>
    <xf numFmtId="0" fontId="17" fillId="2" borderId="1" xfId="0" applyFont="1" applyFill="1" applyBorder="1" applyAlignment="1">
      <alignment horizontal="center"/>
    </xf>
    <xf numFmtId="164" fontId="17" fillId="2" borderId="10" xfId="0" applyNumberFormat="1" applyFont="1" applyFill="1" applyBorder="1" applyAlignment="1">
      <alignment horizontal="center"/>
    </xf>
    <xf numFmtId="164" fontId="17" fillId="2" borderId="2" xfId="0" applyNumberFormat="1" applyFont="1" applyFill="1" applyBorder="1" applyAlignment="1">
      <alignment horizontal="center"/>
    </xf>
    <xf numFmtId="0" fontId="16" fillId="2" borderId="12" xfId="0" applyFont="1" applyFill="1" applyBorder="1"/>
    <xf numFmtId="0" fontId="17" fillId="2" borderId="12" xfId="0" applyFont="1" applyFill="1" applyBorder="1" applyAlignment="1">
      <alignment horizontal="center"/>
    </xf>
    <xf numFmtId="164" fontId="17" fillId="2" borderId="0" xfId="0" applyNumberFormat="1" applyFont="1" applyFill="1" applyAlignment="1">
      <alignment horizontal="center"/>
    </xf>
    <xf numFmtId="164" fontId="17" fillId="2" borderId="13" xfId="0" applyNumberFormat="1" applyFont="1" applyFill="1" applyBorder="1" applyAlignment="1">
      <alignment horizontal="center"/>
    </xf>
    <xf numFmtId="0" fontId="16" fillId="2" borderId="3" xfId="0" applyFont="1" applyFill="1" applyBorder="1"/>
    <xf numFmtId="0" fontId="17" fillId="2" borderId="3" xfId="0" applyFont="1" applyFill="1" applyBorder="1" applyAlignment="1">
      <alignment horizontal="center"/>
    </xf>
    <xf numFmtId="164" fontId="17" fillId="2" borderId="14" xfId="0" applyNumberFormat="1" applyFont="1" applyFill="1" applyBorder="1" applyAlignment="1">
      <alignment horizontal="center"/>
    </xf>
    <xf numFmtId="164" fontId="17" fillId="2" borderId="4" xfId="0" applyNumberFormat="1" applyFont="1" applyFill="1" applyBorder="1" applyAlignment="1">
      <alignment horizontal="center"/>
    </xf>
    <xf numFmtId="0" fontId="16" fillId="2" borderId="8" xfId="0" applyFont="1" applyFill="1" applyBorder="1"/>
    <xf numFmtId="164" fontId="16" fillId="2" borderId="15" xfId="0" applyNumberFormat="1" applyFont="1" applyFill="1" applyBorder="1" applyAlignment="1">
      <alignment horizontal="center"/>
    </xf>
    <xf numFmtId="164" fontId="16" fillId="2" borderId="9" xfId="0" applyNumberFormat="1" applyFont="1" applyFill="1" applyBorder="1" applyAlignment="1">
      <alignment horizontal="center"/>
    </xf>
  </cellXfs>
  <cellStyles count="5">
    <cellStyle name="Lien hypertexte" xfId="3" builtinId="8"/>
    <cellStyle name="Milliers" xfId="4" builtinId="3"/>
    <cellStyle name="Normal" xfId="0" builtinId="0"/>
    <cellStyle name="Normal 3" xfId="2" xr:uid="{FA20E272-5564-46E6-8744-144ACBB5F305}"/>
    <cellStyle name="Pourcentage" xfId="1" builtinId="5"/>
  </cellStyles>
  <dxfs count="0"/>
  <tableStyles count="0" defaultTableStyle="TableStyleMedium2" defaultPivotStyle="PivotStyleLight16"/>
  <colors>
    <mruColors>
      <color rgb="FF34BAB5"/>
      <color rgb="FF37635F"/>
      <color rgb="FFAEA397"/>
      <color rgb="FFCE614A"/>
      <color rgb="FF6E445A"/>
      <color rgb="FFC3992A"/>
      <color rgb="FF009081"/>
      <color rgb="FFBA90A6"/>
      <color rgb="FF130710"/>
      <color rgb="FF3D23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2'!$B$6</c:f>
              <c:strCache>
                <c:ptCount val="1"/>
                <c:pt idx="0">
                  <c:v>FPE/Fonctionnaires civils</c:v>
                </c:pt>
              </c:strCache>
            </c:strRef>
          </c:tx>
          <c:spPr>
            <a:ln w="19050" cap="rnd">
              <a:solidFill>
                <a:srgbClr val="6E445A"/>
              </a:solidFill>
              <a:round/>
            </a:ln>
            <a:effectLst/>
          </c:spPr>
          <c:marker>
            <c:symbol val="none"/>
          </c:marker>
          <c:dLbls>
            <c:dLbl>
              <c:idx val="5"/>
              <c:layout>
                <c:manualLayout>
                  <c:x val="0.10277777777777773"/>
                  <c:y val="-8.79627806940799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65895B2-588C-4E6B-96E0-033C4629B66F}" type="SERIESNAME">
                      <a:rPr lang="en-US"/>
                      <a:pPr>
                        <a:defRPr/>
                      </a:pPr>
                      <a:t>[NOM DE SÉRIE]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30469444444444443"/>
                      <c:h val="9.2384441528142305E-2"/>
                    </c:manualLayout>
                  </c15:layout>
                  <c15:dlblFieldTable/>
                  <c15:showDataLabelsRange val="0"/>
                </c:ext>
                <c:ext xmlns:c16="http://schemas.microsoft.com/office/drawing/2014/chart" uri="{C3380CC4-5D6E-409C-BE32-E72D297353CC}">
                  <c16:uniqueId val="{00000009-412C-48FA-AAEC-D4199622DD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'Figure 2'!$C$5:$AB$5</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'Figure 2'!$C$6:$AB$6</c:f>
              <c:numCache>
                <c:formatCode>#,##0.0</c:formatCode>
                <c:ptCount val="26"/>
                <c:pt idx="0">
                  <c:v>47</c:v>
                </c:pt>
                <c:pt idx="1">
                  <c:v>47.7</c:v>
                </c:pt>
                <c:pt idx="2">
                  <c:v>53</c:v>
                </c:pt>
                <c:pt idx="3">
                  <c:v>61.2</c:v>
                </c:pt>
                <c:pt idx="4">
                  <c:v>57.6</c:v>
                </c:pt>
                <c:pt idx="5">
                  <c:v>56.6</c:v>
                </c:pt>
                <c:pt idx="6">
                  <c:v>61.7</c:v>
                </c:pt>
                <c:pt idx="7">
                  <c:v>64.900000000000006</c:v>
                </c:pt>
                <c:pt idx="8">
                  <c:v>65.900000000000006</c:v>
                </c:pt>
                <c:pt idx="9">
                  <c:v>54.3</c:v>
                </c:pt>
                <c:pt idx="10">
                  <c:v>56.2</c:v>
                </c:pt>
                <c:pt idx="11">
                  <c:v>59.1</c:v>
                </c:pt>
                <c:pt idx="12">
                  <c:v>42.9</c:v>
                </c:pt>
                <c:pt idx="13">
                  <c:v>46</c:v>
                </c:pt>
                <c:pt idx="14">
                  <c:v>44.2</c:v>
                </c:pt>
                <c:pt idx="15">
                  <c:v>41.463000000000001</c:v>
                </c:pt>
                <c:pt idx="16">
                  <c:v>41.694000000000003</c:v>
                </c:pt>
                <c:pt idx="17">
                  <c:v>45.982999999999997</c:v>
                </c:pt>
                <c:pt idx="18">
                  <c:v>43.433999999999997</c:v>
                </c:pt>
                <c:pt idx="19">
                  <c:v>42.372</c:v>
                </c:pt>
                <c:pt idx="20">
                  <c:v>42.594999999999999</c:v>
                </c:pt>
                <c:pt idx="21">
                  <c:v>46.276000000000003</c:v>
                </c:pt>
                <c:pt idx="22">
                  <c:v>46.856000000000002</c:v>
                </c:pt>
                <c:pt idx="23">
                  <c:v>45.302</c:v>
                </c:pt>
                <c:pt idx="24">
                  <c:v>38.790999999999997</c:v>
                </c:pt>
                <c:pt idx="25">
                  <c:v>39.146000000000001</c:v>
                </c:pt>
              </c:numCache>
            </c:numRef>
          </c:val>
          <c:smooth val="0"/>
          <c:extLst>
            <c:ext xmlns:c16="http://schemas.microsoft.com/office/drawing/2014/chart" uri="{C3380CC4-5D6E-409C-BE32-E72D297353CC}">
              <c16:uniqueId val="{00000000-FDA2-434E-92B4-F6E5A2D6048F}"/>
            </c:ext>
          </c:extLst>
        </c:ser>
        <c:ser>
          <c:idx val="1"/>
          <c:order val="1"/>
          <c:tx>
            <c:strRef>
              <c:f>'Figure 2'!$B$7</c:f>
              <c:strCache>
                <c:ptCount val="1"/>
                <c:pt idx="0">
                  <c:v>FPE/Militaires</c:v>
                </c:pt>
              </c:strCache>
            </c:strRef>
          </c:tx>
          <c:spPr>
            <a:ln w="19050" cap="rnd">
              <a:solidFill>
                <a:srgbClr val="130710"/>
              </a:solidFill>
              <a:round/>
            </a:ln>
            <a:effectLst/>
          </c:spPr>
          <c:marker>
            <c:symbol val="none"/>
          </c:marker>
          <c:dLbls>
            <c:dLbl>
              <c:idx val="18"/>
              <c:layout>
                <c:manualLayout>
                  <c:x val="-0.15513428120063191"/>
                  <c:y val="-2.6994555315227004E-2"/>
                </c:manualLayout>
              </c:layout>
              <c:tx>
                <c:rich>
                  <a:bodyPr/>
                  <a:lstStyle/>
                  <a:p>
                    <a:fld id="{0D219D05-72EB-4D30-912B-F1251A3C1913}" type="SERIESNAME">
                      <a:rPr lang="en-US"/>
                      <a:pPr/>
                      <a:t>[NOM DE SÉRIE]</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412C-48FA-AAEC-D4199622DD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'Figure 2'!$C$5:$AB$5</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'Figure 2'!$C$7:$AB$7</c:f>
              <c:numCache>
                <c:formatCode>#,##0.0</c:formatCode>
                <c:ptCount val="26"/>
                <c:pt idx="0">
                  <c:v>13.1</c:v>
                </c:pt>
                <c:pt idx="1">
                  <c:v>13.4</c:v>
                </c:pt>
                <c:pt idx="2">
                  <c:v>13.3</c:v>
                </c:pt>
                <c:pt idx="3">
                  <c:v>11.5</c:v>
                </c:pt>
                <c:pt idx="4">
                  <c:v>10.6</c:v>
                </c:pt>
                <c:pt idx="5">
                  <c:v>9.8000000000000007</c:v>
                </c:pt>
                <c:pt idx="6">
                  <c:v>9.6999999999999993</c:v>
                </c:pt>
                <c:pt idx="7">
                  <c:v>10.8</c:v>
                </c:pt>
                <c:pt idx="8">
                  <c:v>12.4</c:v>
                </c:pt>
                <c:pt idx="9">
                  <c:v>12.2</c:v>
                </c:pt>
                <c:pt idx="10">
                  <c:v>12.9</c:v>
                </c:pt>
                <c:pt idx="11">
                  <c:v>13.4</c:v>
                </c:pt>
                <c:pt idx="12">
                  <c:v>11.5</c:v>
                </c:pt>
                <c:pt idx="13">
                  <c:v>11.9</c:v>
                </c:pt>
                <c:pt idx="14">
                  <c:v>11.9</c:v>
                </c:pt>
                <c:pt idx="15">
                  <c:v>11.458</c:v>
                </c:pt>
                <c:pt idx="16">
                  <c:v>11.334</c:v>
                </c:pt>
                <c:pt idx="17">
                  <c:v>11.457000000000001</c:v>
                </c:pt>
                <c:pt idx="18">
                  <c:v>11.731</c:v>
                </c:pt>
                <c:pt idx="19">
                  <c:v>12.792999999999999</c:v>
                </c:pt>
                <c:pt idx="20">
                  <c:v>11.81</c:v>
                </c:pt>
                <c:pt idx="21">
                  <c:v>12.36</c:v>
                </c:pt>
                <c:pt idx="22">
                  <c:v>13.504</c:v>
                </c:pt>
                <c:pt idx="23">
                  <c:v>13.564</c:v>
                </c:pt>
                <c:pt idx="24">
                  <c:v>11.816000000000001</c:v>
                </c:pt>
                <c:pt idx="25">
                  <c:v>10.691000000000001</c:v>
                </c:pt>
              </c:numCache>
            </c:numRef>
          </c:val>
          <c:smooth val="0"/>
          <c:extLst>
            <c:ext xmlns:c16="http://schemas.microsoft.com/office/drawing/2014/chart" uri="{C3380CC4-5D6E-409C-BE32-E72D297353CC}">
              <c16:uniqueId val="{00000001-FDA2-434E-92B4-F6E5A2D6048F}"/>
            </c:ext>
          </c:extLst>
        </c:ser>
        <c:ser>
          <c:idx val="2"/>
          <c:order val="2"/>
          <c:tx>
            <c:strRef>
              <c:f>'Figure 2'!$B$8</c:f>
              <c:strCache>
                <c:ptCount val="1"/>
                <c:pt idx="0">
                  <c:v>FPE/Ouvriers d'État </c:v>
                </c:pt>
              </c:strCache>
            </c:strRef>
          </c:tx>
          <c:spPr>
            <a:ln w="19050" cap="rnd">
              <a:solidFill>
                <a:srgbClr val="BA90A6"/>
              </a:solidFill>
              <a:round/>
            </a:ln>
            <a:effectLst/>
          </c:spPr>
          <c:marker>
            <c:symbol val="none"/>
          </c:marker>
          <c:dLbls>
            <c:dLbl>
              <c:idx val="2"/>
              <c:layout>
                <c:manualLayout>
                  <c:x val="-4.4444444444444446E-2"/>
                  <c:y val="-3.7037037037036952E-2"/>
                </c:manualLayout>
              </c:layout>
              <c:tx>
                <c:rich>
                  <a:bodyPr/>
                  <a:lstStyle/>
                  <a:p>
                    <a:fld id="{97224800-F548-4D9C-8CD5-342DB41036EE}" type="SERIESNAME">
                      <a:rPr lang="en-US"/>
                      <a:pPr/>
                      <a:t>[NOM DE SÉRIE]</a:t>
                    </a:fld>
                    <a:endParaRPr lang="fr-FR"/>
                  </a:p>
                </c:rich>
              </c:tx>
              <c:showLegendKey val="0"/>
              <c:showVal val="1"/>
              <c:showCatName val="0"/>
              <c:showSerName val="0"/>
              <c:showPercent val="0"/>
              <c:showBubbleSize val="0"/>
              <c:extLst>
                <c:ext xmlns:c15="http://schemas.microsoft.com/office/drawing/2012/chart" uri="{CE6537A1-D6FC-4f65-9D91-7224C49458BB}">
                  <c15:layout>
                    <c:manualLayout>
                      <c:w val="0.2558471128608924"/>
                      <c:h val="0.11560185185185186"/>
                    </c:manualLayout>
                  </c15:layout>
                  <c15:dlblFieldTable/>
                  <c15:showDataLabelsRange val="0"/>
                </c:ext>
                <c:ext xmlns:c16="http://schemas.microsoft.com/office/drawing/2014/chart" uri="{C3380CC4-5D6E-409C-BE32-E72D297353CC}">
                  <c16:uniqueId val="{0000000C-412C-48FA-AAEC-D4199622DD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2'!$C$5:$AB$5</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'Figure 2'!$C$8:$AB$8</c:f>
              <c:numCache>
                <c:formatCode>#,##0.0</c:formatCode>
                <c:ptCount val="26"/>
                <c:pt idx="0">
                  <c:v>2.1</c:v>
                </c:pt>
                <c:pt idx="1">
                  <c:v>2</c:v>
                </c:pt>
                <c:pt idx="2">
                  <c:v>1.2</c:v>
                </c:pt>
                <c:pt idx="3">
                  <c:v>1.2</c:v>
                </c:pt>
                <c:pt idx="4">
                  <c:v>1.8</c:v>
                </c:pt>
                <c:pt idx="5">
                  <c:v>1.8</c:v>
                </c:pt>
                <c:pt idx="6">
                  <c:v>2.6</c:v>
                </c:pt>
                <c:pt idx="7">
                  <c:v>2.5</c:v>
                </c:pt>
                <c:pt idx="8">
                  <c:v>3.1</c:v>
                </c:pt>
                <c:pt idx="9">
                  <c:v>2.4</c:v>
                </c:pt>
                <c:pt idx="10">
                  <c:v>2.6</c:v>
                </c:pt>
                <c:pt idx="11">
                  <c:v>2.5</c:v>
                </c:pt>
                <c:pt idx="12">
                  <c:v>2</c:v>
                </c:pt>
                <c:pt idx="13">
                  <c:v>2.5</c:v>
                </c:pt>
                <c:pt idx="14">
                  <c:v>2.4</c:v>
                </c:pt>
                <c:pt idx="15">
                  <c:v>2.1</c:v>
                </c:pt>
                <c:pt idx="16">
                  <c:v>2.2999999999999998</c:v>
                </c:pt>
                <c:pt idx="17">
                  <c:v>2.7</c:v>
                </c:pt>
                <c:pt idx="18">
                  <c:v>2.1949999999999998</c:v>
                </c:pt>
                <c:pt idx="19">
                  <c:v>2.12</c:v>
                </c:pt>
                <c:pt idx="20">
                  <c:v>1.9990000000000001</c:v>
                </c:pt>
                <c:pt idx="21">
                  <c:v>1.9019999999999999</c:v>
                </c:pt>
                <c:pt idx="22">
                  <c:v>1.7509999999999999</c:v>
                </c:pt>
                <c:pt idx="23">
                  <c:v>1.6619999999999999</c:v>
                </c:pt>
                <c:pt idx="24">
                  <c:v>1.3260000000000001</c:v>
                </c:pt>
                <c:pt idx="25">
                  <c:v>1.3819999999999999</c:v>
                </c:pt>
              </c:numCache>
            </c:numRef>
          </c:val>
          <c:smooth val="0"/>
          <c:extLst>
            <c:ext xmlns:c16="http://schemas.microsoft.com/office/drawing/2014/chart" uri="{C3380CC4-5D6E-409C-BE32-E72D297353CC}">
              <c16:uniqueId val="{00000002-FDA2-434E-92B4-F6E5A2D6048F}"/>
            </c:ext>
          </c:extLst>
        </c:ser>
        <c:ser>
          <c:idx val="3"/>
          <c:order val="3"/>
          <c:tx>
            <c:strRef>
              <c:f>'Figure 2'!$B$9</c:f>
              <c:strCache>
                <c:ptCount val="1"/>
                <c:pt idx="0">
                  <c:v>FPT/Fonctionnaires</c:v>
                </c:pt>
              </c:strCache>
            </c:strRef>
          </c:tx>
          <c:spPr>
            <a:ln w="19050" cap="rnd">
              <a:solidFill>
                <a:srgbClr val="009081"/>
              </a:solidFill>
              <a:round/>
            </a:ln>
            <a:effectLst/>
          </c:spPr>
          <c:marker>
            <c:symbol val="none"/>
          </c:marker>
          <c:dLbls>
            <c:dLbl>
              <c:idx val="13"/>
              <c:layout>
                <c:manualLayout>
                  <c:x val="-0.36944433508311458"/>
                  <c:y val="-4.1666666666666664E-2"/>
                </c:manualLayout>
              </c:layout>
              <c:tx>
                <c:rich>
                  <a:bodyPr/>
                  <a:lstStyle/>
                  <a:p>
                    <a:fld id="{AF9410D5-C549-499E-B430-35E8FB2664A1}" type="SERIESNAME">
                      <a:rPr lang="en-US"/>
                      <a:pPr/>
                      <a:t>[NOM DE SÉRIE]</a:t>
                    </a:fld>
                    <a:endParaRPr lang="fr-FR"/>
                  </a:p>
                </c:rich>
              </c:tx>
              <c:showLegendKey val="0"/>
              <c:showVal val="1"/>
              <c:showCatName val="0"/>
              <c:showSerName val="0"/>
              <c:showPercent val="0"/>
              <c:showBubbleSize val="0"/>
              <c:extLst>
                <c:ext xmlns:c15="http://schemas.microsoft.com/office/drawing/2012/chart" uri="{CE6537A1-D6FC-4f65-9D91-7224C49458BB}">
                  <c15:layout>
                    <c:manualLayout>
                      <c:w val="0.31726399825021867"/>
                      <c:h val="0.11560185185185186"/>
                    </c:manualLayout>
                  </c15:layout>
                  <c15:dlblFieldTable/>
                  <c15:showDataLabelsRange val="0"/>
                </c:ext>
                <c:ext xmlns:c16="http://schemas.microsoft.com/office/drawing/2014/chart" uri="{C3380CC4-5D6E-409C-BE32-E72D297353CC}">
                  <c16:uniqueId val="{00000001-3F3A-4330-AA65-1A6795BB73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'Figure 2'!$C$5:$AB$5</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'Figure 2'!$C$9:$AB$9</c:f>
              <c:numCache>
                <c:formatCode>#,##0.0</c:formatCode>
                <c:ptCount val="26"/>
                <c:pt idx="0">
                  <c:v>16.8</c:v>
                </c:pt>
                <c:pt idx="1">
                  <c:v>16.5</c:v>
                </c:pt>
                <c:pt idx="2">
                  <c:v>18.600000000000001</c:v>
                </c:pt>
                <c:pt idx="3">
                  <c:v>25</c:v>
                </c:pt>
                <c:pt idx="4">
                  <c:v>16.399999999999999</c:v>
                </c:pt>
                <c:pt idx="5">
                  <c:v>21</c:v>
                </c:pt>
                <c:pt idx="6">
                  <c:v>29.5</c:v>
                </c:pt>
                <c:pt idx="7">
                  <c:v>28.4</c:v>
                </c:pt>
                <c:pt idx="8">
                  <c:v>32.700000000000003</c:v>
                </c:pt>
                <c:pt idx="9">
                  <c:v>24.9</c:v>
                </c:pt>
                <c:pt idx="10">
                  <c:v>28.8</c:v>
                </c:pt>
                <c:pt idx="11">
                  <c:v>34.799999999999997</c:v>
                </c:pt>
                <c:pt idx="12">
                  <c:v>26.4</c:v>
                </c:pt>
                <c:pt idx="13">
                  <c:v>32.5</c:v>
                </c:pt>
                <c:pt idx="14">
                  <c:v>32.799999999999997</c:v>
                </c:pt>
                <c:pt idx="15">
                  <c:v>33.167000000000002</c:v>
                </c:pt>
                <c:pt idx="16">
                  <c:v>36.401000000000003</c:v>
                </c:pt>
                <c:pt idx="17">
                  <c:v>40.795999999999999</c:v>
                </c:pt>
                <c:pt idx="18">
                  <c:v>43.137999999999998</c:v>
                </c:pt>
                <c:pt idx="19">
                  <c:v>43.582999999999998</c:v>
                </c:pt>
                <c:pt idx="20">
                  <c:v>43.677</c:v>
                </c:pt>
                <c:pt idx="21">
                  <c:v>46.27</c:v>
                </c:pt>
                <c:pt idx="22">
                  <c:v>48.823</c:v>
                </c:pt>
                <c:pt idx="23">
                  <c:v>47.683999999999997</c:v>
                </c:pt>
                <c:pt idx="24">
                  <c:v>42.981000000000002</c:v>
                </c:pt>
                <c:pt idx="25">
                  <c:v>46.896999999999998</c:v>
                </c:pt>
              </c:numCache>
            </c:numRef>
          </c:val>
          <c:smooth val="0"/>
          <c:extLst>
            <c:ext xmlns:c16="http://schemas.microsoft.com/office/drawing/2014/chart" uri="{C3380CC4-5D6E-409C-BE32-E72D297353CC}">
              <c16:uniqueId val="{00000003-FDA2-434E-92B4-F6E5A2D6048F}"/>
            </c:ext>
          </c:extLst>
        </c:ser>
        <c:ser>
          <c:idx val="4"/>
          <c:order val="4"/>
          <c:tx>
            <c:strRef>
              <c:f>'Figure 2'!$B$10</c:f>
              <c:strCache>
                <c:ptCount val="1"/>
                <c:pt idx="0">
                  <c:v>FPH/Fonctionnaires</c:v>
                </c:pt>
              </c:strCache>
            </c:strRef>
          </c:tx>
          <c:spPr>
            <a:ln w="19050" cap="rnd">
              <a:solidFill>
                <a:srgbClr val="C3992A"/>
              </a:solidFill>
              <a:round/>
            </a:ln>
            <a:effectLst/>
          </c:spPr>
          <c:marker>
            <c:symbol val="none"/>
          </c:marker>
          <c:dLbls>
            <c:dLbl>
              <c:idx val="17"/>
              <c:layout>
                <c:manualLayout>
                  <c:x val="-2.5370393855244842E-2"/>
                  <c:y val="-6.75003262713708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1785642-8796-49C1-96DA-7229F5366F16}" type="SERIESNAME">
                      <a:rPr lang="en-US"/>
                      <a:pPr>
                        <a:defRPr/>
                      </a:pPr>
                      <a:t>[NOM DE SÉRIE]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25059733158355207"/>
                      <c:h val="8.7824074074074068E-2"/>
                    </c:manualLayout>
                  </c15:layout>
                  <c15:dlblFieldTable/>
                  <c15:showDataLabelsRange val="0"/>
                </c:ext>
                <c:ext xmlns:c16="http://schemas.microsoft.com/office/drawing/2014/chart" uri="{C3380CC4-5D6E-409C-BE32-E72D297353CC}">
                  <c16:uniqueId val="{00000004-3F3A-4330-AA65-1A6795BB73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'Figure 2'!$C$5:$AB$5</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'Figure 2'!$C$10:$AB$10</c:f>
              <c:numCache>
                <c:formatCode>#,##0.0</c:formatCode>
                <c:ptCount val="26"/>
                <c:pt idx="0">
                  <c:v>15.5</c:v>
                </c:pt>
                <c:pt idx="1">
                  <c:v>16.7</c:v>
                </c:pt>
                <c:pt idx="2">
                  <c:v>19.100000000000001</c:v>
                </c:pt>
                <c:pt idx="3">
                  <c:v>28.6</c:v>
                </c:pt>
                <c:pt idx="4">
                  <c:v>15.7</c:v>
                </c:pt>
                <c:pt idx="5">
                  <c:v>21.2</c:v>
                </c:pt>
                <c:pt idx="6">
                  <c:v>24.1</c:v>
                </c:pt>
                <c:pt idx="7">
                  <c:v>24.7</c:v>
                </c:pt>
                <c:pt idx="8">
                  <c:v>29.9</c:v>
                </c:pt>
                <c:pt idx="9">
                  <c:v>22.3</c:v>
                </c:pt>
                <c:pt idx="10">
                  <c:v>25.1</c:v>
                </c:pt>
                <c:pt idx="11">
                  <c:v>31.4</c:v>
                </c:pt>
                <c:pt idx="12">
                  <c:v>18.7</c:v>
                </c:pt>
                <c:pt idx="13">
                  <c:v>21.7</c:v>
                </c:pt>
                <c:pt idx="14">
                  <c:v>21.7</c:v>
                </c:pt>
                <c:pt idx="15">
                  <c:v>21.026</c:v>
                </c:pt>
                <c:pt idx="16">
                  <c:v>22.847999999999999</c:v>
                </c:pt>
                <c:pt idx="17">
                  <c:v>25.47</c:v>
                </c:pt>
                <c:pt idx="18">
                  <c:v>26.059000000000001</c:v>
                </c:pt>
                <c:pt idx="19">
                  <c:v>24.702000000000002</c:v>
                </c:pt>
                <c:pt idx="20">
                  <c:v>23.062000000000001</c:v>
                </c:pt>
                <c:pt idx="21">
                  <c:v>22.372</c:v>
                </c:pt>
                <c:pt idx="22">
                  <c:v>26.440999999999999</c:v>
                </c:pt>
                <c:pt idx="23">
                  <c:v>25.11</c:v>
                </c:pt>
                <c:pt idx="24">
                  <c:v>19.766999999999999</c:v>
                </c:pt>
                <c:pt idx="25">
                  <c:v>22.753</c:v>
                </c:pt>
              </c:numCache>
            </c:numRef>
          </c:val>
          <c:smooth val="0"/>
          <c:extLst>
            <c:ext xmlns:c16="http://schemas.microsoft.com/office/drawing/2014/chart" uri="{C3380CC4-5D6E-409C-BE32-E72D297353CC}">
              <c16:uniqueId val="{00000004-FDA2-434E-92B4-F6E5A2D6048F}"/>
            </c:ext>
          </c:extLst>
        </c:ser>
        <c:ser>
          <c:idx val="5"/>
          <c:order val="5"/>
          <c:tx>
            <c:strRef>
              <c:f>'Figure 2'!$B$11</c:f>
              <c:strCache>
                <c:ptCount val="1"/>
                <c:pt idx="0">
                  <c:v>FP/Ircantec</c:v>
                </c:pt>
              </c:strCache>
            </c:strRef>
          </c:tx>
          <c:spPr>
            <a:ln w="19050" cap="rnd">
              <a:solidFill>
                <a:srgbClr val="AEA397"/>
              </a:solidFill>
              <a:round/>
            </a:ln>
            <a:effectLst/>
          </c:spPr>
          <c:marker>
            <c:symbol val="none"/>
          </c:marker>
          <c:dLbls>
            <c:dLbl>
              <c:idx val="17"/>
              <c:layout>
                <c:manualLayout>
                  <c:x val="-2.2222222222222223E-2"/>
                  <c:y val="3.2407407407407406E-2"/>
                </c:manualLayout>
              </c:layout>
              <c:tx>
                <c:rich>
                  <a:bodyPr/>
                  <a:lstStyle/>
                  <a:p>
                    <a:fld id="{A477AFB7-1E85-4827-8C5D-5C0C7B590810}" type="SERIESNAME">
                      <a:rPr lang="en-US"/>
                      <a:pPr/>
                      <a:t>[NOM DE SÉRIE]</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12C-48FA-AAEC-D4199622DD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2'!$C$5:$AB$5</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'Figure 2'!$C$11:$AB$11</c:f>
              <c:numCache>
                <c:formatCode>#,##0.0</c:formatCode>
                <c:ptCount val="26"/>
                <c:pt idx="8">
                  <c:v>22.1</c:v>
                </c:pt>
                <c:pt idx="9">
                  <c:v>24</c:v>
                </c:pt>
                <c:pt idx="10">
                  <c:v>25.2</c:v>
                </c:pt>
                <c:pt idx="11">
                  <c:v>22.3</c:v>
                </c:pt>
                <c:pt idx="12">
                  <c:v>20.3</c:v>
                </c:pt>
                <c:pt idx="13">
                  <c:v>23.1</c:v>
                </c:pt>
                <c:pt idx="14">
                  <c:v>19.600000000000001</c:v>
                </c:pt>
                <c:pt idx="15">
                  <c:v>21.5</c:v>
                </c:pt>
                <c:pt idx="16">
                  <c:v>22.3</c:v>
                </c:pt>
                <c:pt idx="17">
                  <c:v>22.3</c:v>
                </c:pt>
                <c:pt idx="18">
                  <c:v>23.1</c:v>
                </c:pt>
                <c:pt idx="19">
                  <c:v>23.8</c:v>
                </c:pt>
                <c:pt idx="20">
                  <c:v>21.6</c:v>
                </c:pt>
                <c:pt idx="21">
                  <c:v>22.08</c:v>
                </c:pt>
                <c:pt idx="22">
                  <c:v>24.125</c:v>
                </c:pt>
                <c:pt idx="23">
                  <c:v>23.916</c:v>
                </c:pt>
                <c:pt idx="24">
                  <c:v>22.036999999999999</c:v>
                </c:pt>
                <c:pt idx="25">
                  <c:v>23.164000000000001</c:v>
                </c:pt>
              </c:numCache>
            </c:numRef>
          </c:val>
          <c:smooth val="0"/>
          <c:extLst>
            <c:ext xmlns:c16="http://schemas.microsoft.com/office/drawing/2014/chart" uri="{C3380CC4-5D6E-409C-BE32-E72D297353CC}">
              <c16:uniqueId val="{00000005-FDA2-434E-92B4-F6E5A2D6048F}"/>
            </c:ext>
          </c:extLst>
        </c:ser>
        <c:dLbls>
          <c:showLegendKey val="0"/>
          <c:showVal val="0"/>
          <c:showCatName val="0"/>
          <c:showSerName val="0"/>
          <c:showPercent val="0"/>
          <c:showBubbleSize val="0"/>
        </c:dLbls>
        <c:smooth val="0"/>
        <c:axId val="1873943392"/>
        <c:axId val="2084222848"/>
      </c:lineChart>
      <c:catAx>
        <c:axId val="187394339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4222848"/>
        <c:crosses val="autoZero"/>
        <c:auto val="1"/>
        <c:lblAlgn val="ctr"/>
        <c:lblOffset val="100"/>
        <c:noMultiLvlLbl val="0"/>
      </c:catAx>
      <c:valAx>
        <c:axId val="2084222848"/>
        <c:scaling>
          <c:orientation val="minMax"/>
          <c:max val="7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3943392"/>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58092738407698"/>
          <c:y val="3.2407407407407406E-2"/>
          <c:w val="0.86486351706036746"/>
          <c:h val="0.73577136191309422"/>
        </c:manualLayout>
      </c:layout>
      <c:lineChart>
        <c:grouping val="standard"/>
        <c:varyColors val="0"/>
        <c:ser>
          <c:idx val="0"/>
          <c:order val="0"/>
          <c:tx>
            <c:strRef>
              <c:f>'Figure 3'!$B$6</c:f>
              <c:strCache>
                <c:ptCount val="1"/>
                <c:pt idx="0">
                  <c:v>Femmes </c:v>
                </c:pt>
              </c:strCache>
            </c:strRef>
          </c:tx>
          <c:spPr>
            <a:ln w="19050" cap="rnd">
              <a:solidFill>
                <a:srgbClr val="37635F"/>
              </a:solidFill>
              <a:round/>
            </a:ln>
            <a:effectLst/>
          </c:spPr>
          <c:marker>
            <c:symbol val="none"/>
          </c:marker>
          <c:cat>
            <c:numRef>
              <c:f>'Figure 3'!$C$5:$M$5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3'!$C$6:$M$6</c:f>
              <c:numCache>
                <c:formatCode>0.0</c:formatCode>
                <c:ptCount val="11"/>
                <c:pt idx="0">
                  <c:v>57.899000000000001</c:v>
                </c:pt>
                <c:pt idx="1">
                  <c:v>61.335000000000001</c:v>
                </c:pt>
                <c:pt idx="2">
                  <c:v>69.292000000000002</c:v>
                </c:pt>
                <c:pt idx="3">
                  <c:v>70.873000000000005</c:v>
                </c:pt>
                <c:pt idx="4">
                  <c:v>70.445999999999998</c:v>
                </c:pt>
                <c:pt idx="5">
                  <c:v>69.863</c:v>
                </c:pt>
                <c:pt idx="6">
                  <c:v>74.016999999999996</c:v>
                </c:pt>
                <c:pt idx="7">
                  <c:v>79.051000000000002</c:v>
                </c:pt>
                <c:pt idx="8">
                  <c:v>76.840999999999994</c:v>
                </c:pt>
                <c:pt idx="9">
                  <c:v>65.602000000000004</c:v>
                </c:pt>
                <c:pt idx="10">
                  <c:v>70.724000000000004</c:v>
                </c:pt>
              </c:numCache>
            </c:numRef>
          </c:val>
          <c:smooth val="0"/>
          <c:extLst>
            <c:ext xmlns:c16="http://schemas.microsoft.com/office/drawing/2014/chart" uri="{C3380CC4-5D6E-409C-BE32-E72D297353CC}">
              <c16:uniqueId val="{00000000-44E8-4B8D-A8BB-3A6053FEE335}"/>
            </c:ext>
          </c:extLst>
        </c:ser>
        <c:ser>
          <c:idx val="1"/>
          <c:order val="1"/>
          <c:tx>
            <c:strRef>
              <c:f>'Figure 3'!$B$7</c:f>
              <c:strCache>
                <c:ptCount val="1"/>
                <c:pt idx="0">
                  <c:v>Hommes</c:v>
                </c:pt>
              </c:strCache>
            </c:strRef>
          </c:tx>
          <c:spPr>
            <a:ln w="19050" cap="rnd">
              <a:solidFill>
                <a:srgbClr val="34BAB5"/>
              </a:solidFill>
              <a:round/>
            </a:ln>
            <a:effectLst/>
          </c:spPr>
          <c:marker>
            <c:symbol val="none"/>
          </c:marker>
          <c:cat>
            <c:numRef>
              <c:f>'Figure 3'!$C$5:$M$5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3'!$C$7:$M$7</c:f>
              <c:numCache>
                <c:formatCode>0.0</c:formatCode>
                <c:ptCount val="11"/>
                <c:pt idx="0">
                  <c:v>49.215000000000003</c:v>
                </c:pt>
                <c:pt idx="1">
                  <c:v>50.942</c:v>
                </c:pt>
                <c:pt idx="2">
                  <c:v>54.414000000000001</c:v>
                </c:pt>
                <c:pt idx="3">
                  <c:v>53.488999999999997</c:v>
                </c:pt>
                <c:pt idx="4">
                  <c:v>53.003999999999998</c:v>
                </c:pt>
                <c:pt idx="5">
                  <c:v>51.280999999999999</c:v>
                </c:pt>
                <c:pt idx="6">
                  <c:v>53.261000000000003</c:v>
                </c:pt>
                <c:pt idx="7">
                  <c:v>56.573</c:v>
                </c:pt>
                <c:pt idx="8">
                  <c:v>54.819000000000003</c:v>
                </c:pt>
                <c:pt idx="9">
                  <c:v>47.753</c:v>
                </c:pt>
                <c:pt idx="10">
                  <c:v>48.762999999999998</c:v>
                </c:pt>
              </c:numCache>
            </c:numRef>
          </c:val>
          <c:smooth val="0"/>
          <c:extLst>
            <c:ext xmlns:c16="http://schemas.microsoft.com/office/drawing/2014/chart" uri="{C3380CC4-5D6E-409C-BE32-E72D297353CC}">
              <c16:uniqueId val="{00000001-44E8-4B8D-A8BB-3A6053FEE335}"/>
            </c:ext>
          </c:extLst>
        </c:ser>
        <c:dLbls>
          <c:showLegendKey val="0"/>
          <c:showVal val="0"/>
          <c:showCatName val="0"/>
          <c:showSerName val="0"/>
          <c:showPercent val="0"/>
          <c:showBubbleSize val="0"/>
        </c:dLbls>
        <c:smooth val="0"/>
        <c:axId val="466793264"/>
        <c:axId val="466795344"/>
      </c:lineChart>
      <c:catAx>
        <c:axId val="4667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6795344"/>
        <c:crosses val="autoZero"/>
        <c:auto val="1"/>
        <c:lblAlgn val="ctr"/>
        <c:lblOffset val="100"/>
        <c:noMultiLvlLbl val="0"/>
      </c:catAx>
      <c:valAx>
        <c:axId val="466795344"/>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679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4'!$B$6</c:f>
              <c:strCache>
                <c:ptCount val="1"/>
                <c:pt idx="0">
                  <c:v>Ancienneté sédentaire</c:v>
                </c:pt>
              </c:strCache>
            </c:strRef>
          </c:tx>
          <c:spPr>
            <a:ln w="19050" cap="rnd">
              <a:solidFill>
                <a:srgbClr val="37635F"/>
              </a:solidFill>
              <a:round/>
            </a:ln>
            <a:effectLst/>
          </c:spPr>
          <c:marker>
            <c:symbol val="none"/>
          </c:marker>
          <c:cat>
            <c:numRef>
              <c:f>'Figure 4'!$C$5:$M$5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4'!$C$6:$M$6</c:f>
              <c:numCache>
                <c:formatCode>0.0</c:formatCode>
                <c:ptCount val="11"/>
                <c:pt idx="0" formatCode="General">
                  <c:v>100</c:v>
                </c:pt>
                <c:pt idx="1">
                  <c:v>102.61525608243247</c:v>
                </c:pt>
                <c:pt idx="2">
                  <c:v>112.54968480214688</c:v>
                </c:pt>
                <c:pt idx="3">
                  <c:v>120.20304311501556</c:v>
                </c:pt>
                <c:pt idx="4">
                  <c:v>121.42332717283982</c:v>
                </c:pt>
                <c:pt idx="5">
                  <c:v>126.35256588774399</c:v>
                </c:pt>
                <c:pt idx="6">
                  <c:v>140.47697410061014</c:v>
                </c:pt>
                <c:pt idx="7">
                  <c:v>150.24177827286766</c:v>
                </c:pt>
                <c:pt idx="8">
                  <c:v>146.29484290741536</c:v>
                </c:pt>
                <c:pt idx="9">
                  <c:v>129.53998835413555</c:v>
                </c:pt>
                <c:pt idx="10">
                  <c:v>129.76784222385376</c:v>
                </c:pt>
              </c:numCache>
            </c:numRef>
          </c:val>
          <c:smooth val="0"/>
          <c:extLst>
            <c:ext xmlns:c16="http://schemas.microsoft.com/office/drawing/2014/chart" uri="{C3380CC4-5D6E-409C-BE32-E72D297353CC}">
              <c16:uniqueId val="{00000000-9E6A-480D-86DF-26D1D0FC1EAA}"/>
            </c:ext>
          </c:extLst>
        </c:ser>
        <c:ser>
          <c:idx val="1"/>
          <c:order val="1"/>
          <c:tx>
            <c:strRef>
              <c:f>'Figure 4'!$B$7</c:f>
              <c:strCache>
                <c:ptCount val="1"/>
                <c:pt idx="0">
                  <c:v>Départs anticipés (vieillesse)1</c:v>
                </c:pt>
              </c:strCache>
            </c:strRef>
          </c:tx>
          <c:spPr>
            <a:ln w="19050" cap="rnd">
              <a:solidFill>
                <a:srgbClr val="CE614A"/>
              </a:solidFill>
              <a:round/>
            </a:ln>
            <a:effectLst/>
          </c:spPr>
          <c:marker>
            <c:symbol val="none"/>
          </c:marker>
          <c:cat>
            <c:numRef>
              <c:f>'Figure 4'!$C$5:$M$5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4'!$C$7:$M$7</c:f>
              <c:numCache>
                <c:formatCode>0.0</c:formatCode>
                <c:ptCount val="11"/>
                <c:pt idx="0" formatCode="General">
                  <c:v>100</c:v>
                </c:pt>
                <c:pt idx="1">
                  <c:v>108.3336814403275</c:v>
                </c:pt>
                <c:pt idx="2">
                  <c:v>123.97969840010025</c:v>
                </c:pt>
                <c:pt idx="3">
                  <c:v>115.38702535611345</c:v>
                </c:pt>
                <c:pt idx="4">
                  <c:v>108.82868958603116</c:v>
                </c:pt>
                <c:pt idx="5">
                  <c:v>105.61426960190485</c:v>
                </c:pt>
                <c:pt idx="6">
                  <c:v>103.93709010401437</c:v>
                </c:pt>
                <c:pt idx="7">
                  <c:v>112.98508709636994</c:v>
                </c:pt>
                <c:pt idx="8">
                  <c:v>106.18029157441831</c:v>
                </c:pt>
                <c:pt idx="9">
                  <c:v>83.68770625339404</c:v>
                </c:pt>
                <c:pt idx="10">
                  <c:v>90.340030911901081</c:v>
                </c:pt>
              </c:numCache>
            </c:numRef>
          </c:val>
          <c:smooth val="0"/>
          <c:extLst>
            <c:ext xmlns:c16="http://schemas.microsoft.com/office/drawing/2014/chart" uri="{C3380CC4-5D6E-409C-BE32-E72D297353CC}">
              <c16:uniqueId val="{00000001-9E6A-480D-86DF-26D1D0FC1EAA}"/>
            </c:ext>
          </c:extLst>
        </c:ser>
        <c:ser>
          <c:idx val="2"/>
          <c:order val="2"/>
          <c:tx>
            <c:strRef>
              <c:f>'Figure 4'!$B$8</c:f>
              <c:strCache>
                <c:ptCount val="1"/>
                <c:pt idx="0">
                  <c:v>Invalidité</c:v>
                </c:pt>
              </c:strCache>
            </c:strRef>
          </c:tx>
          <c:spPr>
            <a:ln w="19050" cap="rnd">
              <a:solidFill>
                <a:srgbClr val="34BAB5"/>
              </a:solidFill>
              <a:round/>
            </a:ln>
            <a:effectLst/>
          </c:spPr>
          <c:marker>
            <c:symbol val="none"/>
          </c:marker>
          <c:cat>
            <c:numRef>
              <c:f>'Figure 4'!$C$5:$M$5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4'!$C$8:$M$8</c:f>
              <c:numCache>
                <c:formatCode>0.0</c:formatCode>
                <c:ptCount val="11"/>
                <c:pt idx="0" formatCode="General">
                  <c:v>100</c:v>
                </c:pt>
                <c:pt idx="1">
                  <c:v>103.17632850241546</c:v>
                </c:pt>
                <c:pt idx="2">
                  <c:v>101.83574879227054</c:v>
                </c:pt>
                <c:pt idx="3">
                  <c:v>119.29951690821255</c:v>
                </c:pt>
                <c:pt idx="4">
                  <c:v>127.37922705314008</c:v>
                </c:pt>
                <c:pt idx="5">
                  <c:v>106.65458937198066</c:v>
                </c:pt>
                <c:pt idx="6">
                  <c:v>116.50966183574877</c:v>
                </c:pt>
                <c:pt idx="7">
                  <c:v>104.52898550724636</c:v>
                </c:pt>
                <c:pt idx="8">
                  <c:v>114.2391304347826</c:v>
                </c:pt>
                <c:pt idx="9">
                  <c:v>124.1062801932367</c:v>
                </c:pt>
                <c:pt idx="10">
                  <c:v>171.11111111111109</c:v>
                </c:pt>
              </c:numCache>
            </c:numRef>
          </c:val>
          <c:smooth val="0"/>
          <c:extLst>
            <c:ext xmlns:c16="http://schemas.microsoft.com/office/drawing/2014/chart" uri="{C3380CC4-5D6E-409C-BE32-E72D297353CC}">
              <c16:uniqueId val="{00000002-9E6A-480D-86DF-26D1D0FC1EAA}"/>
            </c:ext>
          </c:extLst>
        </c:ser>
        <c:ser>
          <c:idx val="3"/>
          <c:order val="3"/>
          <c:tx>
            <c:strRef>
              <c:f>'Figure 4'!$B$9</c:f>
              <c:strCache>
                <c:ptCount val="1"/>
                <c:pt idx="0">
                  <c:v>Ensemble</c:v>
                </c:pt>
              </c:strCache>
            </c:strRef>
          </c:tx>
          <c:spPr>
            <a:ln w="34925" cap="rnd">
              <a:solidFill>
                <a:srgbClr val="AEA397"/>
              </a:solidFill>
              <a:round/>
            </a:ln>
            <a:effectLst/>
          </c:spPr>
          <c:marker>
            <c:symbol val="none"/>
          </c:marker>
          <c:cat>
            <c:numRef>
              <c:f>'Figure 4'!$C$5:$M$5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4'!$C$9:$M$9</c:f>
              <c:numCache>
                <c:formatCode>0.0</c:formatCode>
                <c:ptCount val="11"/>
                <c:pt idx="0" formatCode="General">
                  <c:v>100</c:v>
                </c:pt>
                <c:pt idx="1">
                  <c:v>105.52599391576152</c:v>
                </c:pt>
                <c:pt idx="2">
                  <c:v>117.34321586501771</c:v>
                </c:pt>
                <c:pt idx="3">
                  <c:v>117.71433350408229</c:v>
                </c:pt>
                <c:pt idx="4">
                  <c:v>115.63502932352048</c:v>
                </c:pt>
                <c:pt idx="5">
                  <c:v>114.26764376888256</c:v>
                </c:pt>
                <c:pt idx="6">
                  <c:v>120.11353063549974</c:v>
                </c:pt>
                <c:pt idx="7">
                  <c:v>127.63728739140888</c:v>
                </c:pt>
                <c:pt idx="8">
                  <c:v>123.4420899672789</c:v>
                </c:pt>
                <c:pt idx="9">
                  <c:v>106.11978213826482</c:v>
                </c:pt>
                <c:pt idx="10">
                  <c:v>113.6121768401685</c:v>
                </c:pt>
              </c:numCache>
            </c:numRef>
          </c:val>
          <c:smooth val="0"/>
          <c:extLst>
            <c:ext xmlns:c16="http://schemas.microsoft.com/office/drawing/2014/chart" uri="{C3380CC4-5D6E-409C-BE32-E72D297353CC}">
              <c16:uniqueId val="{00000003-9E6A-480D-86DF-26D1D0FC1EAA}"/>
            </c:ext>
          </c:extLst>
        </c:ser>
        <c:dLbls>
          <c:showLegendKey val="0"/>
          <c:showVal val="0"/>
          <c:showCatName val="0"/>
          <c:showSerName val="0"/>
          <c:showPercent val="0"/>
          <c:showBubbleSize val="0"/>
        </c:dLbls>
        <c:smooth val="0"/>
        <c:axId val="370841328"/>
        <c:axId val="370842160"/>
      </c:lineChart>
      <c:catAx>
        <c:axId val="37084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70842160"/>
        <c:crosses val="autoZero"/>
        <c:auto val="1"/>
        <c:lblAlgn val="ctr"/>
        <c:lblOffset val="100"/>
        <c:noMultiLvlLbl val="0"/>
      </c:catAx>
      <c:valAx>
        <c:axId val="370842160"/>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70841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83814523184598E-2"/>
          <c:y val="3.6529680365296802E-2"/>
          <c:w val="0.88396062992125979"/>
          <c:h val="0.73939093229784636"/>
        </c:manualLayout>
      </c:layout>
      <c:lineChart>
        <c:grouping val="standard"/>
        <c:varyColors val="0"/>
        <c:ser>
          <c:idx val="0"/>
          <c:order val="0"/>
          <c:tx>
            <c:strRef>
              <c:f>'Figure 7'!$B$6</c:f>
              <c:strCache>
                <c:ptCount val="1"/>
                <c:pt idx="0">
                  <c:v>Sédentaire</c:v>
                </c:pt>
              </c:strCache>
            </c:strRef>
          </c:tx>
          <c:spPr>
            <a:ln w="19050" cap="rnd">
              <a:solidFill>
                <a:srgbClr val="37635F"/>
              </a:solidFill>
              <a:round/>
            </a:ln>
            <a:effectLst/>
          </c:spPr>
          <c:marker>
            <c:symbol val="none"/>
          </c:marker>
          <c:cat>
            <c:numRef>
              <c:f>'Figure 7'!$C$5:$M$5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7'!$C$6:$M$6</c:f>
              <c:numCache>
                <c:formatCode>0.0</c:formatCode>
                <c:ptCount val="11"/>
                <c:pt idx="0">
                  <c:v>63.286025417078051</c:v>
                </c:pt>
                <c:pt idx="1">
                  <c:v>63.290945309223666</c:v>
                </c:pt>
                <c:pt idx="2">
                  <c:v>63.428899811049128</c:v>
                </c:pt>
                <c:pt idx="3">
                  <c:v>63.439365614271573</c:v>
                </c:pt>
                <c:pt idx="4">
                  <c:v>63.488847998331941</c:v>
                </c:pt>
                <c:pt idx="5">
                  <c:v>63.548934725116204</c:v>
                </c:pt>
                <c:pt idx="6">
                  <c:v>63.547980037213947</c:v>
                </c:pt>
                <c:pt idx="7">
                  <c:v>63.656788189861317</c:v>
                </c:pt>
                <c:pt idx="8">
                  <c:v>63.779274552511204</c:v>
                </c:pt>
                <c:pt idx="9">
                  <c:v>64.052781554556645</c:v>
                </c:pt>
                <c:pt idx="10">
                  <c:v>64.267192839846274</c:v>
                </c:pt>
              </c:numCache>
            </c:numRef>
          </c:val>
          <c:smooth val="0"/>
          <c:extLst>
            <c:ext xmlns:c16="http://schemas.microsoft.com/office/drawing/2014/chart" uri="{C3380CC4-5D6E-409C-BE32-E72D297353CC}">
              <c16:uniqueId val="{00000000-FD92-493D-902C-1526C0027943}"/>
            </c:ext>
          </c:extLst>
        </c:ser>
        <c:ser>
          <c:idx val="1"/>
          <c:order val="1"/>
          <c:tx>
            <c:strRef>
              <c:f>'Figure 7'!$B$7</c:f>
              <c:strCache>
                <c:ptCount val="1"/>
                <c:pt idx="0">
                  <c:v>Actif</c:v>
                </c:pt>
              </c:strCache>
            </c:strRef>
          </c:tx>
          <c:spPr>
            <a:ln w="19050" cap="rnd">
              <a:solidFill>
                <a:srgbClr val="CE614A"/>
              </a:solidFill>
              <a:round/>
            </a:ln>
            <a:effectLst/>
          </c:spPr>
          <c:marker>
            <c:symbol val="none"/>
          </c:marker>
          <c:cat>
            <c:numRef>
              <c:f>'Figure 7'!$C$5:$M$5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7'!$C$7:$M$7</c:f>
              <c:numCache>
                <c:formatCode>0.0</c:formatCode>
                <c:ptCount val="11"/>
                <c:pt idx="0">
                  <c:v>58.659789934144122</c:v>
                </c:pt>
                <c:pt idx="1">
                  <c:v>58.825564240790655</c:v>
                </c:pt>
                <c:pt idx="2">
                  <c:v>59.046719743964594</c:v>
                </c:pt>
                <c:pt idx="3">
                  <c:v>59.250203765131609</c:v>
                </c:pt>
                <c:pt idx="4">
                  <c:v>59.411993337034978</c:v>
                </c:pt>
                <c:pt idx="5">
                  <c:v>59.615939540164632</c:v>
                </c:pt>
                <c:pt idx="6">
                  <c:v>59.887719243218704</c:v>
                </c:pt>
                <c:pt idx="7">
                  <c:v>60.067024436124058</c:v>
                </c:pt>
                <c:pt idx="8">
                  <c:v>60.214014864317207</c:v>
                </c:pt>
                <c:pt idx="9">
                  <c:v>60.541208349021623</c:v>
                </c:pt>
                <c:pt idx="10">
                  <c:v>60.734516656910913</c:v>
                </c:pt>
              </c:numCache>
            </c:numRef>
          </c:val>
          <c:smooth val="0"/>
          <c:extLst>
            <c:ext xmlns:c16="http://schemas.microsoft.com/office/drawing/2014/chart" uri="{C3380CC4-5D6E-409C-BE32-E72D297353CC}">
              <c16:uniqueId val="{00000001-FD92-493D-902C-1526C0027943}"/>
            </c:ext>
          </c:extLst>
        </c:ser>
        <c:ser>
          <c:idx val="2"/>
          <c:order val="2"/>
          <c:tx>
            <c:strRef>
              <c:f>'Figure 7'!$B$8</c:f>
              <c:strCache>
                <c:ptCount val="1"/>
                <c:pt idx="0">
                  <c:v>Carrière longue</c:v>
                </c:pt>
              </c:strCache>
            </c:strRef>
          </c:tx>
          <c:spPr>
            <a:ln w="19050" cap="rnd">
              <a:solidFill>
                <a:srgbClr val="34BAB5"/>
              </a:solidFill>
              <a:round/>
            </a:ln>
            <a:effectLst/>
          </c:spPr>
          <c:marker>
            <c:symbol val="none"/>
          </c:marker>
          <c:cat>
            <c:numRef>
              <c:f>'Figure 7'!$C$5:$M$5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7'!$C$8:$M$8</c:f>
              <c:numCache>
                <c:formatCode>0.0</c:formatCode>
                <c:ptCount val="11"/>
                <c:pt idx="0">
                  <c:v>60.562524014574365</c:v>
                </c:pt>
                <c:pt idx="1">
                  <c:v>60.739955651292448</c:v>
                </c:pt>
                <c:pt idx="2">
                  <c:v>60.915636738602046</c:v>
                </c:pt>
                <c:pt idx="3">
                  <c:v>61.103711723705857</c:v>
                </c:pt>
                <c:pt idx="4">
                  <c:v>61.191481712645107</c:v>
                </c:pt>
                <c:pt idx="5">
                  <c:v>61.251236533756817</c:v>
                </c:pt>
                <c:pt idx="6">
                  <c:v>61.434372894785426</c:v>
                </c:pt>
                <c:pt idx="7">
                  <c:v>61.561552567272642</c:v>
                </c:pt>
                <c:pt idx="8">
                  <c:v>61.650537888562454</c:v>
                </c:pt>
                <c:pt idx="9">
                  <c:v>61.923262365545725</c:v>
                </c:pt>
                <c:pt idx="10">
                  <c:v>62.099969136721185</c:v>
                </c:pt>
              </c:numCache>
            </c:numRef>
          </c:val>
          <c:smooth val="0"/>
          <c:extLst>
            <c:ext xmlns:c16="http://schemas.microsoft.com/office/drawing/2014/chart" uri="{C3380CC4-5D6E-409C-BE32-E72D297353CC}">
              <c16:uniqueId val="{00000002-FD92-493D-902C-1526C0027943}"/>
            </c:ext>
          </c:extLst>
        </c:ser>
        <c:ser>
          <c:idx val="3"/>
          <c:order val="3"/>
          <c:tx>
            <c:strRef>
              <c:f>'Figure 7'!$B$9</c:f>
              <c:strCache>
                <c:ptCount val="1"/>
                <c:pt idx="0">
                  <c:v>Ens. fonctionnaires1</c:v>
                </c:pt>
              </c:strCache>
            </c:strRef>
          </c:tx>
          <c:spPr>
            <a:ln w="34925" cap="rnd">
              <a:solidFill>
                <a:srgbClr val="AEA397"/>
              </a:solidFill>
              <a:round/>
            </a:ln>
            <a:effectLst/>
          </c:spPr>
          <c:marker>
            <c:symbol val="none"/>
          </c:marker>
          <c:cat>
            <c:numRef>
              <c:f>'Figure 7'!$C$5:$M$5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7'!$C$9:$M$9</c:f>
              <c:numCache>
                <c:formatCode>0.0</c:formatCode>
                <c:ptCount val="11"/>
                <c:pt idx="0">
                  <c:v>60.815331709458896</c:v>
                </c:pt>
                <c:pt idx="1">
                  <c:v>60.893930237857006</c:v>
                </c:pt>
                <c:pt idx="2">
                  <c:v>61.086967402246835</c:v>
                </c:pt>
                <c:pt idx="3">
                  <c:v>61.260979467505017</c:v>
                </c:pt>
                <c:pt idx="4">
                  <c:v>61.356690624067696</c:v>
                </c:pt>
                <c:pt idx="5">
                  <c:v>61.580454599515114</c:v>
                </c:pt>
                <c:pt idx="6">
                  <c:v>61.761925361970803</c:v>
                </c:pt>
                <c:pt idx="7">
                  <c:v>61.936123496954394</c:v>
                </c:pt>
                <c:pt idx="8">
                  <c:v>61.994970011357715</c:v>
                </c:pt>
                <c:pt idx="9">
                  <c:v>62.273558956024466</c:v>
                </c:pt>
                <c:pt idx="10">
                  <c:v>62.256174177542839</c:v>
                </c:pt>
              </c:numCache>
            </c:numRef>
          </c:val>
          <c:smooth val="0"/>
          <c:extLst>
            <c:ext xmlns:c16="http://schemas.microsoft.com/office/drawing/2014/chart" uri="{C3380CC4-5D6E-409C-BE32-E72D297353CC}">
              <c16:uniqueId val="{00000003-FD92-493D-902C-1526C0027943}"/>
            </c:ext>
          </c:extLst>
        </c:ser>
        <c:dLbls>
          <c:showLegendKey val="0"/>
          <c:showVal val="0"/>
          <c:showCatName val="0"/>
          <c:showSerName val="0"/>
          <c:showPercent val="0"/>
          <c:showBubbleSize val="0"/>
        </c:dLbls>
        <c:smooth val="0"/>
        <c:axId val="2062474352"/>
        <c:axId val="2062491408"/>
        <c:extLst/>
      </c:lineChart>
      <c:catAx>
        <c:axId val="206247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62491408"/>
        <c:crosses val="autoZero"/>
        <c:auto val="1"/>
        <c:lblAlgn val="ctr"/>
        <c:lblOffset val="100"/>
        <c:noMultiLvlLbl val="0"/>
      </c:catAx>
      <c:valAx>
        <c:axId val="2062491408"/>
        <c:scaling>
          <c:orientation val="minMax"/>
          <c:max val="65"/>
          <c:min val="58"/>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2062474352"/>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i="0" baseline="0">
                <a:solidFill>
                  <a:sysClr val="windowText" lastClr="000000"/>
                </a:solidFill>
              </a:rPr>
              <a:t>Femmes</a:t>
            </a:r>
          </a:p>
        </c:rich>
      </c:tx>
      <c:layout>
        <c:manualLayout>
          <c:xMode val="edge"/>
          <c:yMode val="edge"/>
          <c:x val="5.6686919362282366E-2"/>
          <c:y val="4.30976339568633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'Figure 11'!$B$8</c:f>
              <c:strCache>
                <c:ptCount val="1"/>
                <c:pt idx="0">
                  <c:v>Minimum garanti</c:v>
                </c:pt>
              </c:strCache>
            </c:strRef>
          </c:tx>
          <c:spPr>
            <a:ln w="19050" cap="rnd">
              <a:solidFill>
                <a:srgbClr val="34BAB5"/>
              </a:solidFill>
              <a:round/>
            </a:ln>
            <a:effectLst/>
          </c:spPr>
          <c:marker>
            <c:symbol val="none"/>
          </c:marker>
          <c:cat>
            <c:numRef>
              <c:f>'Figure 11'!$C$7:$I$7</c:f>
              <c:numCache>
                <c:formatCode>General</c:formatCode>
                <c:ptCount val="7"/>
                <c:pt idx="0">
                  <c:v>2019</c:v>
                </c:pt>
                <c:pt idx="1">
                  <c:v>2020</c:v>
                </c:pt>
                <c:pt idx="2">
                  <c:v>2021</c:v>
                </c:pt>
                <c:pt idx="3">
                  <c:v>2022</c:v>
                </c:pt>
                <c:pt idx="4">
                  <c:v>2023</c:v>
                </c:pt>
                <c:pt idx="5">
                  <c:v>2024</c:v>
                </c:pt>
                <c:pt idx="6">
                  <c:v>2025</c:v>
                </c:pt>
              </c:numCache>
            </c:numRef>
          </c:cat>
          <c:val>
            <c:numRef>
              <c:f>'Figure 11'!$C$8:$I$8</c:f>
              <c:numCache>
                <c:formatCode>0</c:formatCode>
                <c:ptCount val="7"/>
                <c:pt idx="0">
                  <c:v>15.649652333884195</c:v>
                </c:pt>
                <c:pt idx="1">
                  <c:v>16.420224183162414</c:v>
                </c:pt>
                <c:pt idx="2">
                  <c:v>15.671781187458306</c:v>
                </c:pt>
                <c:pt idx="3">
                  <c:v>16.33360776388993</c:v>
                </c:pt>
                <c:pt idx="4">
                  <c:v>15.716486902927581</c:v>
                </c:pt>
                <c:pt idx="5">
                  <c:v>17.242979809700625</c:v>
                </c:pt>
                <c:pt idx="6">
                  <c:v>18.750546854492956</c:v>
                </c:pt>
              </c:numCache>
            </c:numRef>
          </c:val>
          <c:smooth val="0"/>
          <c:extLst>
            <c:ext xmlns:c16="http://schemas.microsoft.com/office/drawing/2014/chart" uri="{C3380CC4-5D6E-409C-BE32-E72D297353CC}">
              <c16:uniqueId val="{00000000-A401-4399-86B8-6008CEEA3E01}"/>
            </c:ext>
          </c:extLst>
        </c:ser>
        <c:ser>
          <c:idx val="1"/>
          <c:order val="1"/>
          <c:tx>
            <c:strRef>
              <c:f>'Figure 11'!$B$9</c:f>
              <c:strCache>
                <c:ptCount val="1"/>
                <c:pt idx="0">
                  <c:v>Décote</c:v>
                </c:pt>
              </c:strCache>
            </c:strRef>
          </c:tx>
          <c:spPr>
            <a:ln w="19050" cap="rnd">
              <a:solidFill>
                <a:srgbClr val="CE614A"/>
              </a:solidFill>
              <a:round/>
            </a:ln>
            <a:effectLst/>
          </c:spPr>
          <c:marker>
            <c:symbol val="none"/>
          </c:marker>
          <c:cat>
            <c:numRef>
              <c:f>'Figure 11'!$C$7:$I$7</c:f>
              <c:numCache>
                <c:formatCode>General</c:formatCode>
                <c:ptCount val="7"/>
                <c:pt idx="0">
                  <c:v>2019</c:v>
                </c:pt>
                <c:pt idx="1">
                  <c:v>2020</c:v>
                </c:pt>
                <c:pt idx="2">
                  <c:v>2021</c:v>
                </c:pt>
                <c:pt idx="3">
                  <c:v>2022</c:v>
                </c:pt>
                <c:pt idx="4">
                  <c:v>2023</c:v>
                </c:pt>
                <c:pt idx="5">
                  <c:v>2024</c:v>
                </c:pt>
                <c:pt idx="6">
                  <c:v>2025</c:v>
                </c:pt>
              </c:numCache>
            </c:numRef>
          </c:cat>
          <c:val>
            <c:numRef>
              <c:f>'Figure 11'!$C$9:$I$9</c:f>
              <c:numCache>
                <c:formatCode>0</c:formatCode>
                <c:ptCount val="7"/>
                <c:pt idx="0">
                  <c:v>15.917807364909109</c:v>
                </c:pt>
                <c:pt idx="1">
                  <c:v>16.813737181015977</c:v>
                </c:pt>
                <c:pt idx="2">
                  <c:v>17.411607738492329</c:v>
                </c:pt>
                <c:pt idx="3">
                  <c:v>17.790584537085547</c:v>
                </c:pt>
                <c:pt idx="4">
                  <c:v>17.221366204417052</c:v>
                </c:pt>
                <c:pt idx="5">
                  <c:v>17.614295660245997</c:v>
                </c:pt>
                <c:pt idx="6">
                  <c:v>17.566424592411117</c:v>
                </c:pt>
              </c:numCache>
            </c:numRef>
          </c:val>
          <c:smooth val="0"/>
          <c:extLst>
            <c:ext xmlns:c16="http://schemas.microsoft.com/office/drawing/2014/chart" uri="{C3380CC4-5D6E-409C-BE32-E72D297353CC}">
              <c16:uniqueId val="{00000001-A401-4399-86B8-6008CEEA3E01}"/>
            </c:ext>
          </c:extLst>
        </c:ser>
        <c:ser>
          <c:idx val="2"/>
          <c:order val="2"/>
          <c:tx>
            <c:strRef>
              <c:f>'Figure 11'!$B$10</c:f>
              <c:strCache>
                <c:ptCount val="1"/>
                <c:pt idx="0">
                  <c:v>Normale</c:v>
                </c:pt>
              </c:strCache>
            </c:strRef>
          </c:tx>
          <c:spPr>
            <a:ln w="19050" cap="rnd">
              <a:solidFill>
                <a:srgbClr val="AEA397"/>
              </a:solidFill>
              <a:round/>
            </a:ln>
            <a:effectLst/>
          </c:spPr>
          <c:marker>
            <c:symbol val="none"/>
          </c:marker>
          <c:cat>
            <c:numRef>
              <c:f>'Figure 11'!$C$7:$I$7</c:f>
              <c:numCache>
                <c:formatCode>General</c:formatCode>
                <c:ptCount val="7"/>
                <c:pt idx="0">
                  <c:v>2019</c:v>
                </c:pt>
                <c:pt idx="1">
                  <c:v>2020</c:v>
                </c:pt>
                <c:pt idx="2">
                  <c:v>2021</c:v>
                </c:pt>
                <c:pt idx="3">
                  <c:v>2022</c:v>
                </c:pt>
                <c:pt idx="4">
                  <c:v>2023</c:v>
                </c:pt>
                <c:pt idx="5">
                  <c:v>2024</c:v>
                </c:pt>
                <c:pt idx="6">
                  <c:v>2025</c:v>
                </c:pt>
              </c:numCache>
            </c:numRef>
          </c:cat>
          <c:val>
            <c:numRef>
              <c:f>'Figure 11'!$C$10:$I$10</c:f>
              <c:numCache>
                <c:formatCode>0</c:formatCode>
                <c:ptCount val="7"/>
                <c:pt idx="0">
                  <c:v>28.963861432446759</c:v>
                </c:pt>
                <c:pt idx="1">
                  <c:v>26.991414261865014</c:v>
                </c:pt>
                <c:pt idx="2">
                  <c:v>26.228152101400937</c:v>
                </c:pt>
                <c:pt idx="3">
                  <c:v>25.926203128508345</c:v>
                </c:pt>
                <c:pt idx="4">
                  <c:v>23.936825885978426</c:v>
                </c:pt>
                <c:pt idx="5">
                  <c:v>23.964376885588305</c:v>
                </c:pt>
                <c:pt idx="6">
                  <c:v>24.096596377635841</c:v>
                </c:pt>
              </c:numCache>
            </c:numRef>
          </c:val>
          <c:smooth val="0"/>
          <c:extLst>
            <c:ext xmlns:c16="http://schemas.microsoft.com/office/drawing/2014/chart" uri="{C3380CC4-5D6E-409C-BE32-E72D297353CC}">
              <c16:uniqueId val="{00000002-A401-4399-86B8-6008CEEA3E01}"/>
            </c:ext>
          </c:extLst>
        </c:ser>
        <c:ser>
          <c:idx val="3"/>
          <c:order val="3"/>
          <c:tx>
            <c:strRef>
              <c:f>'Figure 11'!$B$11</c:f>
              <c:strCache>
                <c:ptCount val="1"/>
                <c:pt idx="0">
                  <c:v>Surcote</c:v>
                </c:pt>
              </c:strCache>
            </c:strRef>
          </c:tx>
          <c:spPr>
            <a:ln w="19050" cap="rnd">
              <a:solidFill>
                <a:srgbClr val="37635F"/>
              </a:solidFill>
              <a:round/>
            </a:ln>
            <a:effectLst/>
          </c:spPr>
          <c:marker>
            <c:symbol val="none"/>
          </c:marker>
          <c:cat>
            <c:numRef>
              <c:f>'Figure 11'!$C$7:$I$7</c:f>
              <c:numCache>
                <c:formatCode>General</c:formatCode>
                <c:ptCount val="7"/>
                <c:pt idx="0">
                  <c:v>2019</c:v>
                </c:pt>
                <c:pt idx="1">
                  <c:v>2020</c:v>
                </c:pt>
                <c:pt idx="2">
                  <c:v>2021</c:v>
                </c:pt>
                <c:pt idx="3">
                  <c:v>2022</c:v>
                </c:pt>
                <c:pt idx="4">
                  <c:v>2023</c:v>
                </c:pt>
                <c:pt idx="5">
                  <c:v>2024</c:v>
                </c:pt>
                <c:pt idx="6">
                  <c:v>2025</c:v>
                </c:pt>
              </c:numCache>
            </c:numRef>
          </c:cat>
          <c:val>
            <c:numRef>
              <c:f>'Figure 11'!$C$11:$I$11</c:f>
              <c:numCache>
                <c:formatCode>0</c:formatCode>
                <c:ptCount val="7"/>
                <c:pt idx="0">
                  <c:v>39.468678868759937</c:v>
                </c:pt>
                <c:pt idx="1">
                  <c:v>39.774624373956598</c:v>
                </c:pt>
                <c:pt idx="2">
                  <c:v>40.688458972648434</c:v>
                </c:pt>
                <c:pt idx="3">
                  <c:v>39.949604570516179</c:v>
                </c:pt>
                <c:pt idx="4">
                  <c:v>43.125321006676934</c:v>
                </c:pt>
                <c:pt idx="5">
                  <c:v>41.178347644465077</c:v>
                </c:pt>
                <c:pt idx="6">
                  <c:v>39.586432175460082</c:v>
                </c:pt>
              </c:numCache>
            </c:numRef>
          </c:val>
          <c:smooth val="0"/>
          <c:extLst>
            <c:ext xmlns:c16="http://schemas.microsoft.com/office/drawing/2014/chart" uri="{C3380CC4-5D6E-409C-BE32-E72D297353CC}">
              <c16:uniqueId val="{00000003-A401-4399-86B8-6008CEEA3E01}"/>
            </c:ext>
          </c:extLst>
        </c:ser>
        <c:dLbls>
          <c:showLegendKey val="0"/>
          <c:showVal val="0"/>
          <c:showCatName val="0"/>
          <c:showSerName val="0"/>
          <c:showPercent val="0"/>
          <c:showBubbleSize val="0"/>
        </c:dLbls>
        <c:smooth val="0"/>
        <c:axId val="1819233696"/>
        <c:axId val="1819234112"/>
      </c:lineChart>
      <c:catAx>
        <c:axId val="181923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19234112"/>
        <c:crosses val="autoZero"/>
        <c:auto val="1"/>
        <c:lblAlgn val="ctr"/>
        <c:lblOffset val="100"/>
        <c:noMultiLvlLbl val="0"/>
      </c:catAx>
      <c:valAx>
        <c:axId val="181923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1923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baseline="0">
                <a:solidFill>
                  <a:sysClr val="windowText" lastClr="000000"/>
                </a:solidFill>
              </a:rPr>
              <a:t>Hommes</a:t>
            </a:r>
          </a:p>
        </c:rich>
      </c:tx>
      <c:layout>
        <c:manualLayout>
          <c:xMode val="edge"/>
          <c:yMode val="edge"/>
          <c:x val="4.9013516167621896E-2"/>
          <c:y val="3.333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'Figure 11'!$K$8</c:f>
              <c:strCache>
                <c:ptCount val="1"/>
                <c:pt idx="0">
                  <c:v>Minimum garanti</c:v>
                </c:pt>
              </c:strCache>
            </c:strRef>
          </c:tx>
          <c:spPr>
            <a:ln w="19050" cap="rnd">
              <a:solidFill>
                <a:srgbClr val="34BAB5"/>
              </a:solidFill>
              <a:round/>
            </a:ln>
            <a:effectLst/>
          </c:spPr>
          <c:marker>
            <c:symbol val="none"/>
          </c:marker>
          <c:cat>
            <c:numRef>
              <c:f>'Figure 11'!$L$7:$R$7</c:f>
              <c:numCache>
                <c:formatCode>General</c:formatCode>
                <c:ptCount val="7"/>
                <c:pt idx="0">
                  <c:v>2019</c:v>
                </c:pt>
                <c:pt idx="1">
                  <c:v>2020</c:v>
                </c:pt>
                <c:pt idx="2">
                  <c:v>2021</c:v>
                </c:pt>
                <c:pt idx="3">
                  <c:v>2022</c:v>
                </c:pt>
                <c:pt idx="4">
                  <c:v>2023</c:v>
                </c:pt>
                <c:pt idx="5">
                  <c:v>2024</c:v>
                </c:pt>
                <c:pt idx="6">
                  <c:v>2025</c:v>
                </c:pt>
              </c:numCache>
            </c:numRef>
          </c:cat>
          <c:val>
            <c:numRef>
              <c:f>'Figure 11'!$L$8:$R$8</c:f>
              <c:numCache>
                <c:formatCode>0</c:formatCode>
                <c:ptCount val="7"/>
                <c:pt idx="0">
                  <c:v>9.7740575240732586</c:v>
                </c:pt>
                <c:pt idx="1">
                  <c:v>9.879032258064516</c:v>
                </c:pt>
                <c:pt idx="2">
                  <c:v>9.8489895625138804</c:v>
                </c:pt>
                <c:pt idx="3">
                  <c:v>11.261097554644099</c:v>
                </c:pt>
                <c:pt idx="4">
                  <c:v>10.352878747678428</c:v>
                </c:pt>
                <c:pt idx="5">
                  <c:v>11.308775082359988</c:v>
                </c:pt>
                <c:pt idx="6">
                  <c:v>12.215674720094285</c:v>
                </c:pt>
              </c:numCache>
            </c:numRef>
          </c:val>
          <c:smooth val="0"/>
          <c:extLst>
            <c:ext xmlns:c16="http://schemas.microsoft.com/office/drawing/2014/chart" uri="{C3380CC4-5D6E-409C-BE32-E72D297353CC}">
              <c16:uniqueId val="{00000000-DE7D-444F-8FF9-A3503B61FCAA}"/>
            </c:ext>
          </c:extLst>
        </c:ser>
        <c:ser>
          <c:idx val="1"/>
          <c:order val="1"/>
          <c:tx>
            <c:strRef>
              <c:f>'Figure 11'!$K$9</c:f>
              <c:strCache>
                <c:ptCount val="1"/>
                <c:pt idx="0">
                  <c:v>Décote</c:v>
                </c:pt>
              </c:strCache>
            </c:strRef>
          </c:tx>
          <c:spPr>
            <a:ln w="19050" cap="rnd">
              <a:solidFill>
                <a:srgbClr val="CE614A"/>
              </a:solidFill>
              <a:round/>
            </a:ln>
            <a:effectLst/>
          </c:spPr>
          <c:marker>
            <c:symbol val="none"/>
          </c:marker>
          <c:cat>
            <c:numRef>
              <c:f>'Figure 11'!$L$7:$R$7</c:f>
              <c:numCache>
                <c:formatCode>General</c:formatCode>
                <c:ptCount val="7"/>
                <c:pt idx="0">
                  <c:v>2019</c:v>
                </c:pt>
                <c:pt idx="1">
                  <c:v>2020</c:v>
                </c:pt>
                <c:pt idx="2">
                  <c:v>2021</c:v>
                </c:pt>
                <c:pt idx="3">
                  <c:v>2022</c:v>
                </c:pt>
                <c:pt idx="4">
                  <c:v>2023</c:v>
                </c:pt>
                <c:pt idx="5">
                  <c:v>2024</c:v>
                </c:pt>
                <c:pt idx="6">
                  <c:v>2025</c:v>
                </c:pt>
              </c:numCache>
            </c:numRef>
          </c:cat>
          <c:val>
            <c:numRef>
              <c:f>'Figure 11'!$L$9:$R$9</c:f>
              <c:numCache>
                <c:formatCode>0</c:formatCode>
                <c:ptCount val="7"/>
                <c:pt idx="0">
                  <c:v>16.155831078104349</c:v>
                </c:pt>
                <c:pt idx="1">
                  <c:v>18.523949169110459</c:v>
                </c:pt>
                <c:pt idx="2">
                  <c:v>21.091494559182767</c:v>
                </c:pt>
                <c:pt idx="3">
                  <c:v>21.473443746430611</c:v>
                </c:pt>
                <c:pt idx="4">
                  <c:v>21.533563279384452</c:v>
                </c:pt>
                <c:pt idx="5">
                  <c:v>21.521413596885296</c:v>
                </c:pt>
                <c:pt idx="6">
                  <c:v>21.602828520919271</c:v>
                </c:pt>
              </c:numCache>
            </c:numRef>
          </c:val>
          <c:smooth val="0"/>
          <c:extLst>
            <c:ext xmlns:c16="http://schemas.microsoft.com/office/drawing/2014/chart" uri="{C3380CC4-5D6E-409C-BE32-E72D297353CC}">
              <c16:uniqueId val="{00000001-DE7D-444F-8FF9-A3503B61FCAA}"/>
            </c:ext>
          </c:extLst>
        </c:ser>
        <c:ser>
          <c:idx val="2"/>
          <c:order val="2"/>
          <c:tx>
            <c:strRef>
              <c:f>'Figure 11'!$K$10</c:f>
              <c:strCache>
                <c:ptCount val="1"/>
                <c:pt idx="0">
                  <c:v>Normale</c:v>
                </c:pt>
              </c:strCache>
            </c:strRef>
          </c:tx>
          <c:spPr>
            <a:ln w="19050" cap="rnd">
              <a:solidFill>
                <a:srgbClr val="AEA397"/>
              </a:solidFill>
              <a:round/>
            </a:ln>
            <a:effectLst/>
          </c:spPr>
          <c:marker>
            <c:symbol val="none"/>
          </c:marker>
          <c:cat>
            <c:numRef>
              <c:f>'Figure 11'!$L$7:$R$7</c:f>
              <c:numCache>
                <c:formatCode>General</c:formatCode>
                <c:ptCount val="7"/>
                <c:pt idx="0">
                  <c:v>2019</c:v>
                </c:pt>
                <c:pt idx="1">
                  <c:v>2020</c:v>
                </c:pt>
                <c:pt idx="2">
                  <c:v>2021</c:v>
                </c:pt>
                <c:pt idx="3">
                  <c:v>2022</c:v>
                </c:pt>
                <c:pt idx="4">
                  <c:v>2023</c:v>
                </c:pt>
                <c:pt idx="5">
                  <c:v>2024</c:v>
                </c:pt>
                <c:pt idx="6">
                  <c:v>2025</c:v>
                </c:pt>
              </c:numCache>
            </c:numRef>
          </c:cat>
          <c:val>
            <c:numRef>
              <c:f>'Figure 11'!$L$10:$R$10</c:f>
              <c:numCache>
                <c:formatCode>0</c:formatCode>
                <c:ptCount val="7"/>
                <c:pt idx="0">
                  <c:v>27.35854994021021</c:v>
                </c:pt>
                <c:pt idx="1">
                  <c:v>25.898093841642229</c:v>
                </c:pt>
                <c:pt idx="2">
                  <c:v>23.861869864534754</c:v>
                </c:pt>
                <c:pt idx="3">
                  <c:v>24.038211930844714</c:v>
                </c:pt>
                <c:pt idx="4">
                  <c:v>23.767577606792255</c:v>
                </c:pt>
                <c:pt idx="5">
                  <c:v>23.504043126684635</c:v>
                </c:pt>
                <c:pt idx="6">
                  <c:v>24.843842074248673</c:v>
                </c:pt>
              </c:numCache>
            </c:numRef>
          </c:val>
          <c:smooth val="0"/>
          <c:extLst>
            <c:ext xmlns:c16="http://schemas.microsoft.com/office/drawing/2014/chart" uri="{C3380CC4-5D6E-409C-BE32-E72D297353CC}">
              <c16:uniqueId val="{00000002-DE7D-444F-8FF9-A3503B61FCAA}"/>
            </c:ext>
          </c:extLst>
        </c:ser>
        <c:ser>
          <c:idx val="3"/>
          <c:order val="3"/>
          <c:tx>
            <c:strRef>
              <c:f>'Figure 11'!$K$11</c:f>
              <c:strCache>
                <c:ptCount val="1"/>
                <c:pt idx="0">
                  <c:v>Surcote</c:v>
                </c:pt>
              </c:strCache>
            </c:strRef>
          </c:tx>
          <c:spPr>
            <a:ln w="19050" cap="rnd">
              <a:solidFill>
                <a:srgbClr val="37635F"/>
              </a:solidFill>
              <a:round/>
            </a:ln>
            <a:effectLst/>
          </c:spPr>
          <c:marker>
            <c:symbol val="none"/>
          </c:marker>
          <c:cat>
            <c:numRef>
              <c:f>'Figure 11'!$L$7:$R$7</c:f>
              <c:numCache>
                <c:formatCode>General</c:formatCode>
                <c:ptCount val="7"/>
                <c:pt idx="0">
                  <c:v>2019</c:v>
                </c:pt>
                <c:pt idx="1">
                  <c:v>2020</c:v>
                </c:pt>
                <c:pt idx="2">
                  <c:v>2021</c:v>
                </c:pt>
                <c:pt idx="3">
                  <c:v>2022</c:v>
                </c:pt>
                <c:pt idx="4">
                  <c:v>2023</c:v>
                </c:pt>
                <c:pt idx="5">
                  <c:v>2024</c:v>
                </c:pt>
                <c:pt idx="6">
                  <c:v>2025</c:v>
                </c:pt>
              </c:numCache>
            </c:numRef>
          </c:cat>
          <c:val>
            <c:numRef>
              <c:f>'Figure 11'!$L$11:$R$11</c:f>
              <c:numCache>
                <c:formatCode>0</c:formatCode>
                <c:ptCount val="7"/>
                <c:pt idx="0">
                  <c:v>46.711561457612184</c:v>
                </c:pt>
                <c:pt idx="1">
                  <c:v>45.698924731182792</c:v>
                </c:pt>
                <c:pt idx="2">
                  <c:v>45.197646013768598</c:v>
                </c:pt>
                <c:pt idx="3">
                  <c:v>43.227246768080576</c:v>
                </c:pt>
                <c:pt idx="4">
                  <c:v>44.345980366144865</c:v>
                </c:pt>
                <c:pt idx="5">
                  <c:v>43.665768194070083</c:v>
                </c:pt>
                <c:pt idx="6">
                  <c:v>41.337654684737771</c:v>
                </c:pt>
              </c:numCache>
            </c:numRef>
          </c:val>
          <c:smooth val="0"/>
          <c:extLst>
            <c:ext xmlns:c16="http://schemas.microsoft.com/office/drawing/2014/chart" uri="{C3380CC4-5D6E-409C-BE32-E72D297353CC}">
              <c16:uniqueId val="{00000003-DE7D-444F-8FF9-A3503B61FCAA}"/>
            </c:ext>
          </c:extLst>
        </c:ser>
        <c:dLbls>
          <c:showLegendKey val="0"/>
          <c:showVal val="0"/>
          <c:showCatName val="0"/>
          <c:showSerName val="0"/>
          <c:showPercent val="0"/>
          <c:showBubbleSize val="0"/>
        </c:dLbls>
        <c:smooth val="0"/>
        <c:axId val="185733696"/>
        <c:axId val="185734944"/>
      </c:lineChart>
      <c:catAx>
        <c:axId val="18573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5734944"/>
        <c:crosses val="autoZero"/>
        <c:auto val="1"/>
        <c:lblAlgn val="ctr"/>
        <c:lblOffset val="100"/>
        <c:noMultiLvlLbl val="0"/>
      </c:catAx>
      <c:valAx>
        <c:axId val="185734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8573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encadré 3 militaires'!$B$6</c:f>
              <c:strCache>
                <c:ptCount val="1"/>
                <c:pt idx="0">
                  <c:v>Femmes</c:v>
                </c:pt>
              </c:strCache>
            </c:strRef>
          </c:tx>
          <c:spPr>
            <a:ln w="19050" cap="rnd">
              <a:solidFill>
                <a:srgbClr val="37635F"/>
              </a:solidFill>
              <a:round/>
            </a:ln>
            <a:effectLst/>
          </c:spPr>
          <c:marker>
            <c:symbol val="none"/>
          </c:marker>
          <c:cat>
            <c:numRef>
              <c:f>'Figure encadré 3 militaires'!$C$5:$M$5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encadré 3 militaires'!$C$6:$M$6</c:f>
              <c:numCache>
                <c:formatCode>0.0</c:formatCode>
                <c:ptCount val="11"/>
                <c:pt idx="0">
                  <c:v>42.524715750232986</c:v>
                </c:pt>
                <c:pt idx="1">
                  <c:v>42.800949094046594</c:v>
                </c:pt>
                <c:pt idx="2">
                  <c:v>43.033909836065575</c:v>
                </c:pt>
                <c:pt idx="3">
                  <c:v>42.587692907248638</c:v>
                </c:pt>
                <c:pt idx="4">
                  <c:v>42.481276733635774</c:v>
                </c:pt>
                <c:pt idx="5">
                  <c:v>42.056168100595634</c:v>
                </c:pt>
                <c:pt idx="6">
                  <c:v>42.765727754861523</c:v>
                </c:pt>
                <c:pt idx="7">
                  <c:v>43.104138469547109</c:v>
                </c:pt>
                <c:pt idx="8">
                  <c:v>43.383245823389018</c:v>
                </c:pt>
                <c:pt idx="9">
                  <c:v>43.297559782608694</c:v>
                </c:pt>
                <c:pt idx="10">
                  <c:v>42.635431959345006</c:v>
                </c:pt>
              </c:numCache>
            </c:numRef>
          </c:val>
          <c:smooth val="0"/>
          <c:extLst>
            <c:ext xmlns:c16="http://schemas.microsoft.com/office/drawing/2014/chart" uri="{C3380CC4-5D6E-409C-BE32-E72D297353CC}">
              <c16:uniqueId val="{00000000-FF42-4B9E-94DB-FBF3FA1838A1}"/>
            </c:ext>
          </c:extLst>
        </c:ser>
        <c:ser>
          <c:idx val="1"/>
          <c:order val="1"/>
          <c:tx>
            <c:strRef>
              <c:f>'Figure encadré 3 militaires'!$B$7</c:f>
              <c:strCache>
                <c:ptCount val="1"/>
                <c:pt idx="0">
                  <c:v>Hommes</c:v>
                </c:pt>
              </c:strCache>
            </c:strRef>
          </c:tx>
          <c:spPr>
            <a:ln w="19050" cap="rnd">
              <a:solidFill>
                <a:srgbClr val="34BAB5"/>
              </a:solidFill>
              <a:round/>
            </a:ln>
            <a:effectLst/>
          </c:spPr>
          <c:marker>
            <c:symbol val="none"/>
          </c:marker>
          <c:cat>
            <c:numRef>
              <c:f>'Figure encadré 3 militaires'!$C$5:$M$5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encadré 3 militaires'!$C$7:$M$7</c:f>
              <c:numCache>
                <c:formatCode>0.0</c:formatCode>
                <c:ptCount val="11"/>
                <c:pt idx="0">
                  <c:v>45.884619162253252</c:v>
                </c:pt>
                <c:pt idx="1">
                  <c:v>46.322198525798527</c:v>
                </c:pt>
                <c:pt idx="2">
                  <c:v>46.592911009084695</c:v>
                </c:pt>
                <c:pt idx="3">
                  <c:v>46.132757465543641</c:v>
                </c:pt>
                <c:pt idx="4">
                  <c:v>45.61483911111111</c:v>
                </c:pt>
                <c:pt idx="5">
                  <c:v>46.01748227983299</c:v>
                </c:pt>
                <c:pt idx="6">
                  <c:v>46.545729156897686</c:v>
                </c:pt>
                <c:pt idx="7">
                  <c:v>46.771996028662699</c:v>
                </c:pt>
                <c:pt idx="8">
                  <c:v>46.169530909407968</c:v>
                </c:pt>
                <c:pt idx="9">
                  <c:v>46.195570368885328</c:v>
                </c:pt>
                <c:pt idx="10">
                  <c:v>46.643162556053809</c:v>
                </c:pt>
              </c:numCache>
            </c:numRef>
          </c:val>
          <c:smooth val="0"/>
          <c:extLst>
            <c:ext xmlns:c16="http://schemas.microsoft.com/office/drawing/2014/chart" uri="{C3380CC4-5D6E-409C-BE32-E72D297353CC}">
              <c16:uniqueId val="{00000001-FF42-4B9E-94DB-FBF3FA1838A1}"/>
            </c:ext>
          </c:extLst>
        </c:ser>
        <c:ser>
          <c:idx val="2"/>
          <c:order val="2"/>
          <c:tx>
            <c:strRef>
              <c:f>'Figure encadré 3 militaires'!$B$8</c:f>
              <c:strCache>
                <c:ptCount val="1"/>
                <c:pt idx="0">
                  <c:v>Ens. militaires</c:v>
                </c:pt>
              </c:strCache>
            </c:strRef>
          </c:tx>
          <c:spPr>
            <a:ln w="34925" cap="rnd">
              <a:solidFill>
                <a:srgbClr val="AEA397"/>
              </a:solidFill>
              <a:round/>
            </a:ln>
            <a:effectLst/>
          </c:spPr>
          <c:marker>
            <c:symbol val="none"/>
          </c:marker>
          <c:cat>
            <c:numRef>
              <c:f>'Figure encadré 3 militaires'!$C$5:$M$5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encadré 3 militaires'!$C$8:$M$8</c:f>
              <c:numCache>
                <c:formatCode>0.0</c:formatCode>
                <c:ptCount val="11"/>
                <c:pt idx="0">
                  <c:v>45.569976435678129</c:v>
                </c:pt>
                <c:pt idx="1">
                  <c:v>45.9621201694018</c:v>
                </c:pt>
                <c:pt idx="2">
                  <c:v>46.213930348258707</c:v>
                </c:pt>
                <c:pt idx="3">
                  <c:v>45.745039638564492</c:v>
                </c:pt>
                <c:pt idx="4">
                  <c:v>45.236891268662554</c:v>
                </c:pt>
                <c:pt idx="5">
                  <c:v>45.510662150719732</c:v>
                </c:pt>
                <c:pt idx="6">
                  <c:v>46.026743527508096</c:v>
                </c:pt>
                <c:pt idx="7">
                  <c:v>46.250228080568718</c:v>
                </c:pt>
                <c:pt idx="8">
                  <c:v>45.739180920082575</c:v>
                </c:pt>
                <c:pt idx="9">
                  <c:v>45.744289099526071</c:v>
                </c:pt>
                <c:pt idx="10">
                  <c:v>45.979268543634831</c:v>
                </c:pt>
              </c:numCache>
            </c:numRef>
          </c:val>
          <c:smooth val="0"/>
          <c:extLst>
            <c:ext xmlns:c16="http://schemas.microsoft.com/office/drawing/2014/chart" uri="{C3380CC4-5D6E-409C-BE32-E72D297353CC}">
              <c16:uniqueId val="{00000002-FF42-4B9E-94DB-FBF3FA1838A1}"/>
            </c:ext>
          </c:extLst>
        </c:ser>
        <c:dLbls>
          <c:showLegendKey val="0"/>
          <c:showVal val="0"/>
          <c:showCatName val="0"/>
          <c:showSerName val="0"/>
          <c:showPercent val="0"/>
          <c:showBubbleSize val="0"/>
        </c:dLbls>
        <c:smooth val="0"/>
        <c:axId val="1684866544"/>
        <c:axId val="1684867376"/>
      </c:lineChart>
      <c:catAx>
        <c:axId val="16848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84867376"/>
        <c:crosses val="autoZero"/>
        <c:auto val="1"/>
        <c:lblAlgn val="ctr"/>
        <c:lblOffset val="100"/>
        <c:noMultiLvlLbl val="0"/>
      </c:catAx>
      <c:valAx>
        <c:axId val="1684867376"/>
        <c:scaling>
          <c:orientation val="minMax"/>
          <c:min val="4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8486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236537</xdr:colOff>
      <xdr:row>15</xdr:row>
      <xdr:rowOff>168275</xdr:rowOff>
    </xdr:from>
    <xdr:to>
      <xdr:col>6</xdr:col>
      <xdr:colOff>741362</xdr:colOff>
      <xdr:row>29</xdr:row>
      <xdr:rowOff>104775</xdr:rowOff>
    </xdr:to>
    <xdr:graphicFrame macro="">
      <xdr:nvGraphicFramePr>
        <xdr:cNvPr id="2" name="Graphique 1">
          <a:extLst>
            <a:ext uri="{FF2B5EF4-FFF2-40B4-BE49-F238E27FC236}">
              <a16:creationId xmlns:a16="http://schemas.microsoft.com/office/drawing/2014/main" id="{2AE70220-6AE4-47E6-BC18-DA890DA3F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1587</xdr:colOff>
      <xdr:row>12</xdr:row>
      <xdr:rowOff>6350</xdr:rowOff>
    </xdr:from>
    <xdr:to>
      <xdr:col>7</xdr:col>
      <xdr:colOff>1587</xdr:colOff>
      <xdr:row>26</xdr:row>
      <xdr:rowOff>85725</xdr:rowOff>
    </xdr:to>
    <xdr:graphicFrame macro="">
      <xdr:nvGraphicFramePr>
        <xdr:cNvPr id="3" name="Graphique 2">
          <a:extLst>
            <a:ext uri="{FF2B5EF4-FFF2-40B4-BE49-F238E27FC236}">
              <a16:creationId xmlns:a16="http://schemas.microsoft.com/office/drawing/2014/main" id="{69BEBA07-6D8B-4DF3-8C10-070AAEA58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285750</xdr:colOff>
      <xdr:row>14</xdr:row>
      <xdr:rowOff>157162</xdr:rowOff>
    </xdr:from>
    <xdr:to>
      <xdr:col>6</xdr:col>
      <xdr:colOff>752475</xdr:colOff>
      <xdr:row>29</xdr:row>
      <xdr:rowOff>176212</xdr:rowOff>
    </xdr:to>
    <xdr:graphicFrame macro="">
      <xdr:nvGraphicFramePr>
        <xdr:cNvPr id="3" name="Graphique 2">
          <a:extLst>
            <a:ext uri="{FF2B5EF4-FFF2-40B4-BE49-F238E27FC236}">
              <a16:creationId xmlns:a16="http://schemas.microsoft.com/office/drawing/2014/main" id="{73CF7EC1-986D-4D5E-8419-EF166FD2A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19050</xdr:colOff>
      <xdr:row>15</xdr:row>
      <xdr:rowOff>128587</xdr:rowOff>
    </xdr:from>
    <xdr:to>
      <xdr:col>7</xdr:col>
      <xdr:colOff>19050</xdr:colOff>
      <xdr:row>28</xdr:row>
      <xdr:rowOff>166687</xdr:rowOff>
    </xdr:to>
    <xdr:graphicFrame macro="">
      <xdr:nvGraphicFramePr>
        <xdr:cNvPr id="2" name="Graphique 1">
          <a:extLst>
            <a:ext uri="{FF2B5EF4-FFF2-40B4-BE49-F238E27FC236}">
              <a16:creationId xmlns:a16="http://schemas.microsoft.com/office/drawing/2014/main" id="{33AE25EC-BE11-4A17-9B0B-2B17C2B57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14286</xdr:colOff>
      <xdr:row>17</xdr:row>
      <xdr:rowOff>71436</xdr:rowOff>
    </xdr:from>
    <xdr:to>
      <xdr:col>7</xdr:col>
      <xdr:colOff>723899</xdr:colOff>
      <xdr:row>35</xdr:row>
      <xdr:rowOff>139700</xdr:rowOff>
    </xdr:to>
    <xdr:graphicFrame macro="">
      <xdr:nvGraphicFramePr>
        <xdr:cNvPr id="2" name="Graphique 1">
          <a:extLst>
            <a:ext uri="{FF2B5EF4-FFF2-40B4-BE49-F238E27FC236}">
              <a16:creationId xmlns:a16="http://schemas.microsoft.com/office/drawing/2014/main" id="{E224DE47-33E3-4A9A-A077-C9A411D46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579437</xdr:colOff>
      <xdr:row>17</xdr:row>
      <xdr:rowOff>74612</xdr:rowOff>
    </xdr:from>
    <xdr:to>
      <xdr:col>15</xdr:col>
      <xdr:colOff>571500</xdr:colOff>
      <xdr:row>35</xdr:row>
      <xdr:rowOff>152400</xdr:rowOff>
    </xdr:to>
    <xdr:graphicFrame macro="">
      <xdr:nvGraphicFramePr>
        <xdr:cNvPr id="3" name="Graphique 2">
          <a:extLst>
            <a:ext uri="{FF2B5EF4-FFF2-40B4-BE49-F238E27FC236}">
              <a16:creationId xmlns:a16="http://schemas.microsoft.com/office/drawing/2014/main" id="{C3B2814D-E676-4180-B580-E6F0B30DF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xdr:colOff>
      <xdr:row>12</xdr:row>
      <xdr:rowOff>114300</xdr:rowOff>
    </xdr:from>
    <xdr:to>
      <xdr:col>7</xdr:col>
      <xdr:colOff>200025</xdr:colOff>
      <xdr:row>27</xdr:row>
      <xdr:rowOff>28575</xdr:rowOff>
    </xdr:to>
    <xdr:graphicFrame macro="">
      <xdr:nvGraphicFramePr>
        <xdr:cNvPr id="2" name="Graphique 1">
          <a:extLst>
            <a:ext uri="{FF2B5EF4-FFF2-40B4-BE49-F238E27FC236}">
              <a16:creationId xmlns:a16="http://schemas.microsoft.com/office/drawing/2014/main" id="{3AD6BA2A-AA8B-4CED-84F9-61726DA76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M-DGAFP-SRV\dessi\Users\ochardon-adc\Documents\dgafp\RA\RA2026\vue_retraite\Retraites_RA2026_fichier_trava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Figure 1"/>
      <sheetName val="Figure 2"/>
      <sheetName val="Figure 2_bis"/>
      <sheetName val="Figure 3"/>
      <sheetName val="Figure 4"/>
      <sheetName val="Figure  4"/>
      <sheetName val="Figure  4_bis"/>
      <sheetName val="Figure  5"/>
      <sheetName val="Figure 6"/>
      <sheetName val="Figure 5_bis"/>
      <sheetName val="Figure 7"/>
      <sheetName val="Figure 8"/>
      <sheetName val="Figure 9"/>
      <sheetName val="Figure 10"/>
      <sheetName val="Figure 11"/>
      <sheetName val="Figure encadré 3 militaires"/>
      <sheetName val="Figure encadré 4 contractuels"/>
    </sheetNames>
    <sheetDataSet>
      <sheetData sheetId="0">
        <row r="1">
          <cell r="A1" t="str">
            <v>Les départs à la retraite dans la fonction publique en 2025</v>
          </cell>
        </row>
      </sheetData>
      <sheetData sheetId="1">
        <row r="1">
          <cell r="A1" t="str">
            <v>Figure 1 : Nombre de nouvelles pensions de droit direct de la fonction publique, par versant et caisse de retraite, en 2025</v>
          </cell>
        </row>
        <row r="22">
          <cell r="A22" t="str">
            <v>Lecture : En 2025, 39 100 agents ont liquidé leur retraite au titre d'un emploi de fonctionnaire civil de la FPE, auprès du SRE.</v>
          </cell>
        </row>
      </sheetData>
      <sheetData sheetId="2">
        <row r="3">
          <cell r="Y3">
            <v>2023</v>
          </cell>
          <cell r="Z3">
            <v>2024</v>
          </cell>
          <cell r="AA3">
            <v>2025</v>
          </cell>
        </row>
      </sheetData>
      <sheetData sheetId="3"/>
      <sheetData sheetId="4">
        <row r="3">
          <cell r="J3">
            <v>2023</v>
          </cell>
          <cell r="K3">
            <v>2024</v>
          </cell>
          <cell r="L3">
            <v>2025</v>
          </cell>
        </row>
      </sheetData>
      <sheetData sheetId="5">
        <row r="75">
          <cell r="A75" t="str">
            <v>Figure 4 : Évolution des pensions de droit direct des fonctionnaires par motif de départ, depuis 2015</v>
          </cell>
        </row>
        <row r="76">
          <cell r="A76" t="str">
            <v>base 100 en 2015</v>
          </cell>
        </row>
        <row r="77">
          <cell r="B77">
            <v>2015</v>
          </cell>
          <cell r="C77">
            <v>2016</v>
          </cell>
          <cell r="D77">
            <v>2017</v>
          </cell>
          <cell r="E77">
            <v>2018</v>
          </cell>
          <cell r="F77">
            <v>2019</v>
          </cell>
          <cell r="G77">
            <v>2020</v>
          </cell>
          <cell r="H77">
            <v>2021</v>
          </cell>
          <cell r="I77">
            <v>2022</v>
          </cell>
          <cell r="J77">
            <v>2023</v>
          </cell>
          <cell r="K77">
            <v>2024</v>
          </cell>
          <cell r="L77">
            <v>2025</v>
          </cell>
        </row>
      </sheetData>
      <sheetData sheetId="6"/>
      <sheetData sheetId="7"/>
      <sheetData sheetId="8">
        <row r="1">
          <cell r="A1" t="str">
            <v>Figure 5 : Répartition des nouvelles pensions de droit direct des fonctionnaires par motif de départ, en 2025</v>
          </cell>
        </row>
      </sheetData>
      <sheetData sheetId="9">
        <row r="4">
          <cell r="B4">
            <v>63.160832519001083</v>
          </cell>
        </row>
      </sheetData>
      <sheetData sheetId="10"/>
      <sheetData sheetId="11">
        <row r="1">
          <cell r="A1" t="str">
            <v>Figure 7 : Âge moyen des nouveaux pensionnés fonctionnaires, par motif de départ, depuis 2015</v>
          </cell>
        </row>
        <row r="3">
          <cell r="J3">
            <v>2023</v>
          </cell>
          <cell r="K3">
            <v>2024</v>
          </cell>
          <cell r="L3">
            <v>2025</v>
          </cell>
        </row>
      </sheetData>
      <sheetData sheetId="12">
        <row r="1">
          <cell r="A1" t="str">
            <v>Figure 8 : Distribution des âges de liquidation pour les nouveaux pensionnés fonctionnaires de droit direct, en 2025</v>
          </cell>
        </row>
      </sheetData>
      <sheetData sheetId="13">
        <row r="4">
          <cell r="B4">
            <v>36.900321871966483</v>
          </cell>
        </row>
      </sheetData>
      <sheetData sheetId="14">
        <row r="5">
          <cell r="B5">
            <v>40.166221199055741</v>
          </cell>
        </row>
      </sheetData>
      <sheetData sheetId="15">
        <row r="5">
          <cell r="H5">
            <v>2025</v>
          </cell>
        </row>
        <row r="12">
          <cell r="H12">
            <v>2025</v>
          </cell>
        </row>
      </sheetData>
      <sheetData sheetId="16">
        <row r="3">
          <cell r="J3">
            <v>2023</v>
          </cell>
          <cell r="K3">
            <v>2024</v>
          </cell>
          <cell r="L3">
            <v>2025</v>
          </cell>
        </row>
      </sheetData>
      <sheetData sheetId="17">
        <row r="4">
          <cell r="B4">
            <v>7.851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AC71F-D335-4884-9D93-93FD18BEAF10}">
  <dimension ref="B2:Q18"/>
  <sheetViews>
    <sheetView tabSelected="1" zoomScaleNormal="100" workbookViewId="0">
      <selection activeCell="B2" sqref="B2:O2"/>
    </sheetView>
  </sheetViews>
  <sheetFormatPr baseColWidth="10" defaultColWidth="11.42578125" defaultRowHeight="12.75"/>
  <cols>
    <col min="1" max="1" width="3.28515625" style="4" customWidth="1"/>
    <col min="2" max="10" width="11.42578125" style="4"/>
    <col min="11" max="11" width="20.28515625" style="4" customWidth="1"/>
    <col min="12" max="15" width="11.42578125" style="4" hidden="1" customWidth="1"/>
    <col min="16" max="16" width="21.7109375" style="4" customWidth="1"/>
    <col min="17" max="17" width="19.140625" style="4" customWidth="1"/>
    <col min="18" max="16384" width="11.42578125" style="4"/>
  </cols>
  <sheetData>
    <row r="2" spans="2:17" ht="52.5" customHeight="1">
      <c r="B2" s="267" t="s">
        <v>166</v>
      </c>
      <c r="C2" s="267"/>
      <c r="D2" s="267"/>
      <c r="E2" s="267"/>
      <c r="F2" s="267"/>
      <c r="G2" s="267"/>
      <c r="H2" s="267"/>
      <c r="I2" s="267"/>
      <c r="J2" s="267"/>
      <c r="K2" s="267"/>
      <c r="L2" s="268"/>
      <c r="M2" s="268"/>
      <c r="N2" s="268"/>
      <c r="O2" s="268"/>
    </row>
    <row r="3" spans="2:17" ht="83.25" customHeight="1">
      <c r="B3" s="164"/>
      <c r="C3" s="164"/>
      <c r="D3" s="164"/>
      <c r="E3" s="164"/>
      <c r="F3" s="164"/>
      <c r="G3" s="164"/>
      <c r="H3" s="164"/>
      <c r="I3" s="164"/>
      <c r="J3" s="164"/>
      <c r="K3" s="164"/>
      <c r="L3" s="164"/>
      <c r="M3" s="164"/>
      <c r="N3" s="164"/>
      <c r="O3" s="164"/>
      <c r="P3" s="161" t="s">
        <v>38</v>
      </c>
      <c r="Q3" s="7" t="s">
        <v>110</v>
      </c>
    </row>
    <row r="4" spans="2:17">
      <c r="B4" s="269" t="s">
        <v>121</v>
      </c>
      <c r="C4" s="270"/>
      <c r="D4" s="270"/>
      <c r="E4" s="270"/>
      <c r="F4" s="270"/>
      <c r="G4" s="270"/>
      <c r="H4" s="270"/>
      <c r="I4" s="270"/>
      <c r="J4" s="270"/>
      <c r="K4" s="270"/>
      <c r="L4" s="270"/>
      <c r="M4" s="270"/>
      <c r="N4" s="270"/>
      <c r="O4" s="270"/>
      <c r="P4" s="162" t="s">
        <v>39</v>
      </c>
      <c r="Q4" s="5" t="s">
        <v>40</v>
      </c>
    </row>
    <row r="5" spans="2:17">
      <c r="B5" s="269" t="s">
        <v>33</v>
      </c>
      <c r="C5" s="270"/>
      <c r="D5" s="270"/>
      <c r="E5" s="270"/>
      <c r="F5" s="270"/>
      <c r="G5" s="270"/>
      <c r="H5" s="270"/>
      <c r="I5" s="270"/>
      <c r="J5" s="270"/>
      <c r="K5" s="270"/>
      <c r="L5" s="270"/>
      <c r="M5" s="270"/>
      <c r="N5" s="270"/>
      <c r="O5" s="270"/>
      <c r="P5" s="162" t="s">
        <v>41</v>
      </c>
      <c r="Q5" s="5"/>
    </row>
    <row r="6" spans="2:17">
      <c r="B6" s="269" t="s">
        <v>60</v>
      </c>
      <c r="C6" s="270"/>
      <c r="D6" s="270"/>
      <c r="E6" s="270"/>
      <c r="F6" s="270"/>
      <c r="G6" s="270"/>
      <c r="H6" s="270"/>
      <c r="I6" s="270"/>
      <c r="J6" s="270"/>
      <c r="K6" s="270"/>
      <c r="L6" s="270"/>
      <c r="M6" s="270"/>
      <c r="N6" s="270"/>
      <c r="O6" s="270"/>
      <c r="P6" s="162" t="s">
        <v>42</v>
      </c>
      <c r="Q6" s="5" t="s">
        <v>40</v>
      </c>
    </row>
    <row r="7" spans="2:17">
      <c r="B7" s="271" t="s">
        <v>95</v>
      </c>
      <c r="C7" s="272"/>
      <c r="D7" s="272"/>
      <c r="E7" s="272"/>
      <c r="F7" s="272"/>
      <c r="G7" s="272"/>
      <c r="H7" s="272"/>
      <c r="I7" s="272"/>
      <c r="J7" s="272"/>
      <c r="K7" s="273"/>
      <c r="L7" s="165"/>
      <c r="M7" s="165"/>
      <c r="N7" s="165"/>
      <c r="O7" s="165"/>
      <c r="P7" s="162" t="s">
        <v>43</v>
      </c>
      <c r="Q7" s="5"/>
    </row>
    <row r="8" spans="2:17">
      <c r="B8" s="263" t="s">
        <v>96</v>
      </c>
      <c r="C8" s="264"/>
      <c r="D8" s="264"/>
      <c r="E8" s="264"/>
      <c r="F8" s="264"/>
      <c r="G8" s="264"/>
      <c r="H8" s="264"/>
      <c r="I8" s="264"/>
      <c r="J8" s="264"/>
      <c r="K8" s="264"/>
      <c r="L8" s="264"/>
      <c r="M8" s="264"/>
      <c r="N8" s="264"/>
      <c r="O8" s="264"/>
      <c r="P8" s="162" t="s">
        <v>44</v>
      </c>
      <c r="Q8" s="5" t="s">
        <v>40</v>
      </c>
    </row>
    <row r="9" spans="2:17">
      <c r="B9" s="265" t="s">
        <v>94</v>
      </c>
      <c r="C9" s="266"/>
      <c r="D9" s="266"/>
      <c r="E9" s="266"/>
      <c r="F9" s="266"/>
      <c r="G9" s="266"/>
      <c r="H9" s="266"/>
      <c r="I9" s="266"/>
      <c r="J9" s="266"/>
      <c r="K9" s="266"/>
      <c r="L9" s="266"/>
      <c r="M9" s="266"/>
      <c r="N9" s="266"/>
      <c r="O9" s="266"/>
      <c r="P9" s="162" t="s">
        <v>45</v>
      </c>
      <c r="Q9" s="5" t="s">
        <v>40</v>
      </c>
    </row>
    <row r="10" spans="2:17">
      <c r="B10" s="263" t="s">
        <v>122</v>
      </c>
      <c r="C10" s="264"/>
      <c r="D10" s="264"/>
      <c r="E10" s="264"/>
      <c r="F10" s="264"/>
      <c r="G10" s="264"/>
      <c r="H10" s="264"/>
      <c r="I10" s="264"/>
      <c r="J10" s="264"/>
      <c r="K10" s="264"/>
      <c r="L10" s="264"/>
      <c r="M10" s="264"/>
      <c r="N10" s="264"/>
      <c r="O10" s="264"/>
      <c r="P10" s="162" t="s">
        <v>46</v>
      </c>
      <c r="Q10" s="5"/>
    </row>
    <row r="11" spans="2:17">
      <c r="B11" s="263" t="s">
        <v>92</v>
      </c>
      <c r="C11" s="264"/>
      <c r="D11" s="264"/>
      <c r="E11" s="264"/>
      <c r="F11" s="264"/>
      <c r="G11" s="264"/>
      <c r="H11" s="264"/>
      <c r="I11" s="264"/>
      <c r="J11" s="264"/>
      <c r="K11" s="264"/>
      <c r="L11" s="264"/>
      <c r="M11" s="264"/>
      <c r="N11" s="264"/>
      <c r="O11" s="264"/>
      <c r="P11" s="162" t="s">
        <v>47</v>
      </c>
      <c r="Q11" s="5" t="s">
        <v>40</v>
      </c>
    </row>
    <row r="12" spans="2:17">
      <c r="B12" s="263" t="s">
        <v>99</v>
      </c>
      <c r="C12" s="264"/>
      <c r="D12" s="264"/>
      <c r="E12" s="264"/>
      <c r="F12" s="264"/>
      <c r="G12" s="264"/>
      <c r="H12" s="264"/>
      <c r="I12" s="264"/>
      <c r="J12" s="264"/>
      <c r="K12" s="264"/>
      <c r="L12" s="264"/>
      <c r="M12" s="264"/>
      <c r="N12" s="264"/>
      <c r="O12" s="264"/>
      <c r="P12" s="162" t="s">
        <v>48</v>
      </c>
      <c r="Q12" s="6" t="s">
        <v>40</v>
      </c>
    </row>
    <row r="13" spans="2:17">
      <c r="B13" s="263" t="s">
        <v>101</v>
      </c>
      <c r="C13" s="264"/>
      <c r="D13" s="264"/>
      <c r="E13" s="264"/>
      <c r="F13" s="264"/>
      <c r="G13" s="264"/>
      <c r="H13" s="264"/>
      <c r="I13" s="264"/>
      <c r="J13" s="264"/>
      <c r="K13" s="264"/>
      <c r="L13" s="264"/>
      <c r="M13" s="264"/>
      <c r="N13" s="264"/>
      <c r="O13" s="264"/>
      <c r="P13" s="162" t="s">
        <v>63</v>
      </c>
      <c r="Q13" s="6"/>
    </row>
    <row r="14" spans="2:17">
      <c r="B14" s="263" t="s">
        <v>104</v>
      </c>
      <c r="C14" s="264"/>
      <c r="D14" s="264"/>
      <c r="E14" s="264"/>
      <c r="F14" s="264"/>
      <c r="G14" s="264"/>
      <c r="H14" s="264"/>
      <c r="I14" s="264"/>
      <c r="J14" s="264"/>
      <c r="K14" s="264"/>
      <c r="L14" s="264"/>
      <c r="M14" s="264"/>
      <c r="N14" s="264"/>
      <c r="O14" s="264"/>
      <c r="P14" s="162" t="s">
        <v>103</v>
      </c>
      <c r="Q14" s="6" t="s">
        <v>40</v>
      </c>
    </row>
    <row r="15" spans="2:17" ht="30" customHeight="1">
      <c r="B15" s="261" t="s">
        <v>88</v>
      </c>
      <c r="C15" s="262"/>
      <c r="D15" s="262"/>
      <c r="E15" s="262"/>
      <c r="F15" s="262"/>
      <c r="G15" s="262"/>
      <c r="H15" s="262"/>
      <c r="I15" s="262"/>
      <c r="J15" s="262"/>
      <c r="K15" s="262"/>
      <c r="L15" s="262"/>
      <c r="M15" s="262"/>
      <c r="N15" s="262"/>
      <c r="O15" s="262"/>
      <c r="P15" s="163" t="s">
        <v>61</v>
      </c>
      <c r="Q15" s="6" t="s">
        <v>40</v>
      </c>
    </row>
    <row r="16" spans="2:17" ht="30" customHeight="1">
      <c r="B16" s="261" t="s">
        <v>155</v>
      </c>
      <c r="C16" s="262"/>
      <c r="D16" s="262"/>
      <c r="E16" s="262"/>
      <c r="F16" s="262"/>
      <c r="G16" s="262"/>
      <c r="H16" s="262"/>
      <c r="I16" s="262"/>
      <c r="J16" s="262"/>
      <c r="K16" s="262"/>
      <c r="L16" s="262"/>
      <c r="M16" s="262"/>
      <c r="N16" s="262"/>
      <c r="O16" s="262"/>
      <c r="P16" s="163" t="s">
        <v>62</v>
      </c>
      <c r="Q16" s="6" t="s">
        <v>40</v>
      </c>
    </row>
    <row r="17" spans="2:17" ht="30" customHeight="1">
      <c r="B17" s="261" t="s">
        <v>156</v>
      </c>
      <c r="C17" s="262"/>
      <c r="D17" s="262"/>
      <c r="E17" s="262"/>
      <c r="F17" s="262"/>
      <c r="G17" s="262"/>
      <c r="H17" s="262"/>
      <c r="I17" s="262"/>
      <c r="J17" s="262"/>
      <c r="K17" s="262"/>
      <c r="L17" s="262"/>
      <c r="M17" s="262"/>
      <c r="N17" s="262"/>
      <c r="O17" s="262"/>
      <c r="P17" s="163" t="s">
        <v>123</v>
      </c>
      <c r="Q17" s="6" t="s">
        <v>40</v>
      </c>
    </row>
    <row r="18" spans="2:17" ht="30" customHeight="1">
      <c r="B18" s="261" t="s">
        <v>158</v>
      </c>
      <c r="C18" s="262"/>
      <c r="D18" s="262"/>
      <c r="E18" s="262"/>
      <c r="F18" s="262"/>
      <c r="G18" s="262"/>
      <c r="H18" s="262"/>
      <c r="I18" s="262"/>
      <c r="J18" s="262"/>
      <c r="K18" s="262"/>
      <c r="L18" s="262"/>
      <c r="M18" s="262"/>
      <c r="N18" s="262"/>
      <c r="O18" s="262"/>
      <c r="P18" s="163" t="s">
        <v>124</v>
      </c>
      <c r="Q18" s="6" t="s">
        <v>40</v>
      </c>
    </row>
  </sheetData>
  <mergeCells count="16">
    <mergeCell ref="B9:O9"/>
    <mergeCell ref="B2:O2"/>
    <mergeCell ref="B4:O4"/>
    <mergeCell ref="B5:O5"/>
    <mergeCell ref="B6:O6"/>
    <mergeCell ref="B8:O8"/>
    <mergeCell ref="B7:K7"/>
    <mergeCell ref="B17:O17"/>
    <mergeCell ref="B18:O18"/>
    <mergeCell ref="B16:O16"/>
    <mergeCell ref="B10:O10"/>
    <mergeCell ref="B11:O11"/>
    <mergeCell ref="B12:O12"/>
    <mergeCell ref="B13:O13"/>
    <mergeCell ref="B15:O15"/>
    <mergeCell ref="B14:O14"/>
  </mergeCells>
  <hyperlinks>
    <hyperlink ref="B4:O4" location="'Figure 1'!A1" display="Figure 1 : Nombre de nouvelles pensions de droit direct de la fonction publique par versant et caisse de retraite, en 2025" xr:uid="{8DCDB167-B17C-41BE-BC14-485D4135611A}"/>
    <hyperlink ref="B5:O5" location="'Figure 2'!A1" display="Figure  2 : Nombre de nouvelles pensions de droit direct de la fonction publique depuis 2000" xr:uid="{21A4797B-011C-4211-9292-79BAFCFA6F61}"/>
    <hyperlink ref="B6:O6" location="'Figure 3'!A1" display="Figure 3 : Nombre de nouvelles pensions de fonctionnaires et militaires, par sexe, depuis 2015" xr:uid="{80480ADB-50BB-4BDF-8E77-5EFD77FCAC8C}"/>
    <hyperlink ref="B8:O8" location="'Figure 5'!A1" display="Figure 5 : Répartition des nouvelles pensions de droit direct des fonctionnaires par motif de départ, en 2025 " xr:uid="{89F4D5F8-AAE5-40F4-B7C9-33E9CB1E88AB}"/>
    <hyperlink ref="B9:O9" location="'Figure 6'!A1" display="Figure 6 : Âge moyen des nouveaux pensionnés fonctionnaires de droit direct, par motif, en 2025" xr:uid="{15CF6007-AEF8-4E15-8C42-0CDF8BAC1D76}"/>
    <hyperlink ref="B10:O10" location="'Figure 7'!A1" display="Figure 7 : Âge moyen des nouveaux pensionnés fonctionnaires par motif, depuis 2015" xr:uid="{6DCCF3EA-C1F7-4159-9ADA-897CBA72FCE3}"/>
    <hyperlink ref="B11:O11" location="'Figure 8'!A1" display="Figure 8 : Distribution des âges de liquidation pour les nouveaux pensionnés fonctionnaires de droit direct, en 2025" xr:uid="{9BDF9B09-6A14-4B55-A765-2B594AE06FF7}"/>
    <hyperlink ref="B12:O12" location="'Figure 9'!A1" display="Figure 9 : Répartition  des nouveaux pensionnés fonctionnaires de droit direct par type de pension et par versant, en 2025" xr:uid="{C41C1653-93D0-4348-9F31-78CFD131FD8B}"/>
    <hyperlink ref="B13:O13" location="'Figure 10'!A1" display="Figure 10 : Répartition  des nouveaux pensionnés fonctionnaires de droit direct par type de pension et motif de départ à la retraite, en 2025" xr:uid="{1830DED5-5E9A-4B9D-96A3-5D19C3E1D9CC}"/>
    <hyperlink ref="B15:O15" location="'Figure encadré 3 militaires'!A1" display="Figure : Âge moyen des nouveaux pensionnés militaires par sexe, depuis 2015" xr:uid="{009C4BC9-90CD-4FD1-9A24-7B141C1C9465}"/>
    <hyperlink ref="B16:O16" location="'Figure encadré 4 contractuels'!A1" display="Figure : Les nouveaux pensionnés contractuels dans la fonction publique, en 2025" xr:uid="{DE3BDAB7-7FC1-45C9-83F5-A4B7F99AAE60}"/>
    <hyperlink ref="B14:O14" location="'Figure 11'!A1" display="Figure 11 : Répartition des nouvelles pensions pour les fonctionnaires sédentaires, par sexe, depuis 2019" xr:uid="{49EADCBA-68F7-4F73-BF1F-75358AE5E3D8}"/>
    <hyperlink ref="B7" location="'Figure 4'!A1" display="Figure 4 : Évolution des pensions de droit direct par motif de départ, depuis 2015" xr:uid="{AD0913FC-5CD9-40F9-921F-7D5449713B54}"/>
    <hyperlink ref="B7:K7" location="'Figure 4'!A1" display="Figure 4 : Évolution des pensions de droit direct des fonctionnaires par motif de départ, depuis 2015" xr:uid="{9CAA773D-A31A-4615-890B-8911C3ADEF3E}"/>
    <hyperlink ref="B17:O17" location="'Fig. A encadré 6 retraite progr'!A1" display="Figure A : Effectifs entrés dans le dispositif de retraite progressive" xr:uid="{E2F63F50-78BB-4610-9952-F766FC976D76}"/>
    <hyperlink ref="B18:O18" location="'Fig. B encadré 6 retraite progr'!A1" display="Figure B : Nouveaux fonctionnaires entrant dans le dispositif de retraite progressive en 2025 :  âge d'entrée et taux de retraite progressive par sexe" xr:uid="{FEFB962F-0385-41CB-BECB-791A1BD8142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2965-EBFF-45DA-A93C-26A554FA987E}">
  <dimension ref="B2:H25"/>
  <sheetViews>
    <sheetView zoomScaleNormal="100" workbookViewId="0">
      <selection activeCell="J16" sqref="J16"/>
    </sheetView>
  </sheetViews>
  <sheetFormatPr baseColWidth="10" defaultColWidth="11.42578125" defaultRowHeight="12.75"/>
  <cols>
    <col min="1" max="1" width="3" style="1" customWidth="1"/>
    <col min="2" max="2" width="31.5703125" style="1" customWidth="1"/>
    <col min="3" max="3" width="18.7109375" style="1" customWidth="1"/>
    <col min="4" max="4" width="25.5703125" style="1" customWidth="1"/>
    <col min="5" max="16384" width="11.42578125" style="1"/>
  </cols>
  <sheetData>
    <row r="2" spans="2:8">
      <c r="B2" s="22" t="str">
        <f>'[1]Figure 1'!$A$1</f>
        <v>Figure 1 : Nombre de nouvelles pensions de droit direct de la fonction publique, par versant et caisse de retraite, en 2025</v>
      </c>
      <c r="C2" s="17"/>
      <c r="D2" s="17"/>
      <c r="E2" s="17"/>
      <c r="F2" s="17"/>
      <c r="G2" s="17"/>
      <c r="H2" s="17"/>
    </row>
    <row r="3" spans="2:8">
      <c r="B3" s="17"/>
      <c r="C3" s="17"/>
      <c r="D3" s="17"/>
      <c r="E3" s="17"/>
      <c r="F3" s="17"/>
      <c r="G3" s="17"/>
      <c r="H3" s="17"/>
    </row>
    <row r="4" spans="2:8" ht="89.25">
      <c r="B4" s="23"/>
      <c r="C4" s="24" t="s">
        <v>24</v>
      </c>
      <c r="D4" s="25" t="s">
        <v>26</v>
      </c>
      <c r="E4" s="26" t="s">
        <v>66</v>
      </c>
      <c r="F4" s="24" t="s">
        <v>67</v>
      </c>
      <c r="G4" s="26" t="s">
        <v>89</v>
      </c>
      <c r="H4" s="17"/>
    </row>
    <row r="5" spans="2:8" ht="15" customHeight="1">
      <c r="B5" s="274" t="s">
        <v>81</v>
      </c>
      <c r="C5" s="277" t="s">
        <v>57</v>
      </c>
      <c r="D5" s="27" t="s">
        <v>31</v>
      </c>
      <c r="E5" s="130">
        <v>39.146000000000001</v>
      </c>
      <c r="F5" s="131">
        <v>58.205180605936746</v>
      </c>
      <c r="G5" s="132">
        <v>0.91516073315975888</v>
      </c>
      <c r="H5" s="17"/>
    </row>
    <row r="6" spans="2:8" s="50" customFormat="1" ht="15" customHeight="1">
      <c r="B6" s="275"/>
      <c r="C6" s="278"/>
      <c r="D6" s="28" t="s">
        <v>28</v>
      </c>
      <c r="E6" s="133">
        <v>10.691000000000001</v>
      </c>
      <c r="F6" s="134">
        <v>16.565335328781217</v>
      </c>
      <c r="G6" s="135">
        <v>-9.5209884901828019</v>
      </c>
      <c r="H6" s="29"/>
    </row>
    <row r="7" spans="2:8">
      <c r="B7" s="275"/>
      <c r="C7" s="30" t="s">
        <v>3</v>
      </c>
      <c r="D7" s="31" t="s">
        <v>85</v>
      </c>
      <c r="E7" s="130">
        <v>1.3819999999999999</v>
      </c>
      <c r="F7" s="131">
        <v>15.484804630969609</v>
      </c>
      <c r="G7" s="132">
        <v>4.2232277526395245</v>
      </c>
      <c r="H7" s="17"/>
    </row>
    <row r="8" spans="2:8">
      <c r="B8" s="275"/>
      <c r="C8" s="277" t="s">
        <v>29</v>
      </c>
      <c r="D8" s="27" t="s">
        <v>5</v>
      </c>
      <c r="E8" s="136">
        <v>7.851</v>
      </c>
      <c r="F8" s="137">
        <v>63.762578015539418</v>
      </c>
      <c r="G8" s="138">
        <v>7.0201744820065359</v>
      </c>
      <c r="H8" s="17"/>
    </row>
    <row r="9" spans="2:8" ht="14.25">
      <c r="B9" s="276"/>
      <c r="C9" s="278"/>
      <c r="D9" s="32" t="s">
        <v>125</v>
      </c>
      <c r="E9" s="139">
        <v>1.2E-2</v>
      </c>
      <c r="F9" s="140">
        <v>33.333333333333329</v>
      </c>
      <c r="G9" s="141">
        <v>19.999999999999996</v>
      </c>
      <c r="H9" s="17"/>
    </row>
    <row r="10" spans="2:8">
      <c r="B10" s="274" t="s">
        <v>82</v>
      </c>
      <c r="C10" s="33" t="s">
        <v>6</v>
      </c>
      <c r="D10" s="31" t="s">
        <v>25</v>
      </c>
      <c r="E10" s="142">
        <v>46.896999999999998</v>
      </c>
      <c r="F10" s="143">
        <v>59.295903789154956</v>
      </c>
      <c r="G10" s="144">
        <v>9.1110025360042748</v>
      </c>
      <c r="H10" s="17"/>
    </row>
    <row r="11" spans="2:8">
      <c r="B11" s="275"/>
      <c r="C11" s="277" t="s">
        <v>29</v>
      </c>
      <c r="D11" s="34" t="s">
        <v>5</v>
      </c>
      <c r="E11" s="145">
        <v>9.1940000000000008</v>
      </c>
      <c r="F11" s="146">
        <v>68.501196432455941</v>
      </c>
      <c r="G11" s="138">
        <v>6.3258933734243072</v>
      </c>
      <c r="H11" s="17"/>
    </row>
    <row r="12" spans="2:8" ht="14.25">
      <c r="B12" s="276"/>
      <c r="C12" s="278"/>
      <c r="D12" s="32" t="s">
        <v>126</v>
      </c>
      <c r="E12" s="145">
        <v>2.0270000000000001</v>
      </c>
      <c r="F12" s="146">
        <v>87.913172175629001</v>
      </c>
      <c r="G12" s="147">
        <v>4.8629073978272208</v>
      </c>
      <c r="H12" s="17"/>
    </row>
    <row r="13" spans="2:8">
      <c r="B13" s="274" t="s">
        <v>83</v>
      </c>
      <c r="C13" s="33" t="s">
        <v>6</v>
      </c>
      <c r="D13" s="31" t="s">
        <v>25</v>
      </c>
      <c r="E13" s="142">
        <v>22.753</v>
      </c>
      <c r="F13" s="143">
        <v>80.692655913505902</v>
      </c>
      <c r="G13" s="144">
        <v>15.105984722011435</v>
      </c>
      <c r="H13" s="17"/>
    </row>
    <row r="14" spans="2:8">
      <c r="B14" s="275"/>
      <c r="C14" s="277" t="s">
        <v>29</v>
      </c>
      <c r="D14" s="34" t="s">
        <v>5</v>
      </c>
      <c r="E14" s="145">
        <v>2.1419999999999999</v>
      </c>
      <c r="F14" s="146">
        <v>72.549019607843135</v>
      </c>
      <c r="G14" s="138">
        <v>3.7288135593220417</v>
      </c>
      <c r="H14" s="17"/>
    </row>
    <row r="15" spans="2:8" ht="14.25">
      <c r="B15" s="275"/>
      <c r="C15" s="278"/>
      <c r="D15" s="34" t="s">
        <v>127</v>
      </c>
      <c r="E15" s="145">
        <v>1.9379999999999999</v>
      </c>
      <c r="F15" s="146">
        <v>37.306501547987615</v>
      </c>
      <c r="G15" s="148">
        <v>-5.2785923753665642</v>
      </c>
      <c r="H15" s="17"/>
    </row>
    <row r="16" spans="2:8" ht="15" customHeight="1">
      <c r="B16" s="284" t="s">
        <v>2</v>
      </c>
      <c r="C16" s="284"/>
      <c r="D16" s="284"/>
      <c r="E16" s="149">
        <v>133.34199999999998</v>
      </c>
      <c r="F16" s="150">
        <v>63.396379235349698</v>
      </c>
      <c r="G16" s="151">
        <v>6.7572977214135799</v>
      </c>
      <c r="H16" s="17"/>
    </row>
    <row r="17" spans="2:8">
      <c r="B17" s="284" t="s">
        <v>4</v>
      </c>
      <c r="C17" s="284"/>
      <c r="D17" s="284"/>
      <c r="E17" s="149">
        <v>144.03299999999999</v>
      </c>
      <c r="F17" s="150">
        <v>59.920296043267861</v>
      </c>
      <c r="G17" s="151">
        <v>5.3504293509267331</v>
      </c>
      <c r="H17" s="17"/>
    </row>
    <row r="18" spans="2:8">
      <c r="B18" s="35"/>
      <c r="C18" s="35"/>
      <c r="D18" s="35"/>
      <c r="E18" s="36"/>
      <c r="F18" s="37"/>
      <c r="G18" s="38"/>
      <c r="H18" s="17"/>
    </row>
    <row r="19" spans="2:8" ht="42" customHeight="1">
      <c r="B19" s="286" t="s">
        <v>128</v>
      </c>
      <c r="C19" s="286"/>
      <c r="D19" s="286"/>
      <c r="E19" s="286"/>
      <c r="F19" s="286"/>
      <c r="G19" s="286"/>
      <c r="H19" s="17"/>
    </row>
    <row r="20" spans="2:8" s="166" customFormat="1" ht="12.75" customHeight="1">
      <c r="B20" s="279" t="s">
        <v>32</v>
      </c>
      <c r="C20" s="279"/>
      <c r="D20" s="279"/>
      <c r="E20" s="279"/>
      <c r="F20" s="279"/>
      <c r="G20" s="279"/>
      <c r="H20" s="16"/>
    </row>
    <row r="21" spans="2:8" ht="26.25" customHeight="1">
      <c r="B21" s="285" t="s">
        <v>153</v>
      </c>
      <c r="C21" s="285"/>
      <c r="D21" s="285"/>
      <c r="E21" s="285"/>
      <c r="F21" s="285"/>
      <c r="G21" s="285"/>
      <c r="H21" s="17"/>
    </row>
    <row r="22" spans="2:8" ht="14.25">
      <c r="B22" s="280" t="s">
        <v>129</v>
      </c>
      <c r="C22" s="281"/>
      <c r="D22" s="281"/>
      <c r="E22" s="281"/>
      <c r="F22" s="281"/>
      <c r="G22" s="281"/>
      <c r="H22" s="17"/>
    </row>
    <row r="23" spans="2:8" ht="14.25">
      <c r="B23" s="280" t="s">
        <v>130</v>
      </c>
      <c r="C23" s="281"/>
      <c r="D23" s="281"/>
      <c r="E23" s="281"/>
      <c r="F23" s="281"/>
      <c r="G23" s="281"/>
      <c r="H23" s="17"/>
    </row>
    <row r="24" spans="2:8" ht="14.25">
      <c r="B24" s="282" t="s">
        <v>131</v>
      </c>
      <c r="C24" s="283"/>
      <c r="D24" s="283"/>
      <c r="E24" s="283"/>
      <c r="F24" s="283"/>
      <c r="G24" s="283"/>
      <c r="H24" s="17"/>
    </row>
    <row r="25" spans="2:8">
      <c r="B25" s="1" t="str">
        <f>'[1]Figure 1'!$A$22</f>
        <v>Lecture : En 2025, 39 100 agents ont liquidé leur retraite au titre d'un emploi de fonctionnaire civil de la FPE, auprès du SRE.</v>
      </c>
      <c r="C25" s="17"/>
      <c r="D25" s="17"/>
      <c r="E25" s="17"/>
      <c r="F25" s="17"/>
      <c r="G25" s="17"/>
      <c r="H25" s="17"/>
    </row>
  </sheetData>
  <mergeCells count="15">
    <mergeCell ref="B22:G22"/>
    <mergeCell ref="B23:G23"/>
    <mergeCell ref="B24:G24"/>
    <mergeCell ref="B16:D16"/>
    <mergeCell ref="B17:D17"/>
    <mergeCell ref="B21:G21"/>
    <mergeCell ref="B19:G19"/>
    <mergeCell ref="B5:B9"/>
    <mergeCell ref="C5:C6"/>
    <mergeCell ref="B10:B12"/>
    <mergeCell ref="B13:B15"/>
    <mergeCell ref="B20:G20"/>
    <mergeCell ref="C8:C9"/>
    <mergeCell ref="C11:C12"/>
    <mergeCell ref="C14:C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4E6C6-249B-441B-B262-05E9F6F777B8}">
  <dimension ref="B2:AB18"/>
  <sheetViews>
    <sheetView zoomScaleNormal="100" workbookViewId="0">
      <selection activeCell="AB6" sqref="AB6"/>
    </sheetView>
  </sheetViews>
  <sheetFormatPr baseColWidth="10" defaultColWidth="11.42578125" defaultRowHeight="12.75"/>
  <cols>
    <col min="1" max="1" width="3.7109375" style="1" customWidth="1"/>
    <col min="2" max="2" width="33.42578125" style="1" customWidth="1"/>
    <col min="3" max="16384" width="11.42578125" style="1"/>
  </cols>
  <sheetData>
    <row r="2" spans="2:28">
      <c r="B2" s="287" t="s">
        <v>84</v>
      </c>
      <c r="C2" s="287"/>
      <c r="D2" s="287"/>
      <c r="E2" s="287"/>
      <c r="F2" s="287"/>
      <c r="G2" s="287"/>
      <c r="H2" s="287"/>
      <c r="I2" s="287"/>
      <c r="J2" s="287"/>
      <c r="K2" s="287"/>
      <c r="L2" s="287"/>
      <c r="M2" s="287"/>
      <c r="N2" s="287"/>
      <c r="O2" s="287"/>
      <c r="P2" s="287"/>
      <c r="Q2" s="287"/>
      <c r="R2" s="287"/>
      <c r="S2" s="287"/>
      <c r="T2" s="287"/>
      <c r="U2" s="287"/>
      <c r="V2" s="287"/>
      <c r="W2" s="287"/>
      <c r="X2" s="287"/>
      <c r="Y2" s="17"/>
      <c r="Z2" s="17"/>
      <c r="AA2" s="17"/>
    </row>
    <row r="3" spans="2:28">
      <c r="B3" s="154"/>
      <c r="C3" s="154"/>
      <c r="D3" s="154"/>
      <c r="E3" s="154"/>
      <c r="F3" s="154"/>
      <c r="G3" s="154"/>
      <c r="H3" s="154"/>
      <c r="I3" s="154"/>
      <c r="J3" s="154"/>
      <c r="K3" s="154"/>
      <c r="L3" s="154"/>
      <c r="M3" s="154"/>
      <c r="N3" s="154"/>
      <c r="O3" s="154"/>
      <c r="P3" s="154"/>
      <c r="Q3" s="154"/>
      <c r="R3" s="154"/>
      <c r="S3" s="154"/>
      <c r="T3" s="154"/>
      <c r="U3" s="154"/>
      <c r="V3" s="154"/>
      <c r="W3" s="154"/>
      <c r="X3" s="154"/>
      <c r="Y3" s="17"/>
      <c r="Z3" s="17"/>
      <c r="AA3" s="17"/>
    </row>
    <row r="4" spans="2:28">
      <c r="B4" s="17" t="s">
        <v>50</v>
      </c>
      <c r="C4" s="154"/>
      <c r="D4" s="154"/>
      <c r="E4" s="154"/>
      <c r="F4" s="154"/>
      <c r="G4" s="154"/>
      <c r="H4" s="154"/>
      <c r="I4" s="154"/>
      <c r="J4" s="154"/>
      <c r="K4" s="17"/>
      <c r="L4" s="17"/>
      <c r="M4" s="17"/>
      <c r="N4" s="17"/>
      <c r="O4" s="17"/>
      <c r="P4" s="17"/>
      <c r="Q4" s="17"/>
      <c r="R4" s="17"/>
      <c r="S4" s="17"/>
      <c r="T4" s="17"/>
      <c r="U4" s="17"/>
      <c r="V4" s="17"/>
      <c r="W4" s="17"/>
      <c r="X4" s="17"/>
      <c r="Y4" s="17"/>
      <c r="Z4" s="17"/>
      <c r="AA4" s="17"/>
    </row>
    <row r="5" spans="2:28" s="167" customFormat="1">
      <c r="B5" s="20"/>
      <c r="C5" s="157">
        <v>2000</v>
      </c>
      <c r="D5" s="157">
        <v>2001</v>
      </c>
      <c r="E5" s="157">
        <v>2002</v>
      </c>
      <c r="F5" s="157">
        <v>2003</v>
      </c>
      <c r="G5" s="157">
        <v>2004</v>
      </c>
      <c r="H5" s="157">
        <v>2005</v>
      </c>
      <c r="I5" s="157">
        <v>2006</v>
      </c>
      <c r="J5" s="157">
        <v>2007</v>
      </c>
      <c r="K5" s="157">
        <v>2008</v>
      </c>
      <c r="L5" s="157">
        <v>2009</v>
      </c>
      <c r="M5" s="157">
        <v>2010</v>
      </c>
      <c r="N5" s="157">
        <v>2011</v>
      </c>
      <c r="O5" s="157">
        <v>2012</v>
      </c>
      <c r="P5" s="157">
        <v>2013</v>
      </c>
      <c r="Q5" s="157">
        <v>2014</v>
      </c>
      <c r="R5" s="157">
        <v>2015</v>
      </c>
      <c r="S5" s="157">
        <v>2016</v>
      </c>
      <c r="T5" s="157">
        <v>2017</v>
      </c>
      <c r="U5" s="157">
        <v>2018</v>
      </c>
      <c r="V5" s="157">
        <v>2019</v>
      </c>
      <c r="W5" s="157">
        <v>2020</v>
      </c>
      <c r="X5" s="157">
        <v>2021</v>
      </c>
      <c r="Y5" s="157">
        <v>2022</v>
      </c>
      <c r="Z5" s="157">
        <f>'[1]Figure 2'!Y3</f>
        <v>2023</v>
      </c>
      <c r="AA5" s="157">
        <f>'[1]Figure 2'!Z3</f>
        <v>2024</v>
      </c>
      <c r="AB5" s="158">
        <f>'[1]Figure 2'!AA3</f>
        <v>2025</v>
      </c>
    </row>
    <row r="6" spans="2:28" ht="14.25" customHeight="1">
      <c r="B6" s="159" t="s">
        <v>68</v>
      </c>
      <c r="C6" s="124">
        <v>47</v>
      </c>
      <c r="D6" s="124">
        <v>47.7</v>
      </c>
      <c r="E6" s="124">
        <v>53</v>
      </c>
      <c r="F6" s="124">
        <v>61.2</v>
      </c>
      <c r="G6" s="124">
        <v>57.6</v>
      </c>
      <c r="H6" s="124">
        <v>56.6</v>
      </c>
      <c r="I6" s="124">
        <v>61.7</v>
      </c>
      <c r="J6" s="124">
        <v>64.900000000000006</v>
      </c>
      <c r="K6" s="124">
        <v>65.900000000000006</v>
      </c>
      <c r="L6" s="124">
        <v>54.3</v>
      </c>
      <c r="M6" s="124">
        <v>56.2</v>
      </c>
      <c r="N6" s="124">
        <v>59.1</v>
      </c>
      <c r="O6" s="124">
        <v>42.9</v>
      </c>
      <c r="P6" s="124">
        <v>46</v>
      </c>
      <c r="Q6" s="124">
        <v>44.2</v>
      </c>
      <c r="R6" s="124">
        <v>41.463000000000001</v>
      </c>
      <c r="S6" s="124">
        <v>41.694000000000003</v>
      </c>
      <c r="T6" s="124">
        <v>45.982999999999997</v>
      </c>
      <c r="U6" s="124">
        <v>43.433999999999997</v>
      </c>
      <c r="V6" s="124">
        <v>42.372</v>
      </c>
      <c r="W6" s="124">
        <v>42.594999999999999</v>
      </c>
      <c r="X6" s="124">
        <v>46.276000000000003</v>
      </c>
      <c r="Y6" s="124">
        <v>46.856000000000002</v>
      </c>
      <c r="Z6" s="124">
        <v>45.302</v>
      </c>
      <c r="AA6" s="124">
        <v>38.790999999999997</v>
      </c>
      <c r="AB6" s="125">
        <v>39.146000000000001</v>
      </c>
    </row>
    <row r="7" spans="2:28" ht="16.5" customHeight="1">
      <c r="B7" s="21" t="s">
        <v>69</v>
      </c>
      <c r="C7" s="126">
        <v>13.1</v>
      </c>
      <c r="D7" s="126">
        <v>13.4</v>
      </c>
      <c r="E7" s="126">
        <v>13.3</v>
      </c>
      <c r="F7" s="126">
        <v>11.5</v>
      </c>
      <c r="G7" s="126">
        <v>10.6</v>
      </c>
      <c r="H7" s="126">
        <v>9.8000000000000007</v>
      </c>
      <c r="I7" s="126">
        <v>9.6999999999999993</v>
      </c>
      <c r="J7" s="126">
        <v>10.8</v>
      </c>
      <c r="K7" s="126">
        <v>12.4</v>
      </c>
      <c r="L7" s="126">
        <v>12.2</v>
      </c>
      <c r="M7" s="126">
        <v>12.9</v>
      </c>
      <c r="N7" s="126">
        <v>13.4</v>
      </c>
      <c r="O7" s="126">
        <v>11.5</v>
      </c>
      <c r="P7" s="126">
        <v>11.9</v>
      </c>
      <c r="Q7" s="126">
        <v>11.9</v>
      </c>
      <c r="R7" s="126">
        <v>11.458</v>
      </c>
      <c r="S7" s="126">
        <v>11.334</v>
      </c>
      <c r="T7" s="126">
        <v>11.457000000000001</v>
      </c>
      <c r="U7" s="126">
        <v>11.731</v>
      </c>
      <c r="V7" s="126">
        <v>12.792999999999999</v>
      </c>
      <c r="W7" s="126">
        <v>11.81</v>
      </c>
      <c r="X7" s="126">
        <v>12.36</v>
      </c>
      <c r="Y7" s="126">
        <v>13.504</v>
      </c>
      <c r="Z7" s="126">
        <v>13.564</v>
      </c>
      <c r="AA7" s="126">
        <v>11.816000000000001</v>
      </c>
      <c r="AB7" s="127">
        <v>10.691000000000001</v>
      </c>
    </row>
    <row r="8" spans="2:28" ht="15" customHeight="1">
      <c r="B8" s="21" t="s">
        <v>70</v>
      </c>
      <c r="C8" s="126">
        <v>2.1</v>
      </c>
      <c r="D8" s="126">
        <v>2</v>
      </c>
      <c r="E8" s="126">
        <v>1.2</v>
      </c>
      <c r="F8" s="126">
        <v>1.2</v>
      </c>
      <c r="G8" s="126">
        <v>1.8</v>
      </c>
      <c r="H8" s="126">
        <v>1.8</v>
      </c>
      <c r="I8" s="126">
        <v>2.6</v>
      </c>
      <c r="J8" s="126">
        <v>2.5</v>
      </c>
      <c r="K8" s="126">
        <v>3.1</v>
      </c>
      <c r="L8" s="126">
        <v>2.4</v>
      </c>
      <c r="M8" s="126">
        <v>2.6</v>
      </c>
      <c r="N8" s="126">
        <v>2.5</v>
      </c>
      <c r="O8" s="126">
        <v>2</v>
      </c>
      <c r="P8" s="126">
        <v>2.5</v>
      </c>
      <c r="Q8" s="126">
        <v>2.4</v>
      </c>
      <c r="R8" s="126">
        <v>2.1</v>
      </c>
      <c r="S8" s="126">
        <v>2.2999999999999998</v>
      </c>
      <c r="T8" s="126">
        <v>2.7</v>
      </c>
      <c r="U8" s="126">
        <v>2.1949999999999998</v>
      </c>
      <c r="V8" s="126">
        <v>2.12</v>
      </c>
      <c r="W8" s="126">
        <v>1.9990000000000001</v>
      </c>
      <c r="X8" s="126">
        <v>1.9019999999999999</v>
      </c>
      <c r="Y8" s="126">
        <v>1.7509999999999999</v>
      </c>
      <c r="Z8" s="126">
        <v>1.6619999999999999</v>
      </c>
      <c r="AA8" s="126">
        <v>1.3260000000000001</v>
      </c>
      <c r="AB8" s="127">
        <v>1.3819999999999999</v>
      </c>
    </row>
    <row r="9" spans="2:28" ht="15.75" customHeight="1">
      <c r="B9" s="21" t="s">
        <v>71</v>
      </c>
      <c r="C9" s="126">
        <v>16.8</v>
      </c>
      <c r="D9" s="126">
        <v>16.5</v>
      </c>
      <c r="E9" s="126">
        <v>18.600000000000001</v>
      </c>
      <c r="F9" s="126">
        <v>25</v>
      </c>
      <c r="G9" s="126">
        <v>16.399999999999999</v>
      </c>
      <c r="H9" s="126">
        <v>21</v>
      </c>
      <c r="I9" s="126">
        <v>29.5</v>
      </c>
      <c r="J9" s="126">
        <v>28.4</v>
      </c>
      <c r="K9" s="126">
        <v>32.700000000000003</v>
      </c>
      <c r="L9" s="126">
        <v>24.9</v>
      </c>
      <c r="M9" s="126">
        <v>28.8</v>
      </c>
      <c r="N9" s="126">
        <v>34.799999999999997</v>
      </c>
      <c r="O9" s="126">
        <v>26.4</v>
      </c>
      <c r="P9" s="126">
        <v>32.5</v>
      </c>
      <c r="Q9" s="126">
        <v>32.799999999999997</v>
      </c>
      <c r="R9" s="126">
        <v>33.167000000000002</v>
      </c>
      <c r="S9" s="126">
        <v>36.401000000000003</v>
      </c>
      <c r="T9" s="126">
        <v>40.795999999999999</v>
      </c>
      <c r="U9" s="126">
        <v>43.137999999999998</v>
      </c>
      <c r="V9" s="126">
        <v>43.582999999999998</v>
      </c>
      <c r="W9" s="126">
        <v>43.677</v>
      </c>
      <c r="X9" s="126">
        <v>46.27</v>
      </c>
      <c r="Y9" s="126">
        <v>48.823</v>
      </c>
      <c r="Z9" s="126">
        <v>47.683999999999997</v>
      </c>
      <c r="AA9" s="126">
        <v>42.981000000000002</v>
      </c>
      <c r="AB9" s="127">
        <v>46.896999999999998</v>
      </c>
    </row>
    <row r="10" spans="2:28" ht="15.75" customHeight="1">
      <c r="B10" s="21" t="s">
        <v>72</v>
      </c>
      <c r="C10" s="126">
        <v>15.5</v>
      </c>
      <c r="D10" s="126">
        <v>16.7</v>
      </c>
      <c r="E10" s="126">
        <v>19.100000000000001</v>
      </c>
      <c r="F10" s="126">
        <v>28.6</v>
      </c>
      <c r="G10" s="126">
        <v>15.7</v>
      </c>
      <c r="H10" s="126">
        <v>21.2</v>
      </c>
      <c r="I10" s="126">
        <v>24.1</v>
      </c>
      <c r="J10" s="126">
        <v>24.7</v>
      </c>
      <c r="K10" s="126">
        <v>29.9</v>
      </c>
      <c r="L10" s="126">
        <v>22.3</v>
      </c>
      <c r="M10" s="126">
        <v>25.1</v>
      </c>
      <c r="N10" s="126">
        <v>31.4</v>
      </c>
      <c r="O10" s="126">
        <v>18.7</v>
      </c>
      <c r="P10" s="126">
        <v>21.7</v>
      </c>
      <c r="Q10" s="126">
        <v>21.7</v>
      </c>
      <c r="R10" s="126">
        <v>21.026</v>
      </c>
      <c r="S10" s="126">
        <v>22.847999999999999</v>
      </c>
      <c r="T10" s="126">
        <v>25.47</v>
      </c>
      <c r="U10" s="126">
        <v>26.059000000000001</v>
      </c>
      <c r="V10" s="126">
        <v>24.702000000000002</v>
      </c>
      <c r="W10" s="126">
        <v>23.062000000000001</v>
      </c>
      <c r="X10" s="126">
        <v>22.372</v>
      </c>
      <c r="Y10" s="126">
        <v>26.440999999999999</v>
      </c>
      <c r="Z10" s="126">
        <v>25.11</v>
      </c>
      <c r="AA10" s="126">
        <v>19.766999999999999</v>
      </c>
      <c r="AB10" s="127">
        <v>22.753</v>
      </c>
    </row>
    <row r="11" spans="2:28" ht="15.75" customHeight="1">
      <c r="B11" s="160" t="s">
        <v>73</v>
      </c>
      <c r="C11" s="128"/>
      <c r="D11" s="128"/>
      <c r="E11" s="128"/>
      <c r="F11" s="128"/>
      <c r="G11" s="128"/>
      <c r="H11" s="128"/>
      <c r="I11" s="128"/>
      <c r="J11" s="128"/>
      <c r="K11" s="129">
        <v>22.1</v>
      </c>
      <c r="L11" s="129">
        <v>24</v>
      </c>
      <c r="M11" s="129">
        <v>25.2</v>
      </c>
      <c r="N11" s="129">
        <v>22.3</v>
      </c>
      <c r="O11" s="129">
        <v>20.3</v>
      </c>
      <c r="P11" s="129">
        <v>23.1</v>
      </c>
      <c r="Q11" s="129">
        <v>19.600000000000001</v>
      </c>
      <c r="R11" s="129">
        <v>21.5</v>
      </c>
      <c r="S11" s="129">
        <v>22.3</v>
      </c>
      <c r="T11" s="129">
        <v>22.3</v>
      </c>
      <c r="U11" s="129">
        <v>23.1</v>
      </c>
      <c r="V11" s="129">
        <v>23.8</v>
      </c>
      <c r="W11" s="129">
        <v>21.6</v>
      </c>
      <c r="X11" s="129">
        <v>22.08</v>
      </c>
      <c r="Y11" s="129">
        <v>24.125</v>
      </c>
      <c r="Z11" s="129">
        <v>23.916</v>
      </c>
      <c r="AA11" s="168">
        <v>22.036999999999999</v>
      </c>
      <c r="AB11" s="169">
        <v>23.164000000000001</v>
      </c>
    </row>
    <row r="12" spans="2:28">
      <c r="B12" s="3"/>
      <c r="C12" s="3"/>
      <c r="D12" s="3"/>
      <c r="E12" s="3"/>
      <c r="F12" s="3"/>
      <c r="G12" s="3"/>
      <c r="H12" s="3"/>
      <c r="I12" s="3"/>
      <c r="J12" s="3"/>
      <c r="K12" s="2"/>
      <c r="L12" s="2"/>
      <c r="M12" s="2"/>
      <c r="N12" s="2"/>
      <c r="O12" s="2"/>
      <c r="P12" s="2"/>
      <c r="Q12" s="2"/>
      <c r="R12" s="2"/>
      <c r="S12" s="2"/>
      <c r="T12" s="2"/>
      <c r="U12" s="2"/>
      <c r="V12" s="2"/>
      <c r="W12" s="2"/>
      <c r="X12" s="2"/>
      <c r="Y12" s="2"/>
    </row>
    <row r="13" spans="2:28">
      <c r="B13" s="279" t="s">
        <v>32</v>
      </c>
      <c r="C13" s="279"/>
      <c r="D13" s="279"/>
      <c r="E13" s="279"/>
      <c r="F13" s="279"/>
      <c r="G13" s="279"/>
      <c r="H13" s="17"/>
      <c r="I13" s="3"/>
      <c r="J13" s="3"/>
      <c r="O13" s="2"/>
    </row>
    <row r="14" spans="2:28" ht="31.5" customHeight="1">
      <c r="B14" s="288" t="s">
        <v>115</v>
      </c>
      <c r="C14" s="288"/>
      <c r="D14" s="288"/>
      <c r="E14" s="288"/>
      <c r="F14" s="288"/>
      <c r="G14" s="288"/>
      <c r="H14" s="288"/>
      <c r="I14" s="288"/>
      <c r="J14" s="288"/>
      <c r="K14" s="155"/>
      <c r="L14" s="155"/>
      <c r="M14" s="155"/>
    </row>
    <row r="15" spans="2:28" ht="18" customHeight="1">
      <c r="B15" s="288" t="s">
        <v>159</v>
      </c>
      <c r="C15" s="288"/>
      <c r="D15" s="288"/>
      <c r="E15" s="288"/>
      <c r="F15" s="288"/>
      <c r="G15" s="288"/>
      <c r="H15" s="288"/>
      <c r="I15" s="288"/>
      <c r="J15" s="288"/>
    </row>
    <row r="16" spans="2:28" ht="24" customHeight="1">
      <c r="J16" s="17"/>
    </row>
    <row r="17" spans="2:2">
      <c r="B17" s="22"/>
    </row>
    <row r="18" spans="2:2">
      <c r="B18" s="17"/>
    </row>
  </sheetData>
  <mergeCells count="4">
    <mergeCell ref="B13:G13"/>
    <mergeCell ref="B2:X2"/>
    <mergeCell ref="B14:J14"/>
    <mergeCell ref="B15:J1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8630-78B8-480C-9360-56A89223685F}">
  <dimension ref="B2:M14"/>
  <sheetViews>
    <sheetView zoomScaleNormal="100" workbookViewId="0">
      <selection activeCell="J7" sqref="J7"/>
    </sheetView>
  </sheetViews>
  <sheetFormatPr baseColWidth="10" defaultColWidth="11.42578125" defaultRowHeight="12.75"/>
  <cols>
    <col min="1" max="1" width="3.140625" style="4" customWidth="1"/>
    <col min="2" max="8" width="11.42578125" style="4"/>
    <col min="9" max="9" width="12.7109375" style="4" customWidth="1"/>
    <col min="10" max="16384" width="11.42578125" style="4"/>
  </cols>
  <sheetData>
    <row r="2" spans="2:13">
      <c r="B2" s="8" t="s">
        <v>60</v>
      </c>
    </row>
    <row r="3" spans="2:13">
      <c r="B3" s="8"/>
    </row>
    <row r="4" spans="2:13">
      <c r="B4" s="4" t="s">
        <v>50</v>
      </c>
    </row>
    <row r="5" spans="2:13">
      <c r="B5" s="9"/>
      <c r="C5" s="10">
        <v>2015</v>
      </c>
      <c r="D5" s="11">
        <v>2016</v>
      </c>
      <c r="E5" s="11">
        <v>2017</v>
      </c>
      <c r="F5" s="11">
        <v>2018</v>
      </c>
      <c r="G5" s="11">
        <v>2019</v>
      </c>
      <c r="H5" s="11">
        <v>2020</v>
      </c>
      <c r="I5" s="11">
        <v>2021</v>
      </c>
      <c r="J5" s="11">
        <v>2022</v>
      </c>
      <c r="K5" s="11">
        <f>'[1]Figure 3'!J3</f>
        <v>2023</v>
      </c>
      <c r="L5" s="11">
        <f>'[1]Figure 3'!K3</f>
        <v>2024</v>
      </c>
      <c r="M5" s="12">
        <f>'[1]Figure 3'!L3</f>
        <v>2025</v>
      </c>
    </row>
    <row r="6" spans="2:13">
      <c r="B6" s="13" t="s">
        <v>10</v>
      </c>
      <c r="C6" s="118">
        <v>57.899000000000001</v>
      </c>
      <c r="D6" s="120">
        <v>61.335000000000001</v>
      </c>
      <c r="E6" s="120">
        <v>69.292000000000002</v>
      </c>
      <c r="F6" s="120">
        <v>70.873000000000005</v>
      </c>
      <c r="G6" s="120">
        <v>70.445999999999998</v>
      </c>
      <c r="H6" s="120">
        <v>69.863</v>
      </c>
      <c r="I6" s="120">
        <v>74.016999999999996</v>
      </c>
      <c r="J6" s="120">
        <v>79.051000000000002</v>
      </c>
      <c r="K6" s="120">
        <v>76.840999999999994</v>
      </c>
      <c r="L6" s="120">
        <v>65.602000000000004</v>
      </c>
      <c r="M6" s="119">
        <v>70.724000000000004</v>
      </c>
    </row>
    <row r="7" spans="2:13">
      <c r="B7" s="14" t="s">
        <v>11</v>
      </c>
      <c r="C7" s="121">
        <v>49.215000000000003</v>
      </c>
      <c r="D7" s="122">
        <v>50.942</v>
      </c>
      <c r="E7" s="122">
        <v>54.414000000000001</v>
      </c>
      <c r="F7" s="122">
        <v>53.488999999999997</v>
      </c>
      <c r="G7" s="122">
        <v>53.003999999999998</v>
      </c>
      <c r="H7" s="122">
        <v>51.280999999999999</v>
      </c>
      <c r="I7" s="122">
        <v>53.261000000000003</v>
      </c>
      <c r="J7" s="122">
        <v>56.573</v>
      </c>
      <c r="K7" s="122">
        <v>54.819000000000003</v>
      </c>
      <c r="L7" s="122">
        <v>47.753</v>
      </c>
      <c r="M7" s="123">
        <v>48.762999999999998</v>
      </c>
    </row>
    <row r="9" spans="2:13" ht="12.75" customHeight="1">
      <c r="B9" s="93" t="s">
        <v>34</v>
      </c>
      <c r="C9" s="29"/>
      <c r="D9" s="29"/>
      <c r="E9" s="29"/>
      <c r="F9" s="29"/>
      <c r="G9" s="29"/>
      <c r="I9" s="15"/>
    </row>
    <row r="10" spans="2:13" ht="25.5" customHeight="1">
      <c r="B10" s="288" t="s">
        <v>93</v>
      </c>
      <c r="C10" s="288"/>
      <c r="D10" s="288"/>
      <c r="E10" s="288"/>
      <c r="F10" s="288"/>
      <c r="G10" s="288"/>
      <c r="I10" s="15"/>
    </row>
    <row r="11" spans="2:13" ht="25.5" customHeight="1">
      <c r="B11" s="288" t="s">
        <v>90</v>
      </c>
      <c r="C11" s="288"/>
      <c r="D11" s="288"/>
      <c r="E11" s="288"/>
      <c r="F11" s="288"/>
      <c r="G11" s="288"/>
      <c r="I11" s="15"/>
    </row>
    <row r="12" spans="2:13">
      <c r="D12" s="18"/>
      <c r="E12" s="18"/>
      <c r="F12" s="18"/>
      <c r="G12" s="18"/>
      <c r="H12" s="18"/>
      <c r="I12" s="18"/>
      <c r="J12" s="18"/>
    </row>
    <row r="13" spans="2:13">
      <c r="B13" s="19"/>
      <c r="D13" s="18"/>
      <c r="E13" s="18"/>
      <c r="F13" s="18"/>
      <c r="G13" s="18"/>
      <c r="H13" s="18"/>
      <c r="I13" s="18"/>
      <c r="J13" s="18"/>
    </row>
    <row r="14" spans="2:13">
      <c r="B14" s="15"/>
    </row>
  </sheetData>
  <mergeCells count="2">
    <mergeCell ref="B10:G10"/>
    <mergeCell ref="B11:G1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625D-D5A0-4C94-90DF-164DCA8F6DAA}">
  <dimension ref="B2:M18"/>
  <sheetViews>
    <sheetView workbookViewId="0">
      <selection activeCell="B5" sqref="B5:M9"/>
    </sheetView>
  </sheetViews>
  <sheetFormatPr baseColWidth="10" defaultColWidth="11.42578125" defaultRowHeight="15"/>
  <cols>
    <col min="1" max="1" width="3.140625" style="171" customWidth="1"/>
    <col min="2" max="2" width="28.7109375" style="171" customWidth="1"/>
    <col min="3" max="16384" width="11.42578125" style="171"/>
  </cols>
  <sheetData>
    <row r="2" spans="2:13">
      <c r="B2" s="167" t="s">
        <v>160</v>
      </c>
    </row>
    <row r="3" spans="2:13">
      <c r="B3" s="170"/>
    </row>
    <row r="4" spans="2:13">
      <c r="B4" s="171" t="str">
        <f>'[1]Figure 4'!A76</f>
        <v>base 100 en 2015</v>
      </c>
    </row>
    <row r="5" spans="2:13" s="170" customFormat="1">
      <c r="B5" s="320"/>
      <c r="C5" s="321">
        <f>'[1]Figure 4'!B77</f>
        <v>2015</v>
      </c>
      <c r="D5" s="322">
        <f>'[1]Figure 4'!C77</f>
        <v>2016</v>
      </c>
      <c r="E5" s="322">
        <f>'[1]Figure 4'!D77</f>
        <v>2017</v>
      </c>
      <c r="F5" s="322">
        <f>'[1]Figure 4'!E77</f>
        <v>2018</v>
      </c>
      <c r="G5" s="322">
        <f>'[1]Figure 4'!F77</f>
        <v>2019</v>
      </c>
      <c r="H5" s="322">
        <f>'[1]Figure 4'!G77</f>
        <v>2020</v>
      </c>
      <c r="I5" s="322">
        <f>'[1]Figure 4'!H77</f>
        <v>2021</v>
      </c>
      <c r="J5" s="322">
        <f>'[1]Figure 4'!I77</f>
        <v>2022</v>
      </c>
      <c r="K5" s="322">
        <f>'[1]Figure 4'!J77</f>
        <v>2023</v>
      </c>
      <c r="L5" s="322">
        <f>'[1]Figure 4'!K77</f>
        <v>2024</v>
      </c>
      <c r="M5" s="323">
        <f>'[1]Figure 4'!L77</f>
        <v>2025</v>
      </c>
    </row>
    <row r="6" spans="2:13">
      <c r="B6" s="324" t="s">
        <v>35</v>
      </c>
      <c r="C6" s="325">
        <v>100</v>
      </c>
      <c r="D6" s="326">
        <v>102.61525608243247</v>
      </c>
      <c r="E6" s="326">
        <v>112.54968480214688</v>
      </c>
      <c r="F6" s="326">
        <v>120.20304311501556</v>
      </c>
      <c r="G6" s="326">
        <v>121.42332717283982</v>
      </c>
      <c r="H6" s="326">
        <v>126.35256588774399</v>
      </c>
      <c r="I6" s="326">
        <v>140.47697410061014</v>
      </c>
      <c r="J6" s="326">
        <v>150.24177827286766</v>
      </c>
      <c r="K6" s="326">
        <v>146.29484290741536</v>
      </c>
      <c r="L6" s="326">
        <v>129.53998835413555</v>
      </c>
      <c r="M6" s="327">
        <v>129.76784222385376</v>
      </c>
    </row>
    <row r="7" spans="2:13" ht="17.25">
      <c r="B7" s="328" t="s">
        <v>132</v>
      </c>
      <c r="C7" s="329">
        <v>100</v>
      </c>
      <c r="D7" s="330">
        <v>108.3336814403275</v>
      </c>
      <c r="E7" s="330">
        <v>123.97969840010025</v>
      </c>
      <c r="F7" s="330">
        <v>115.38702535611345</v>
      </c>
      <c r="G7" s="330">
        <v>108.82868958603116</v>
      </c>
      <c r="H7" s="330">
        <v>105.61426960190485</v>
      </c>
      <c r="I7" s="330">
        <v>103.93709010401437</v>
      </c>
      <c r="J7" s="330">
        <v>112.98508709636994</v>
      </c>
      <c r="K7" s="330">
        <v>106.18029157441831</v>
      </c>
      <c r="L7" s="330">
        <v>83.68770625339404</v>
      </c>
      <c r="M7" s="331">
        <v>90.340030911901081</v>
      </c>
    </row>
    <row r="8" spans="2:13">
      <c r="B8" s="332" t="s">
        <v>9</v>
      </c>
      <c r="C8" s="333">
        <v>100</v>
      </c>
      <c r="D8" s="334">
        <v>103.17632850241546</v>
      </c>
      <c r="E8" s="334">
        <v>101.83574879227054</v>
      </c>
      <c r="F8" s="334">
        <v>119.29951690821255</v>
      </c>
      <c r="G8" s="334">
        <v>127.37922705314008</v>
      </c>
      <c r="H8" s="334">
        <v>106.65458937198066</v>
      </c>
      <c r="I8" s="334">
        <v>116.50966183574877</v>
      </c>
      <c r="J8" s="334">
        <v>104.52898550724636</v>
      </c>
      <c r="K8" s="334">
        <v>114.2391304347826</v>
      </c>
      <c r="L8" s="334">
        <v>124.1062801932367</v>
      </c>
      <c r="M8" s="335">
        <v>171.11111111111109</v>
      </c>
    </row>
    <row r="9" spans="2:13" s="170" customFormat="1">
      <c r="B9" s="336" t="s">
        <v>4</v>
      </c>
      <c r="C9" s="321">
        <v>100</v>
      </c>
      <c r="D9" s="337">
        <v>105.52599391576152</v>
      </c>
      <c r="E9" s="337">
        <v>117.34321586501771</v>
      </c>
      <c r="F9" s="337">
        <v>117.71433350408229</v>
      </c>
      <c r="G9" s="337">
        <v>115.63502932352048</v>
      </c>
      <c r="H9" s="337">
        <v>114.26764376888256</v>
      </c>
      <c r="I9" s="337">
        <v>120.11353063549974</v>
      </c>
      <c r="J9" s="337">
        <v>127.63728739140888</v>
      </c>
      <c r="K9" s="337">
        <v>123.4420899672789</v>
      </c>
      <c r="L9" s="337">
        <v>106.11978213826482</v>
      </c>
      <c r="M9" s="338">
        <v>113.6121768401685</v>
      </c>
    </row>
    <row r="11" spans="2:13" ht="12.75" customHeight="1">
      <c r="B11" s="93" t="s">
        <v>34</v>
      </c>
      <c r="C11" s="29"/>
      <c r="D11" s="29"/>
      <c r="E11" s="29"/>
      <c r="F11" s="29"/>
      <c r="G11" s="29"/>
    </row>
    <row r="12" spans="2:13" ht="28.5" customHeight="1">
      <c r="B12" s="288" t="s">
        <v>161</v>
      </c>
      <c r="C12" s="288"/>
      <c r="D12" s="288"/>
      <c r="E12" s="288"/>
      <c r="F12" s="288"/>
      <c r="G12" s="288"/>
    </row>
    <row r="13" spans="2:13" ht="26.45" customHeight="1">
      <c r="B13" s="288" t="s">
        <v>154</v>
      </c>
      <c r="C13" s="288"/>
      <c r="D13" s="288"/>
      <c r="E13" s="288"/>
      <c r="F13" s="288"/>
      <c r="G13" s="288"/>
    </row>
    <row r="14" spans="2:13" ht="25.5" customHeight="1">
      <c r="B14" s="289" t="s">
        <v>162</v>
      </c>
      <c r="C14" s="289"/>
      <c r="D14" s="289"/>
      <c r="E14" s="289"/>
      <c r="F14" s="289"/>
      <c r="G14" s="289"/>
    </row>
    <row r="18" spans="8:8">
      <c r="H18" s="172"/>
    </row>
  </sheetData>
  <mergeCells count="3">
    <mergeCell ref="B14:G14"/>
    <mergeCell ref="B13:G13"/>
    <mergeCell ref="B12:G1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375C3-962D-48CA-9151-59E5E8F12F36}">
  <dimension ref="B2:J19"/>
  <sheetViews>
    <sheetView zoomScaleNormal="100" workbookViewId="0">
      <selection activeCell="H13" sqref="H13"/>
    </sheetView>
  </sheetViews>
  <sheetFormatPr baseColWidth="10" defaultColWidth="11.42578125" defaultRowHeight="12.75"/>
  <cols>
    <col min="1" max="1" width="3" style="1" customWidth="1"/>
    <col min="2" max="2" width="25.42578125" style="1" customWidth="1"/>
    <col min="3" max="9" width="12.7109375" style="1" customWidth="1"/>
    <col min="10" max="16384" width="11.42578125" style="1"/>
  </cols>
  <sheetData>
    <row r="2" spans="2:10">
      <c r="B2" s="22" t="str">
        <f>'[1]Figure  5'!$A$1</f>
        <v>Figure 5 : Répartition des nouvelles pensions de droit direct des fonctionnaires par motif de départ, en 2025</v>
      </c>
      <c r="C2" s="22"/>
      <c r="D2" s="17"/>
      <c r="E2" s="17"/>
      <c r="F2" s="17"/>
      <c r="G2" s="17"/>
      <c r="H2" s="17"/>
      <c r="I2" s="17"/>
      <c r="J2" s="17"/>
    </row>
    <row r="3" spans="2:10">
      <c r="B3" s="22"/>
      <c r="C3" s="22"/>
      <c r="D3" s="17"/>
      <c r="E3" s="17"/>
      <c r="F3" s="17"/>
      <c r="G3" s="17"/>
      <c r="H3" s="17"/>
      <c r="I3" s="17"/>
      <c r="J3" s="17"/>
    </row>
    <row r="4" spans="2:10">
      <c r="B4" s="17" t="s">
        <v>51</v>
      </c>
      <c r="C4" s="17"/>
      <c r="D4" s="17"/>
      <c r="E4" s="17"/>
      <c r="F4" s="17"/>
      <c r="G4" s="17"/>
      <c r="H4" s="17"/>
      <c r="I4" s="17"/>
      <c r="J4" s="17"/>
    </row>
    <row r="5" spans="2:10" ht="15" customHeight="1">
      <c r="B5" s="298"/>
      <c r="C5" s="290" t="s">
        <v>79</v>
      </c>
      <c r="D5" s="291"/>
      <c r="E5" s="292" t="s">
        <v>23</v>
      </c>
      <c r="F5" s="294" t="s">
        <v>7</v>
      </c>
      <c r="G5" s="296" t="s">
        <v>1</v>
      </c>
      <c r="H5" s="300" t="s">
        <v>118</v>
      </c>
      <c r="I5" s="301"/>
      <c r="J5" s="17"/>
    </row>
    <row r="6" spans="2:10" ht="30" customHeight="1">
      <c r="B6" s="299"/>
      <c r="C6" s="173" t="s">
        <v>111</v>
      </c>
      <c r="D6" s="174" t="s">
        <v>112</v>
      </c>
      <c r="E6" s="293"/>
      <c r="F6" s="295"/>
      <c r="G6" s="297"/>
      <c r="H6" s="77" t="s">
        <v>119</v>
      </c>
      <c r="I6" s="310" t="s">
        <v>74</v>
      </c>
      <c r="J6" s="175"/>
    </row>
    <row r="7" spans="2:10" s="167" customFormat="1">
      <c r="B7" s="176" t="s">
        <v>8</v>
      </c>
      <c r="C7" s="177">
        <v>94.51</v>
      </c>
      <c r="D7" s="178">
        <v>86.963322843629811</v>
      </c>
      <c r="E7" s="179">
        <v>94.109232105451383</v>
      </c>
      <c r="F7" s="180">
        <v>81.801474516508179</v>
      </c>
      <c r="G7" s="178">
        <v>85.283898491445669</v>
      </c>
      <c r="H7" s="177">
        <v>3.5896311722474872</v>
      </c>
      <c r="I7" s="179">
        <v>62.720347053221879</v>
      </c>
      <c r="J7" s="22"/>
    </row>
    <row r="8" spans="2:10" s="166" customFormat="1" ht="15" customHeight="1">
      <c r="B8" s="181" t="s">
        <v>76</v>
      </c>
      <c r="C8" s="182">
        <v>51.256999999999998</v>
      </c>
      <c r="D8" s="183">
        <v>47.164099449750637</v>
      </c>
      <c r="E8" s="184">
        <v>60.74694732539723</v>
      </c>
      <c r="F8" s="185">
        <v>44.470563094347689</v>
      </c>
      <c r="G8" s="183">
        <v>29.322250076967059</v>
      </c>
      <c r="H8" s="182">
        <v>0.17589461957903119</v>
      </c>
      <c r="I8" s="184">
        <v>66.892326901691476</v>
      </c>
      <c r="J8" s="16"/>
    </row>
    <row r="9" spans="2:10" s="166" customFormat="1" ht="15" customHeight="1">
      <c r="B9" s="181" t="s">
        <v>77</v>
      </c>
      <c r="C9" s="182">
        <v>18.724</v>
      </c>
      <c r="D9" s="183">
        <v>17.228877969782292</v>
      </c>
      <c r="E9" s="184">
        <v>20.760741838246563</v>
      </c>
      <c r="F9" s="185">
        <v>4.7440965915161879</v>
      </c>
      <c r="G9" s="183">
        <v>36.843031182653824</v>
      </c>
      <c r="H9" s="182">
        <v>6.8172742312738954</v>
      </c>
      <c r="I9" s="184">
        <v>59.746848963896603</v>
      </c>
      <c r="J9" s="16"/>
    </row>
    <row r="10" spans="2:10" s="166" customFormat="1" ht="26.25" customHeight="1">
      <c r="B10" s="181" t="s">
        <v>78</v>
      </c>
      <c r="C10" s="186">
        <v>17.670999999999999</v>
      </c>
      <c r="D10" s="187">
        <v>16.2599606176043</v>
      </c>
      <c r="E10" s="188">
        <v>6.6852296530935469</v>
      </c>
      <c r="F10" s="189">
        <v>26.73789934822096</v>
      </c>
      <c r="G10" s="187">
        <v>11.180014953599859</v>
      </c>
      <c r="H10" s="186">
        <v>2.810100069816146</v>
      </c>
      <c r="I10" s="188">
        <v>42.057608511119916</v>
      </c>
      <c r="J10" s="16"/>
    </row>
    <row r="11" spans="2:10" s="166" customFormat="1" ht="15" customHeight="1">
      <c r="B11" s="190" t="s">
        <v>134</v>
      </c>
      <c r="C11" s="182">
        <v>6.8579999999999997</v>
      </c>
      <c r="D11" s="183">
        <v>6.3103848064925732</v>
      </c>
      <c r="E11" s="184">
        <v>5.9163132887140453</v>
      </c>
      <c r="F11" s="185">
        <v>5.8489154824233358</v>
      </c>
      <c r="G11" s="183">
        <v>7.9386022782249199</v>
      </c>
      <c r="H11" s="182">
        <v>28.162960194356202</v>
      </c>
      <c r="I11" s="184">
        <v>92.898804316127155</v>
      </c>
      <c r="J11" s="16"/>
    </row>
    <row r="12" spans="2:10" s="167" customFormat="1">
      <c r="B12" s="71" t="s">
        <v>9</v>
      </c>
      <c r="C12" s="177">
        <v>14.167999999999999</v>
      </c>
      <c r="D12" s="178">
        <v>13.036677156370194</v>
      </c>
      <c r="E12" s="179">
        <v>5.8907678945486133</v>
      </c>
      <c r="F12" s="180">
        <v>18.198525483491824</v>
      </c>
      <c r="G12" s="178">
        <v>14.716101508554338</v>
      </c>
      <c r="H12" s="177">
        <v>37.87465940054495</v>
      </c>
      <c r="I12" s="179">
        <v>67.913608130999435</v>
      </c>
      <c r="J12" s="22"/>
    </row>
    <row r="13" spans="2:10" s="167" customFormat="1">
      <c r="B13" s="58" t="s">
        <v>58</v>
      </c>
      <c r="C13" s="191">
        <v>108.678</v>
      </c>
      <c r="D13" s="192">
        <v>100</v>
      </c>
      <c r="E13" s="193">
        <v>100</v>
      </c>
      <c r="F13" s="194">
        <v>100</v>
      </c>
      <c r="G13" s="192">
        <v>100</v>
      </c>
      <c r="H13" s="191">
        <v>7.0603185861630724</v>
      </c>
      <c r="I13" s="193">
        <v>63.397375733819175</v>
      </c>
      <c r="J13" s="22"/>
    </row>
    <row r="14" spans="2:10" s="167" customFormat="1">
      <c r="B14" s="35"/>
      <c r="C14" s="35"/>
      <c r="D14" s="195"/>
      <c r="E14" s="195"/>
      <c r="F14" s="195"/>
      <c r="G14" s="195"/>
      <c r="H14" s="195"/>
      <c r="I14" s="37"/>
      <c r="J14" s="22"/>
    </row>
    <row r="15" spans="2:10">
      <c r="B15" s="93" t="s">
        <v>34</v>
      </c>
      <c r="C15" s="93"/>
      <c r="D15" s="29"/>
      <c r="E15" s="29"/>
      <c r="F15" s="29"/>
      <c r="G15" s="29"/>
      <c r="H15" s="29"/>
      <c r="I15" s="29"/>
      <c r="J15" s="17"/>
    </row>
    <row r="16" spans="2:10">
      <c r="B16" s="29" t="s">
        <v>161</v>
      </c>
      <c r="C16" s="29"/>
      <c r="D16" s="29"/>
      <c r="E16" s="29"/>
      <c r="F16" s="29"/>
      <c r="G16" s="29"/>
      <c r="H16" s="29"/>
      <c r="I16" s="29"/>
      <c r="J16" s="17"/>
    </row>
    <row r="17" spans="2:10">
      <c r="B17" s="29" t="s">
        <v>133</v>
      </c>
      <c r="C17" s="29"/>
      <c r="D17" s="29"/>
      <c r="E17" s="29"/>
      <c r="F17" s="29"/>
      <c r="G17" s="29"/>
      <c r="H17" s="29"/>
      <c r="I17" s="29"/>
      <c r="J17" s="17"/>
    </row>
    <row r="18" spans="2:10" ht="29.25" customHeight="1">
      <c r="B18" s="288" t="s">
        <v>120</v>
      </c>
      <c r="C18" s="288"/>
      <c r="D18" s="288"/>
      <c r="E18" s="288"/>
      <c r="F18" s="288"/>
      <c r="G18" s="288"/>
      <c r="H18" s="288"/>
      <c r="I18" s="288"/>
      <c r="J18" s="153"/>
    </row>
    <row r="19" spans="2:10">
      <c r="B19" s="17"/>
      <c r="C19" s="17"/>
      <c r="D19" s="17"/>
      <c r="E19" s="17"/>
      <c r="F19" s="17"/>
      <c r="G19" s="17"/>
      <c r="H19" s="17"/>
      <c r="I19" s="17"/>
      <c r="J19" s="17"/>
    </row>
  </sheetData>
  <mergeCells count="7">
    <mergeCell ref="B18:I18"/>
    <mergeCell ref="C5:D5"/>
    <mergeCell ref="E5:E6"/>
    <mergeCell ref="F5:F6"/>
    <mergeCell ref="G5:G6"/>
    <mergeCell ref="B5:B6"/>
    <mergeCell ref="H5:I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F0C2-441A-4616-BBB4-19B028B80E17}">
  <dimension ref="B2:J17"/>
  <sheetViews>
    <sheetView zoomScaleNormal="100" workbookViewId="0">
      <selection activeCell="K17" sqref="K17"/>
    </sheetView>
  </sheetViews>
  <sheetFormatPr baseColWidth="10" defaultColWidth="11.42578125" defaultRowHeight="12.75"/>
  <cols>
    <col min="1" max="1" width="3.5703125" style="1" customWidth="1"/>
    <col min="2" max="2" width="25.85546875" style="1" customWidth="1"/>
    <col min="3" max="7" width="12.7109375" style="1" customWidth="1"/>
    <col min="8" max="8" width="11.28515625" style="1" customWidth="1"/>
    <col min="9" max="16384" width="11.42578125" style="1"/>
  </cols>
  <sheetData>
    <row r="2" spans="2:10">
      <c r="B2" s="43" t="s">
        <v>94</v>
      </c>
      <c r="C2" s="17"/>
      <c r="D2" s="17"/>
      <c r="E2" s="17"/>
      <c r="F2" s="17"/>
      <c r="G2" s="17"/>
      <c r="H2" s="17"/>
      <c r="I2" s="167"/>
    </row>
    <row r="3" spans="2:10">
      <c r="B3" s="43"/>
      <c r="C3" s="17"/>
      <c r="D3" s="17"/>
      <c r="E3" s="17"/>
      <c r="F3" s="17"/>
      <c r="G3" s="17"/>
      <c r="H3" s="17"/>
      <c r="I3" s="167"/>
    </row>
    <row r="4" spans="2:10">
      <c r="B4" s="17" t="s">
        <v>49</v>
      </c>
      <c r="C4" s="17"/>
      <c r="D4" s="17"/>
      <c r="E4" s="17"/>
      <c r="F4" s="17"/>
      <c r="G4" s="17"/>
      <c r="H4" s="17"/>
      <c r="I4" s="167"/>
    </row>
    <row r="5" spans="2:10" ht="30" customHeight="1">
      <c r="B5" s="196"/>
      <c r="C5" s="197" t="s">
        <v>23</v>
      </c>
      <c r="D5" s="198" t="s">
        <v>7</v>
      </c>
      <c r="E5" s="198" t="s">
        <v>1</v>
      </c>
      <c r="F5" s="26" t="s">
        <v>64</v>
      </c>
      <c r="G5" s="158" t="s">
        <v>10</v>
      </c>
      <c r="H5" s="175"/>
      <c r="I5" s="199"/>
      <c r="J5" s="199"/>
    </row>
    <row r="6" spans="2:10">
      <c r="B6" s="176" t="s">
        <v>8</v>
      </c>
      <c r="C6" s="200">
        <v>63.160832519001083</v>
      </c>
      <c r="D6" s="201">
        <v>63.245406067008027</v>
      </c>
      <c r="E6" s="201">
        <v>61.988032091640456</v>
      </c>
      <c r="F6" s="202">
        <v>62.954458778203367</v>
      </c>
      <c r="G6" s="203">
        <v>62.982653140425455</v>
      </c>
      <c r="H6" s="204"/>
      <c r="I6" s="205"/>
      <c r="J6" s="206"/>
    </row>
    <row r="7" spans="2:10" ht="15" customHeight="1">
      <c r="B7" s="207" t="s">
        <v>76</v>
      </c>
      <c r="C7" s="208">
        <v>64.546910428931881</v>
      </c>
      <c r="D7" s="209">
        <v>64.175940238635278</v>
      </c>
      <c r="E7" s="209">
        <v>63.5543208378581</v>
      </c>
      <c r="F7" s="210">
        <v>64.267192839846274</v>
      </c>
      <c r="G7" s="211">
        <v>64.096962665150059</v>
      </c>
      <c r="H7" s="212"/>
      <c r="I7" s="205"/>
      <c r="J7" s="206"/>
    </row>
    <row r="8" spans="2:10" ht="15" customHeight="1">
      <c r="B8" s="207" t="s">
        <v>77</v>
      </c>
      <c r="C8" s="208">
        <v>60.349133751691888</v>
      </c>
      <c r="D8" s="209">
        <v>61.422433129279284</v>
      </c>
      <c r="E8" s="209">
        <v>60.92609267482392</v>
      </c>
      <c r="F8" s="210">
        <v>60.734516656910913</v>
      </c>
      <c r="G8" s="211">
        <v>60.935413773844644</v>
      </c>
      <c r="H8" s="212"/>
      <c r="I8" s="205"/>
      <c r="J8" s="206"/>
    </row>
    <row r="9" spans="2:10" ht="15" customHeight="1">
      <c r="B9" s="207" t="s">
        <v>78</v>
      </c>
      <c r="C9" s="208">
        <v>61.439117309896837</v>
      </c>
      <c r="D9" s="209">
        <v>62.227936577685426</v>
      </c>
      <c r="E9" s="209">
        <v>62.150449313532647</v>
      </c>
      <c r="F9" s="210">
        <v>62.099969136721185</v>
      </c>
      <c r="G9" s="211">
        <v>62.191541025161463</v>
      </c>
      <c r="H9" s="212"/>
      <c r="I9" s="205"/>
      <c r="J9" s="206"/>
    </row>
    <row r="10" spans="2:10" ht="14.25">
      <c r="B10" s="190" t="s">
        <v>134</v>
      </c>
      <c r="C10" s="213">
        <v>60.740915371329876</v>
      </c>
      <c r="D10" s="214">
        <v>62.300269808549501</v>
      </c>
      <c r="E10" s="214">
        <v>60.902466909141275</v>
      </c>
      <c r="F10" s="215">
        <v>61.405767167833183</v>
      </c>
      <c r="G10" s="216">
        <v>61.503400489405117</v>
      </c>
      <c r="H10" s="212"/>
      <c r="I10" s="205"/>
      <c r="J10" s="206"/>
    </row>
    <row r="11" spans="2:10">
      <c r="B11" s="58" t="s">
        <v>9</v>
      </c>
      <c r="C11" s="217">
        <v>57.491561144839551</v>
      </c>
      <c r="D11" s="218">
        <v>58.274738951737902</v>
      </c>
      <c r="E11" s="218">
        <v>55.94960586551106</v>
      </c>
      <c r="F11" s="219">
        <v>57.598150630928856</v>
      </c>
      <c r="G11" s="220">
        <v>57.415358916649346</v>
      </c>
      <c r="H11" s="204"/>
      <c r="I11" s="205"/>
      <c r="J11" s="206"/>
    </row>
    <row r="12" spans="2:10">
      <c r="B12" s="58" t="s">
        <v>58</v>
      </c>
      <c r="C12" s="221">
        <v>62.826868901037138</v>
      </c>
      <c r="D12" s="222">
        <v>62.340817945336035</v>
      </c>
      <c r="E12" s="222">
        <v>61.099411158684084</v>
      </c>
      <c r="F12" s="223">
        <v>62.256174177542839</v>
      </c>
      <c r="G12" s="224">
        <v>62.205159925412559</v>
      </c>
      <c r="H12" s="225"/>
      <c r="I12" s="205"/>
      <c r="J12" s="206"/>
    </row>
    <row r="13" spans="2:10">
      <c r="B13" s="35"/>
      <c r="C13" s="226"/>
      <c r="D13" s="226"/>
      <c r="E13" s="226"/>
      <c r="F13" s="226"/>
      <c r="G13" s="38"/>
      <c r="H13" s="225"/>
      <c r="I13" s="205"/>
      <c r="J13" s="206"/>
    </row>
    <row r="14" spans="2:10">
      <c r="B14" s="93" t="s">
        <v>34</v>
      </c>
      <c r="C14" s="29"/>
      <c r="D14" s="29"/>
      <c r="E14" s="29"/>
      <c r="F14" s="29"/>
      <c r="G14" s="29"/>
      <c r="H14" s="17"/>
    </row>
    <row r="15" spans="2:10" ht="34.5" customHeight="1">
      <c r="B15" s="288" t="s">
        <v>163</v>
      </c>
      <c r="C15" s="288"/>
      <c r="D15" s="288"/>
      <c r="E15" s="288"/>
      <c r="F15" s="288"/>
      <c r="G15" s="288"/>
      <c r="H15" s="17"/>
    </row>
    <row r="16" spans="2:10">
      <c r="B16" s="29" t="s">
        <v>133</v>
      </c>
      <c r="C16" s="29"/>
      <c r="D16" s="29"/>
      <c r="E16" s="29"/>
      <c r="F16" s="29"/>
      <c r="G16" s="29"/>
      <c r="H16" s="17"/>
    </row>
    <row r="17" spans="2:8" s="50" customFormat="1" ht="51.75" customHeight="1">
      <c r="B17" s="288" t="s">
        <v>135</v>
      </c>
      <c r="C17" s="288"/>
      <c r="D17" s="288"/>
      <c r="E17" s="288"/>
      <c r="F17" s="288"/>
      <c r="G17" s="288"/>
      <c r="H17" s="155"/>
    </row>
  </sheetData>
  <mergeCells count="2">
    <mergeCell ref="B17:G17"/>
    <mergeCell ref="B15:G1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33332-8543-451C-A2B3-696BF1EEC352}">
  <dimension ref="B2:M29"/>
  <sheetViews>
    <sheetView workbookViewId="0">
      <selection activeCell="B5" sqref="B5"/>
    </sheetView>
  </sheetViews>
  <sheetFormatPr baseColWidth="10" defaultColWidth="11.42578125" defaultRowHeight="12.75"/>
  <cols>
    <col min="1" max="1" width="3.28515625" style="1" customWidth="1"/>
    <col min="2" max="2" width="25.140625" style="1" customWidth="1"/>
    <col min="3" max="6" width="11.42578125" style="1"/>
    <col min="7" max="10" width="11.42578125" style="1" customWidth="1"/>
    <col min="11" max="16384" width="11.42578125" style="1"/>
  </cols>
  <sheetData>
    <row r="2" spans="2:13">
      <c r="B2" s="167" t="str">
        <f>'[1]Figure 7'!$A$1</f>
        <v>Figure 7 : Âge moyen des nouveaux pensionnés fonctionnaires, par motif de départ, depuis 2015</v>
      </c>
    </row>
    <row r="3" spans="2:13">
      <c r="B3" s="167"/>
    </row>
    <row r="4" spans="2:13">
      <c r="B4" s="1" t="s">
        <v>49</v>
      </c>
    </row>
    <row r="5" spans="2:13">
      <c r="B5" s="227"/>
      <c r="C5" s="228">
        <v>2015</v>
      </c>
      <c r="D5" s="228">
        <v>2016</v>
      </c>
      <c r="E5" s="228">
        <v>2017</v>
      </c>
      <c r="F5" s="228">
        <v>2018</v>
      </c>
      <c r="G5" s="228">
        <v>2019</v>
      </c>
      <c r="H5" s="228">
        <v>2020</v>
      </c>
      <c r="I5" s="228">
        <v>2021</v>
      </c>
      <c r="J5" s="228">
        <v>2022</v>
      </c>
      <c r="K5" s="228">
        <f>'[1]Figure 7'!J3</f>
        <v>2023</v>
      </c>
      <c r="L5" s="228">
        <f>'[1]Figure 7'!K3</f>
        <v>2024</v>
      </c>
      <c r="M5" s="229">
        <f>'[1]Figure 7'!L3</f>
        <v>2025</v>
      </c>
    </row>
    <row r="6" spans="2:13">
      <c r="B6" s="230" t="s">
        <v>20</v>
      </c>
      <c r="C6" s="231">
        <v>63.286025417078051</v>
      </c>
      <c r="D6" s="231">
        <v>63.290945309223666</v>
      </c>
      <c r="E6" s="231">
        <v>63.428899811049128</v>
      </c>
      <c r="F6" s="231">
        <v>63.439365614271573</v>
      </c>
      <c r="G6" s="231">
        <v>63.488847998331941</v>
      </c>
      <c r="H6" s="231">
        <v>63.548934725116204</v>
      </c>
      <c r="I6" s="231">
        <v>63.547980037213947</v>
      </c>
      <c r="J6" s="231">
        <v>63.656788189861317</v>
      </c>
      <c r="K6" s="231">
        <v>63.779274552511204</v>
      </c>
      <c r="L6" s="231">
        <v>64.052781554556645</v>
      </c>
      <c r="M6" s="138">
        <v>64.267192839846274</v>
      </c>
    </row>
    <row r="7" spans="2:13">
      <c r="B7" s="232" t="s">
        <v>21</v>
      </c>
      <c r="C7" s="233">
        <v>58.659789934144122</v>
      </c>
      <c r="D7" s="233">
        <v>58.825564240790655</v>
      </c>
      <c r="E7" s="233">
        <v>59.046719743964594</v>
      </c>
      <c r="F7" s="233">
        <v>59.250203765131609</v>
      </c>
      <c r="G7" s="233">
        <v>59.411993337034978</v>
      </c>
      <c r="H7" s="233">
        <v>59.615939540164632</v>
      </c>
      <c r="I7" s="233">
        <v>59.887719243218704</v>
      </c>
      <c r="J7" s="233">
        <v>60.067024436124058</v>
      </c>
      <c r="K7" s="233">
        <v>60.214014864317207</v>
      </c>
      <c r="L7" s="233">
        <v>60.541208349021623</v>
      </c>
      <c r="M7" s="141">
        <v>60.734516656910913</v>
      </c>
    </row>
    <row r="8" spans="2:13">
      <c r="B8" s="232" t="s">
        <v>22</v>
      </c>
      <c r="C8" s="233">
        <v>60.562524014574365</v>
      </c>
      <c r="D8" s="233">
        <v>60.739955651292448</v>
      </c>
      <c r="E8" s="233">
        <v>60.915636738602046</v>
      </c>
      <c r="F8" s="233">
        <v>61.103711723705857</v>
      </c>
      <c r="G8" s="233">
        <v>61.191481712645107</v>
      </c>
      <c r="H8" s="233">
        <v>61.251236533756817</v>
      </c>
      <c r="I8" s="233">
        <v>61.434372894785426</v>
      </c>
      <c r="J8" s="233">
        <v>61.561552567272642</v>
      </c>
      <c r="K8" s="233">
        <v>61.650537888562454</v>
      </c>
      <c r="L8" s="233">
        <v>61.923262365545725</v>
      </c>
      <c r="M8" s="141">
        <v>62.099969136721185</v>
      </c>
    </row>
    <row r="9" spans="2:13" ht="14.25">
      <c r="B9" s="234" t="s">
        <v>136</v>
      </c>
      <c r="C9" s="235">
        <v>60.815331709458896</v>
      </c>
      <c r="D9" s="235">
        <v>60.893930237857006</v>
      </c>
      <c r="E9" s="235">
        <v>61.086967402246835</v>
      </c>
      <c r="F9" s="235">
        <v>61.260979467505017</v>
      </c>
      <c r="G9" s="235">
        <v>61.356690624067696</v>
      </c>
      <c r="H9" s="235">
        <v>61.580454599515114</v>
      </c>
      <c r="I9" s="235">
        <v>61.761925361970803</v>
      </c>
      <c r="J9" s="235">
        <v>61.936123496954394</v>
      </c>
      <c r="K9" s="235">
        <v>61.994970011357715</v>
      </c>
      <c r="L9" s="235">
        <v>62.273558956024466</v>
      </c>
      <c r="M9" s="236">
        <v>62.256174177542839</v>
      </c>
    </row>
    <row r="11" spans="2:13">
      <c r="B11" s="16" t="s">
        <v>34</v>
      </c>
      <c r="C11" s="17"/>
      <c r="D11" s="17"/>
      <c r="E11" s="17"/>
      <c r="F11" s="17"/>
      <c r="G11" s="17"/>
      <c r="H11" s="17"/>
      <c r="I11" s="17"/>
    </row>
    <row r="12" spans="2:13" ht="12.75" customHeight="1">
      <c r="B12" s="302" t="s">
        <v>161</v>
      </c>
      <c r="C12" s="302"/>
      <c r="D12" s="302"/>
      <c r="E12" s="302"/>
      <c r="F12" s="302"/>
      <c r="G12" s="302"/>
      <c r="H12" s="302"/>
      <c r="I12" s="302"/>
    </row>
    <row r="13" spans="2:13">
      <c r="B13" s="280" t="s">
        <v>137</v>
      </c>
      <c r="C13" s="280"/>
      <c r="D13" s="280"/>
      <c r="E13" s="280"/>
      <c r="F13" s="280"/>
      <c r="G13" s="280"/>
      <c r="H13" s="17"/>
      <c r="I13" s="17"/>
    </row>
    <row r="14" spans="2:13" ht="30.75" customHeight="1">
      <c r="B14" s="288" t="s">
        <v>91</v>
      </c>
      <c r="C14" s="288"/>
      <c r="D14" s="288"/>
      <c r="E14" s="288"/>
      <c r="F14" s="288"/>
      <c r="G14" s="288"/>
      <c r="H14" s="288"/>
      <c r="I14" s="288"/>
      <c r="J14" s="288"/>
      <c r="K14" s="288"/>
      <c r="L14" s="288"/>
    </row>
    <row r="15" spans="2:13">
      <c r="C15" s="17"/>
      <c r="D15" s="17"/>
      <c r="E15" s="17"/>
      <c r="F15" s="17"/>
      <c r="G15" s="17"/>
      <c r="H15" s="17"/>
      <c r="I15" s="17"/>
    </row>
    <row r="16" spans="2:13">
      <c r="C16" s="17"/>
      <c r="D16" s="17"/>
      <c r="E16" s="17"/>
      <c r="F16" s="17"/>
      <c r="G16" s="17"/>
      <c r="H16" s="17"/>
      <c r="I16" s="17"/>
    </row>
    <row r="17" spans="3:9">
      <c r="C17" s="17"/>
      <c r="D17" s="17"/>
      <c r="E17" s="17"/>
      <c r="F17" s="17"/>
      <c r="G17" s="17"/>
      <c r="H17" s="17"/>
      <c r="I17" s="17"/>
    </row>
    <row r="18" spans="3:9">
      <c r="C18" s="17"/>
      <c r="D18" s="17"/>
      <c r="E18" s="17"/>
      <c r="F18" s="17"/>
      <c r="G18" s="17"/>
      <c r="H18" s="17"/>
      <c r="I18" s="17"/>
    </row>
    <row r="19" spans="3:9">
      <c r="C19" s="17"/>
      <c r="D19" s="17"/>
      <c r="E19" s="17"/>
      <c r="F19" s="17"/>
      <c r="G19" s="17"/>
      <c r="H19" s="17"/>
      <c r="I19" s="17"/>
    </row>
    <row r="20" spans="3:9">
      <c r="C20" s="17"/>
      <c r="D20" s="17"/>
      <c r="E20" s="17"/>
      <c r="F20" s="17"/>
      <c r="G20" s="17"/>
      <c r="H20" s="17"/>
      <c r="I20" s="17"/>
    </row>
    <row r="21" spans="3:9">
      <c r="C21" s="17"/>
      <c r="D21" s="17"/>
      <c r="E21" s="17"/>
      <c r="F21" s="17"/>
      <c r="G21" s="17"/>
      <c r="H21" s="17"/>
      <c r="I21" s="17"/>
    </row>
    <row r="22" spans="3:9">
      <c r="C22" s="17"/>
      <c r="D22" s="17"/>
      <c r="E22" s="17"/>
      <c r="F22" s="17"/>
      <c r="G22" s="17"/>
      <c r="H22" s="17"/>
      <c r="I22" s="17"/>
    </row>
    <row r="23" spans="3:9">
      <c r="C23" s="17"/>
      <c r="D23" s="17"/>
      <c r="E23" s="17"/>
      <c r="F23" s="17"/>
      <c r="G23" s="17"/>
      <c r="H23" s="17"/>
      <c r="I23" s="17"/>
    </row>
    <row r="24" spans="3:9">
      <c r="C24" s="17"/>
      <c r="D24" s="17"/>
      <c r="E24" s="17"/>
      <c r="F24" s="17"/>
      <c r="G24" s="17"/>
      <c r="H24" s="17"/>
      <c r="I24" s="17"/>
    </row>
    <row r="25" spans="3:9">
      <c r="C25" s="17"/>
      <c r="D25" s="17"/>
      <c r="E25" s="17"/>
      <c r="F25" s="17"/>
      <c r="G25" s="17"/>
      <c r="H25" s="17"/>
      <c r="I25" s="17"/>
    </row>
    <row r="26" spans="3:9">
      <c r="I26" s="17"/>
    </row>
    <row r="27" spans="3:9" ht="30" customHeight="1">
      <c r="H27" s="245"/>
      <c r="I27" s="17"/>
    </row>
    <row r="28" spans="3:9">
      <c r="I28" s="17"/>
    </row>
    <row r="29" spans="3:9" s="50" customFormat="1" ht="60" customHeight="1">
      <c r="I29" s="155"/>
    </row>
  </sheetData>
  <mergeCells count="3">
    <mergeCell ref="B13:G13"/>
    <mergeCell ref="B14:L14"/>
    <mergeCell ref="B12:I1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59BE-4B6E-423F-AAC2-2D544D1DF599}">
  <dimension ref="B2:J15"/>
  <sheetViews>
    <sheetView zoomScaleNormal="100" workbookViewId="0">
      <selection activeCell="K31" sqref="K31"/>
    </sheetView>
  </sheetViews>
  <sheetFormatPr baseColWidth="10" defaultColWidth="11.42578125" defaultRowHeight="12.75"/>
  <cols>
    <col min="1" max="1" width="3.140625" style="1" customWidth="1"/>
    <col min="2" max="2" width="11.42578125" style="1"/>
    <col min="3" max="5" width="15.7109375" style="1" customWidth="1"/>
    <col min="6" max="6" width="16.7109375" style="1" customWidth="1"/>
    <col min="7" max="8" width="11.42578125" style="1"/>
    <col min="9" max="9" width="16.42578125" style="1" customWidth="1"/>
    <col min="10" max="16384" width="11.42578125" style="1"/>
  </cols>
  <sheetData>
    <row r="2" spans="2:10">
      <c r="B2" s="43" t="str">
        <f>'[1]Figure 8'!$A$1</f>
        <v>Figure 8 : Distribution des âges de liquidation pour les nouveaux pensionnés fonctionnaires de droit direct, en 2025</v>
      </c>
      <c r="C2" s="43"/>
      <c r="D2" s="43"/>
      <c r="E2" s="43"/>
      <c r="F2" s="17"/>
      <c r="G2" s="17"/>
      <c r="H2" s="17"/>
      <c r="I2" s="17"/>
      <c r="J2" s="17"/>
    </row>
    <row r="3" spans="2:10">
      <c r="B3" s="43"/>
      <c r="C3" s="43"/>
      <c r="D3" s="43"/>
      <c r="E3" s="43"/>
      <c r="F3" s="17"/>
      <c r="G3" s="17"/>
      <c r="H3" s="17"/>
      <c r="I3" s="17"/>
      <c r="J3" s="17"/>
    </row>
    <row r="4" spans="2:10">
      <c r="B4" s="152" t="s">
        <v>52</v>
      </c>
      <c r="C4" s="43"/>
      <c r="D4" s="43"/>
      <c r="E4" s="43"/>
      <c r="F4" s="17"/>
      <c r="G4" s="17"/>
      <c r="H4" s="17"/>
      <c r="I4" s="17"/>
      <c r="J4" s="17"/>
    </row>
    <row r="5" spans="2:10" ht="25.5">
      <c r="B5" s="51"/>
      <c r="C5" s="156" t="s">
        <v>35</v>
      </c>
      <c r="D5" s="157" t="s">
        <v>36</v>
      </c>
      <c r="E5" s="158" t="s">
        <v>37</v>
      </c>
      <c r="F5" s="156" t="s">
        <v>138</v>
      </c>
      <c r="G5" s="157" t="s">
        <v>139</v>
      </c>
      <c r="H5" s="157" t="s">
        <v>140</v>
      </c>
      <c r="I5" s="158" t="s">
        <v>141</v>
      </c>
      <c r="J5" s="39" t="s">
        <v>142</v>
      </c>
    </row>
    <row r="6" spans="2:10">
      <c r="B6" s="52" t="s">
        <v>12</v>
      </c>
      <c r="C6" s="53">
        <v>67</v>
      </c>
      <c r="D6" s="54">
        <v>64</v>
      </c>
      <c r="E6" s="55">
        <v>64</v>
      </c>
      <c r="F6" s="53">
        <v>67</v>
      </c>
      <c r="G6" s="54">
        <v>66</v>
      </c>
      <c r="H6" s="54">
        <v>64</v>
      </c>
      <c r="I6" s="56">
        <v>66</v>
      </c>
      <c r="J6" s="57">
        <v>66</v>
      </c>
    </row>
    <row r="7" spans="2:10">
      <c r="B7" s="52" t="s">
        <v>13</v>
      </c>
      <c r="C7" s="53">
        <v>65</v>
      </c>
      <c r="D7" s="54">
        <v>62</v>
      </c>
      <c r="E7" s="55">
        <v>62</v>
      </c>
      <c r="F7" s="53">
        <v>64</v>
      </c>
      <c r="G7" s="54">
        <v>64</v>
      </c>
      <c r="H7" s="54">
        <v>62</v>
      </c>
      <c r="I7" s="56">
        <v>64</v>
      </c>
      <c r="J7" s="57">
        <v>64</v>
      </c>
    </row>
    <row r="8" spans="2:10">
      <c r="B8" s="52" t="s">
        <v>14</v>
      </c>
      <c r="C8" s="53">
        <v>63</v>
      </c>
      <c r="D8" s="54">
        <v>60</v>
      </c>
      <c r="E8" s="55">
        <v>61</v>
      </c>
      <c r="F8" s="53">
        <v>63</v>
      </c>
      <c r="G8" s="54">
        <v>62</v>
      </c>
      <c r="H8" s="54">
        <v>62</v>
      </c>
      <c r="I8" s="56">
        <v>62</v>
      </c>
      <c r="J8" s="57">
        <v>62</v>
      </c>
    </row>
    <row r="9" spans="2:10">
      <c r="B9" s="52" t="s">
        <v>15</v>
      </c>
      <c r="C9" s="53">
        <v>62</v>
      </c>
      <c r="D9" s="54">
        <v>58</v>
      </c>
      <c r="E9" s="55">
        <v>60</v>
      </c>
      <c r="F9" s="53">
        <v>61</v>
      </c>
      <c r="G9" s="54">
        <v>61</v>
      </c>
      <c r="H9" s="54">
        <v>59</v>
      </c>
      <c r="I9" s="56">
        <v>61</v>
      </c>
      <c r="J9" s="57">
        <v>61</v>
      </c>
    </row>
    <row r="10" spans="2:10" ht="15.75" customHeight="1">
      <c r="B10" s="58" t="s">
        <v>16</v>
      </c>
      <c r="C10" s="59">
        <v>62</v>
      </c>
      <c r="D10" s="60">
        <v>57</v>
      </c>
      <c r="E10" s="61">
        <v>60</v>
      </c>
      <c r="F10" s="59">
        <v>58</v>
      </c>
      <c r="G10" s="60">
        <v>59</v>
      </c>
      <c r="H10" s="60">
        <v>57</v>
      </c>
      <c r="I10" s="62">
        <v>58</v>
      </c>
      <c r="J10" s="63">
        <v>58</v>
      </c>
    </row>
    <row r="11" spans="2:10" ht="15.75" customHeight="1">
      <c r="B11" s="35"/>
      <c r="C11" s="54"/>
      <c r="D11" s="54"/>
      <c r="E11" s="54"/>
      <c r="F11" s="54"/>
      <c r="G11" s="54"/>
      <c r="H11" s="54"/>
      <c r="I11" s="64"/>
      <c r="J11" s="54"/>
    </row>
    <row r="12" spans="2:10" ht="12.75" customHeight="1">
      <c r="B12" s="93" t="s">
        <v>34</v>
      </c>
      <c r="C12" s="110"/>
      <c r="D12" s="155"/>
      <c r="E12" s="155"/>
      <c r="F12" s="111"/>
      <c r="G12" s="111"/>
      <c r="H12" s="111"/>
      <c r="I12" s="112"/>
      <c r="J12" s="111"/>
    </row>
    <row r="13" spans="2:10" ht="12.75" customHeight="1">
      <c r="B13" s="29" t="s">
        <v>163</v>
      </c>
      <c r="C13" s="110"/>
      <c r="D13" s="155"/>
      <c r="E13" s="155"/>
      <c r="F13" s="111"/>
      <c r="G13" s="111"/>
      <c r="H13" s="111"/>
      <c r="I13" s="112"/>
      <c r="J13" s="111"/>
    </row>
    <row r="14" spans="2:10" ht="12.75" customHeight="1">
      <c r="B14" s="29" t="s">
        <v>137</v>
      </c>
      <c r="C14" s="29"/>
      <c r="D14" s="29"/>
      <c r="E14" s="29"/>
      <c r="F14" s="29"/>
      <c r="G14" s="29"/>
      <c r="H14" s="29"/>
      <c r="I14" s="29"/>
      <c r="J14" s="29"/>
    </row>
    <row r="15" spans="2:10" ht="25.5" customHeight="1">
      <c r="B15" s="288" t="s">
        <v>113</v>
      </c>
      <c r="C15" s="288"/>
      <c r="D15" s="288"/>
      <c r="E15" s="288"/>
      <c r="F15" s="288"/>
      <c r="G15" s="288"/>
      <c r="H15" s="288"/>
      <c r="I15" s="288"/>
      <c r="J15" s="288"/>
    </row>
  </sheetData>
  <mergeCells count="1">
    <mergeCell ref="B15:J1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69D61-3274-42BA-B9B4-854962984BEB}">
  <dimension ref="B2:H15"/>
  <sheetViews>
    <sheetView zoomScaleNormal="100" workbookViewId="0">
      <selection activeCell="C6" sqref="C6"/>
    </sheetView>
  </sheetViews>
  <sheetFormatPr baseColWidth="10" defaultColWidth="11.42578125" defaultRowHeight="12.75"/>
  <cols>
    <col min="1" max="1" width="2.85546875" style="1" customWidth="1"/>
    <col min="2" max="2" width="20.7109375" style="1" customWidth="1"/>
    <col min="3" max="16384" width="11.42578125" style="1"/>
  </cols>
  <sheetData>
    <row r="2" spans="2:8" ht="30" customHeight="1">
      <c r="B2" s="287" t="s">
        <v>98</v>
      </c>
      <c r="C2" s="287"/>
      <c r="D2" s="287"/>
      <c r="E2" s="287"/>
      <c r="F2" s="287"/>
      <c r="G2" s="287"/>
      <c r="H2" s="287"/>
    </row>
    <row r="3" spans="2:8" ht="11.25" customHeight="1">
      <c r="B3" s="154"/>
      <c r="C3" s="154"/>
      <c r="D3" s="154"/>
      <c r="E3" s="154"/>
      <c r="F3" s="154"/>
      <c r="G3" s="154"/>
      <c r="H3" s="154"/>
    </row>
    <row r="4" spans="2:8">
      <c r="B4" s="17" t="s">
        <v>51</v>
      </c>
      <c r="C4" s="17"/>
      <c r="D4" s="17"/>
      <c r="E4" s="17"/>
      <c r="F4" s="17"/>
      <c r="G4" s="17"/>
      <c r="H4" s="17"/>
    </row>
    <row r="5" spans="2:8" ht="14.25">
      <c r="B5" s="65" t="s">
        <v>54</v>
      </c>
      <c r="C5" s="156" t="s">
        <v>138</v>
      </c>
      <c r="D5" s="157" t="s">
        <v>139</v>
      </c>
      <c r="E5" s="157" t="s">
        <v>140</v>
      </c>
      <c r="F5" s="158" t="s">
        <v>141</v>
      </c>
      <c r="G5" s="39" t="s">
        <v>142</v>
      </c>
      <c r="H5" s="17"/>
    </row>
    <row r="6" spans="2:8">
      <c r="B6" s="87" t="s">
        <v>55</v>
      </c>
      <c r="C6" s="67">
        <v>36.900321871966483</v>
      </c>
      <c r="D6" s="68">
        <v>23.43433481885835</v>
      </c>
      <c r="E6" s="68">
        <v>17.56251922823364</v>
      </c>
      <c r="F6" s="69">
        <v>27.051546012721055</v>
      </c>
      <c r="G6" s="70">
        <v>27.517294388931589</v>
      </c>
      <c r="H6" s="68"/>
    </row>
    <row r="7" spans="2:8">
      <c r="B7" s="87" t="s">
        <v>18</v>
      </c>
      <c r="C7" s="67">
        <v>38.320645787564501</v>
      </c>
      <c r="D7" s="68">
        <v>32.7462311022027</v>
      </c>
      <c r="E7" s="68">
        <v>43.501955786050189</v>
      </c>
      <c r="F7" s="69">
        <v>37.001360344130298</v>
      </c>
      <c r="G7" s="70">
        <v>35.30085710556466</v>
      </c>
      <c r="H7" s="68"/>
    </row>
    <row r="8" spans="2:8">
      <c r="B8" s="88" t="s">
        <v>56</v>
      </c>
      <c r="C8" s="67">
        <v>18.69667398967966</v>
      </c>
      <c r="D8" s="68">
        <v>8.870503443717082</v>
      </c>
      <c r="E8" s="68">
        <v>8.5615083725223045</v>
      </c>
      <c r="F8" s="69">
        <v>12.341446376705026</v>
      </c>
      <c r="G8" s="70">
        <v>12.831928995112612</v>
      </c>
      <c r="H8" s="68"/>
    </row>
    <row r="9" spans="2:8" ht="15" customHeight="1">
      <c r="B9" s="88" t="s">
        <v>53</v>
      </c>
      <c r="C9" s="67">
        <v>6.0823583507893524</v>
      </c>
      <c r="D9" s="68">
        <v>34.94893063522187</v>
      </c>
      <c r="E9" s="68">
        <v>30.374016613193866</v>
      </c>
      <c r="F9" s="69">
        <v>23.605647266443619</v>
      </c>
      <c r="G9" s="70">
        <v>24.349919510391135</v>
      </c>
      <c r="H9" s="68"/>
    </row>
    <row r="10" spans="2:8" s="167" customFormat="1">
      <c r="B10" s="71" t="s">
        <v>59</v>
      </c>
      <c r="C10" s="72">
        <v>100</v>
      </c>
      <c r="D10" s="73">
        <v>100</v>
      </c>
      <c r="E10" s="73">
        <v>100</v>
      </c>
      <c r="F10" s="74">
        <v>100</v>
      </c>
      <c r="G10" s="75">
        <v>99.999999999999986</v>
      </c>
      <c r="H10" s="68"/>
    </row>
    <row r="11" spans="2:8" s="167" customFormat="1">
      <c r="B11" s="35"/>
      <c r="C11" s="68"/>
      <c r="D11" s="68"/>
      <c r="E11" s="68"/>
      <c r="F11" s="76"/>
      <c r="G11" s="68"/>
      <c r="H11" s="68"/>
    </row>
    <row r="12" spans="2:8">
      <c r="B12" s="93" t="s">
        <v>34</v>
      </c>
      <c r="C12" s="29"/>
      <c r="D12" s="29"/>
      <c r="E12" s="29"/>
      <c r="F12" s="29"/>
      <c r="G12" s="29"/>
      <c r="H12" s="29"/>
    </row>
    <row r="13" spans="2:8" ht="24.75" customHeight="1">
      <c r="B13" s="288" t="s">
        <v>163</v>
      </c>
      <c r="C13" s="288"/>
      <c r="D13" s="288"/>
      <c r="E13" s="288"/>
      <c r="F13" s="288"/>
      <c r="G13" s="288"/>
      <c r="H13" s="288"/>
    </row>
    <row r="14" spans="2:8">
      <c r="B14" s="29" t="s">
        <v>137</v>
      </c>
      <c r="C14" s="29"/>
      <c r="D14" s="29"/>
      <c r="E14" s="29"/>
      <c r="F14" s="29"/>
      <c r="G14" s="29"/>
      <c r="H14" s="29"/>
    </row>
    <row r="15" spans="2:8" ht="30" customHeight="1">
      <c r="B15" s="288" t="s">
        <v>97</v>
      </c>
      <c r="C15" s="288"/>
      <c r="D15" s="288"/>
      <c r="E15" s="288"/>
      <c r="F15" s="288"/>
      <c r="G15" s="288"/>
      <c r="H15" s="288"/>
    </row>
  </sheetData>
  <mergeCells count="3">
    <mergeCell ref="B2:H2"/>
    <mergeCell ref="B13:H13"/>
    <mergeCell ref="B15:H15"/>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4B43-708D-43DF-8570-452DF378BF09}">
  <dimension ref="B2:H16"/>
  <sheetViews>
    <sheetView zoomScaleNormal="100" workbookViewId="0">
      <selection activeCell="E7" sqref="E7"/>
    </sheetView>
  </sheetViews>
  <sheetFormatPr baseColWidth="10" defaultColWidth="11.42578125" defaultRowHeight="12.75"/>
  <cols>
    <col min="1" max="1" width="3.5703125" style="1" customWidth="1"/>
    <col min="2" max="2" width="20.7109375" style="1" customWidth="1"/>
    <col min="3" max="4" width="11.42578125" style="1"/>
    <col min="5" max="5" width="12.42578125" style="1" bestFit="1" customWidth="1"/>
    <col min="6" max="6" width="12.42578125" style="1" customWidth="1"/>
    <col min="7" max="7" width="12.42578125" style="1" bestFit="1" customWidth="1"/>
    <col min="8" max="8" width="12.42578125" style="1" customWidth="1"/>
    <col min="9" max="16384" width="11.42578125" style="1"/>
  </cols>
  <sheetData>
    <row r="2" spans="2:8" ht="30" customHeight="1">
      <c r="B2" s="287" t="s">
        <v>100</v>
      </c>
      <c r="C2" s="287"/>
      <c r="D2" s="287"/>
      <c r="E2" s="287"/>
      <c r="F2" s="287"/>
      <c r="G2" s="287"/>
      <c r="H2" s="287"/>
    </row>
    <row r="3" spans="2:8" ht="30" hidden="1" customHeight="1">
      <c r="B3" s="154"/>
      <c r="C3" s="154"/>
      <c r="D3" s="154"/>
      <c r="E3" s="154"/>
      <c r="F3" s="154"/>
      <c r="G3" s="154"/>
      <c r="H3" s="154"/>
    </row>
    <row r="4" spans="2:8" ht="11.25" customHeight="1">
      <c r="B4" s="17"/>
      <c r="C4" s="17"/>
      <c r="D4" s="17"/>
      <c r="E4" s="17"/>
      <c r="F4" s="17"/>
      <c r="G4" s="17"/>
      <c r="H4" s="17"/>
    </row>
    <row r="5" spans="2:8">
      <c r="B5" s="305" t="s">
        <v>54</v>
      </c>
      <c r="C5" s="300" t="s">
        <v>20</v>
      </c>
      <c r="D5" s="304"/>
      <c r="E5" s="300" t="s">
        <v>65</v>
      </c>
      <c r="F5" s="304"/>
      <c r="G5" s="300" t="s">
        <v>22</v>
      </c>
      <c r="H5" s="301"/>
    </row>
    <row r="6" spans="2:8" ht="25.5">
      <c r="B6" s="306"/>
      <c r="C6" s="77" t="s">
        <v>86</v>
      </c>
      <c r="D6" s="78" t="s">
        <v>87</v>
      </c>
      <c r="E6" s="77" t="s">
        <v>86</v>
      </c>
      <c r="F6" s="78" t="s">
        <v>87</v>
      </c>
      <c r="G6" s="77" t="s">
        <v>86</v>
      </c>
      <c r="H6" s="79" t="s">
        <v>87</v>
      </c>
    </row>
    <row r="7" spans="2:8">
      <c r="B7" s="66" t="s">
        <v>55</v>
      </c>
      <c r="C7" s="80">
        <v>40.166221199055741</v>
      </c>
      <c r="D7" s="81">
        <v>65.048772326500867</v>
      </c>
      <c r="E7" s="80">
        <v>16.326639606921596</v>
      </c>
      <c r="F7" s="81">
        <v>64.202691011449133</v>
      </c>
      <c r="G7" s="80">
        <v>18.295512421481526</v>
      </c>
      <c r="H7" s="82">
        <v>64.674356420661923</v>
      </c>
    </row>
    <row r="8" spans="2:8">
      <c r="B8" s="66" t="s">
        <v>18</v>
      </c>
      <c r="C8" s="80">
        <v>24.343992040111594</v>
      </c>
      <c r="D8" s="81">
        <v>63.719987674306779</v>
      </c>
      <c r="E8" s="80">
        <v>52.766502883999145</v>
      </c>
      <c r="F8" s="81">
        <v>59.854693279858303</v>
      </c>
      <c r="G8" s="80">
        <v>55.735385660121104</v>
      </c>
      <c r="H8" s="82">
        <v>61.43672637638339</v>
      </c>
    </row>
    <row r="9" spans="2:8">
      <c r="B9" s="83" t="s">
        <v>56</v>
      </c>
      <c r="C9" s="80">
        <v>18.902784009988878</v>
      </c>
      <c r="D9" s="81">
        <v>63.498395615027349</v>
      </c>
      <c r="E9" s="80">
        <v>14.094210638752402</v>
      </c>
      <c r="F9" s="81">
        <v>58.921833068207661</v>
      </c>
      <c r="G9" s="237" t="s">
        <v>165</v>
      </c>
      <c r="H9" s="238" t="s">
        <v>165</v>
      </c>
    </row>
    <row r="10" spans="2:8" ht="15" customHeight="1">
      <c r="B10" s="83" t="s">
        <v>53</v>
      </c>
      <c r="C10" s="80">
        <v>16.587002750843787</v>
      </c>
      <c r="D10" s="81">
        <v>64.053801155022342</v>
      </c>
      <c r="E10" s="80">
        <v>16.812646870326851</v>
      </c>
      <c r="F10" s="81">
        <v>61.647514736340533</v>
      </c>
      <c r="G10" s="80">
        <v>25.952124950483846</v>
      </c>
      <c r="H10" s="82">
        <v>61.710424771696466</v>
      </c>
    </row>
    <row r="11" spans="2:8" s="167" customFormat="1">
      <c r="B11" s="71" t="s">
        <v>59</v>
      </c>
      <c r="C11" s="84">
        <v>100</v>
      </c>
      <c r="D11" s="85">
        <v>64.267192839846274</v>
      </c>
      <c r="E11" s="84">
        <v>100</v>
      </c>
      <c r="F11" s="85">
        <v>60.734516656910913</v>
      </c>
      <c r="G11" s="84">
        <v>99.983023032086479</v>
      </c>
      <c r="H11" s="86">
        <v>62.099969136721185</v>
      </c>
    </row>
    <row r="12" spans="2:8" s="167" customFormat="1">
      <c r="B12" s="35"/>
      <c r="C12" s="89"/>
      <c r="D12" s="90"/>
      <c r="E12" s="89"/>
      <c r="F12" s="90"/>
      <c r="G12" s="89"/>
      <c r="H12" s="90"/>
    </row>
    <row r="13" spans="2:8">
      <c r="B13" s="93" t="s">
        <v>34</v>
      </c>
      <c r="C13" s="29"/>
      <c r="D13" s="29"/>
      <c r="E13" s="110"/>
      <c r="F13" s="110"/>
      <c r="G13" s="29"/>
      <c r="H13" s="29"/>
    </row>
    <row r="14" spans="2:8">
      <c r="B14" s="29" t="s">
        <v>163</v>
      </c>
      <c r="C14" s="29"/>
      <c r="D14" s="29"/>
      <c r="E14" s="110"/>
      <c r="F14" s="110"/>
      <c r="G14" s="29"/>
      <c r="H14" s="29"/>
    </row>
    <row r="15" spans="2:8">
      <c r="B15" s="113" t="s">
        <v>143</v>
      </c>
      <c r="C15" s="29"/>
      <c r="D15" s="29"/>
      <c r="E15" s="29"/>
      <c r="F15" s="29"/>
      <c r="G15" s="29"/>
      <c r="H15" s="29"/>
    </row>
    <row r="16" spans="2:8" ht="26.25" customHeight="1">
      <c r="B16" s="303" t="s">
        <v>116</v>
      </c>
      <c r="C16" s="303"/>
      <c r="D16" s="303"/>
      <c r="E16" s="303"/>
      <c r="F16" s="303"/>
      <c r="G16" s="303"/>
      <c r="H16" s="303"/>
    </row>
  </sheetData>
  <mergeCells count="6">
    <mergeCell ref="B2:H2"/>
    <mergeCell ref="B16:H16"/>
    <mergeCell ref="C5:D5"/>
    <mergeCell ref="E5:F5"/>
    <mergeCell ref="G5:H5"/>
    <mergeCell ref="B5:B6"/>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4F3A-895A-4DB1-BC1E-87EF71483BA6}">
  <dimension ref="B2:R46"/>
  <sheetViews>
    <sheetView workbookViewId="0">
      <selection activeCell="N15" sqref="N15"/>
    </sheetView>
  </sheetViews>
  <sheetFormatPr baseColWidth="10" defaultColWidth="11.42578125" defaultRowHeight="12.75"/>
  <cols>
    <col min="1" max="1" width="3" style="4" customWidth="1"/>
    <col min="2" max="16384" width="11.42578125" style="4"/>
  </cols>
  <sheetData>
    <row r="2" spans="2:18">
      <c r="B2" s="19" t="s">
        <v>104</v>
      </c>
      <c r="C2" s="15"/>
      <c r="D2" s="15"/>
      <c r="E2" s="15"/>
      <c r="F2" s="15"/>
      <c r="G2" s="15"/>
      <c r="H2" s="15"/>
      <c r="I2" s="15"/>
      <c r="J2" s="15"/>
      <c r="K2" s="15"/>
      <c r="L2" s="15"/>
      <c r="M2" s="15"/>
      <c r="N2" s="15"/>
      <c r="O2" s="15"/>
      <c r="P2" s="15"/>
      <c r="Q2" s="15"/>
      <c r="R2" s="15"/>
    </row>
    <row r="3" spans="2:18">
      <c r="B3" s="19"/>
      <c r="C3" s="15"/>
      <c r="D3" s="15"/>
      <c r="E3" s="15"/>
      <c r="F3" s="15"/>
      <c r="G3" s="15"/>
      <c r="H3" s="15"/>
      <c r="I3" s="15"/>
      <c r="J3" s="15"/>
      <c r="K3" s="15"/>
      <c r="L3" s="15"/>
      <c r="M3" s="15"/>
      <c r="N3" s="15"/>
      <c r="O3" s="15"/>
      <c r="P3" s="15"/>
      <c r="Q3" s="15"/>
      <c r="R3" s="15"/>
    </row>
    <row r="4" spans="2:18">
      <c r="B4" s="15" t="s">
        <v>51</v>
      </c>
      <c r="C4" s="15"/>
      <c r="D4" s="15"/>
      <c r="E4" s="15"/>
      <c r="F4" s="15"/>
      <c r="G4" s="15"/>
      <c r="H4" s="15"/>
      <c r="I4" s="15"/>
      <c r="J4" s="15"/>
      <c r="K4" s="15"/>
      <c r="L4" s="15"/>
      <c r="M4" s="15"/>
      <c r="N4" s="15"/>
      <c r="O4" s="15"/>
      <c r="P4" s="15"/>
      <c r="Q4" s="15"/>
      <c r="R4" s="15"/>
    </row>
    <row r="5" spans="2:18">
      <c r="B5" s="15"/>
      <c r="C5" s="15"/>
      <c r="D5" s="15"/>
      <c r="E5" s="15"/>
      <c r="F5" s="15"/>
      <c r="G5" s="15"/>
      <c r="H5" s="15"/>
      <c r="I5" s="15"/>
      <c r="J5" s="15"/>
      <c r="K5" s="15"/>
      <c r="L5" s="15"/>
      <c r="M5" s="15"/>
      <c r="N5" s="15"/>
      <c r="O5" s="15"/>
      <c r="P5" s="15"/>
      <c r="Q5" s="15"/>
      <c r="R5" s="15"/>
    </row>
    <row r="6" spans="2:18">
      <c r="B6" s="22" t="s">
        <v>27</v>
      </c>
      <c r="C6" s="15"/>
      <c r="D6" s="15"/>
      <c r="E6" s="15"/>
      <c r="F6" s="15"/>
      <c r="G6" s="15"/>
      <c r="H6" s="15"/>
      <c r="I6" s="15"/>
      <c r="J6" s="15"/>
      <c r="K6" s="35" t="s">
        <v>11</v>
      </c>
      <c r="L6" s="42"/>
      <c r="M6" s="44"/>
      <c r="N6" s="44"/>
      <c r="O6" s="44"/>
      <c r="P6" s="44"/>
      <c r="Q6" s="97"/>
      <c r="R6" s="15"/>
    </row>
    <row r="7" spans="2:18">
      <c r="B7" s="9"/>
      <c r="C7" s="10">
        <v>2019</v>
      </c>
      <c r="D7" s="11">
        <v>2020</v>
      </c>
      <c r="E7" s="11">
        <v>2021</v>
      </c>
      <c r="F7" s="11">
        <v>2022</v>
      </c>
      <c r="G7" s="11">
        <v>2023</v>
      </c>
      <c r="H7" s="11">
        <v>2024</v>
      </c>
      <c r="I7" s="12">
        <f>'[1]Figure 11'!H5</f>
        <v>2025</v>
      </c>
      <c r="J7" s="15"/>
      <c r="K7" s="40"/>
      <c r="L7" s="10">
        <v>2019</v>
      </c>
      <c r="M7" s="11">
        <v>2020</v>
      </c>
      <c r="N7" s="11">
        <v>2021</v>
      </c>
      <c r="O7" s="11">
        <v>2022</v>
      </c>
      <c r="P7" s="11">
        <v>2023</v>
      </c>
      <c r="Q7" s="11">
        <v>2024</v>
      </c>
      <c r="R7" s="12">
        <f>'[1]Figure 11'!H12</f>
        <v>2025</v>
      </c>
    </row>
    <row r="8" spans="2:18" ht="25.5">
      <c r="B8" s="91" t="s">
        <v>53</v>
      </c>
      <c r="C8" s="98">
        <v>15.649652333884195</v>
      </c>
      <c r="D8" s="99">
        <v>16.420224183162414</v>
      </c>
      <c r="E8" s="99">
        <v>15.671781187458306</v>
      </c>
      <c r="F8" s="99">
        <v>16.33360776388993</v>
      </c>
      <c r="G8" s="99">
        <v>15.716486902927581</v>
      </c>
      <c r="H8" s="99">
        <v>17.242979809700625</v>
      </c>
      <c r="I8" s="100">
        <v>18.750546854492956</v>
      </c>
      <c r="J8" s="15"/>
      <c r="K8" s="91" t="s">
        <v>53</v>
      </c>
      <c r="L8" s="98">
        <v>9.7740575240732586</v>
      </c>
      <c r="M8" s="99">
        <v>9.879032258064516</v>
      </c>
      <c r="N8" s="99">
        <v>9.8489895625138804</v>
      </c>
      <c r="O8" s="99">
        <v>11.261097554644099</v>
      </c>
      <c r="P8" s="99">
        <v>10.352878747678428</v>
      </c>
      <c r="Q8" s="99">
        <v>11.308775082359988</v>
      </c>
      <c r="R8" s="100">
        <v>12.215674720094285</v>
      </c>
    </row>
    <row r="9" spans="2:18">
      <c r="B9" s="91" t="s">
        <v>19</v>
      </c>
      <c r="C9" s="101">
        <v>15.917807364909109</v>
      </c>
      <c r="D9" s="99">
        <v>16.813737181015977</v>
      </c>
      <c r="E9" s="102">
        <v>17.411607738492329</v>
      </c>
      <c r="F9" s="102">
        <v>17.790584537085547</v>
      </c>
      <c r="G9" s="102">
        <v>17.221366204417052</v>
      </c>
      <c r="H9" s="102">
        <v>17.614295660245997</v>
      </c>
      <c r="I9" s="103">
        <v>17.566424592411117</v>
      </c>
      <c r="J9" s="15"/>
      <c r="K9" s="91" t="s">
        <v>19</v>
      </c>
      <c r="L9" s="101">
        <v>16.155831078104349</v>
      </c>
      <c r="M9" s="99">
        <v>18.523949169110459</v>
      </c>
      <c r="N9" s="102">
        <v>21.091494559182767</v>
      </c>
      <c r="O9" s="102">
        <v>21.473443746430611</v>
      </c>
      <c r="P9" s="102">
        <v>21.533563279384452</v>
      </c>
      <c r="Q9" s="102">
        <v>21.521413596885296</v>
      </c>
      <c r="R9" s="103">
        <v>21.602828520919271</v>
      </c>
    </row>
    <row r="10" spans="2:18">
      <c r="B10" s="91" t="s">
        <v>18</v>
      </c>
      <c r="C10" s="101">
        <v>28.963861432446759</v>
      </c>
      <c r="D10" s="99">
        <v>26.991414261865014</v>
      </c>
      <c r="E10" s="102">
        <v>26.228152101400937</v>
      </c>
      <c r="F10" s="102">
        <v>25.926203128508345</v>
      </c>
      <c r="G10" s="102">
        <v>23.936825885978426</v>
      </c>
      <c r="H10" s="102">
        <v>23.964376885588305</v>
      </c>
      <c r="I10" s="103">
        <v>24.096596377635841</v>
      </c>
      <c r="J10" s="15"/>
      <c r="K10" s="91" t="s">
        <v>18</v>
      </c>
      <c r="L10" s="101">
        <v>27.35854994021021</v>
      </c>
      <c r="M10" s="99">
        <v>25.898093841642229</v>
      </c>
      <c r="N10" s="102">
        <v>23.861869864534754</v>
      </c>
      <c r="O10" s="102">
        <v>24.038211930844714</v>
      </c>
      <c r="P10" s="102">
        <v>23.767577606792255</v>
      </c>
      <c r="Q10" s="102">
        <v>23.504043126684635</v>
      </c>
      <c r="R10" s="103">
        <v>24.843842074248673</v>
      </c>
    </row>
    <row r="11" spans="2:18">
      <c r="B11" s="41" t="s">
        <v>17</v>
      </c>
      <c r="C11" s="104">
        <v>39.468678868759937</v>
      </c>
      <c r="D11" s="105">
        <v>39.774624373956598</v>
      </c>
      <c r="E11" s="106">
        <v>40.688458972648434</v>
      </c>
      <c r="F11" s="106">
        <v>39.949604570516179</v>
      </c>
      <c r="G11" s="106">
        <v>43.125321006676934</v>
      </c>
      <c r="H11" s="106">
        <v>41.178347644465077</v>
      </c>
      <c r="I11" s="107">
        <v>39.586432175460082</v>
      </c>
      <c r="J11" s="15"/>
      <c r="K11" s="41" t="s">
        <v>17</v>
      </c>
      <c r="L11" s="104">
        <v>46.711561457612184</v>
      </c>
      <c r="M11" s="105">
        <v>45.698924731182792</v>
      </c>
      <c r="N11" s="106">
        <v>45.197646013768598</v>
      </c>
      <c r="O11" s="106">
        <v>43.227246768080576</v>
      </c>
      <c r="P11" s="106">
        <v>44.345980366144865</v>
      </c>
      <c r="Q11" s="106">
        <v>43.665768194070083</v>
      </c>
      <c r="R11" s="107">
        <v>41.337654684737771</v>
      </c>
    </row>
    <row r="12" spans="2:18">
      <c r="B12" s="108"/>
      <c r="C12" s="42"/>
      <c r="D12" s="44"/>
      <c r="E12" s="44"/>
      <c r="F12" s="44"/>
      <c r="G12" s="44"/>
      <c r="H12" s="97"/>
      <c r="I12" s="97"/>
      <c r="J12" s="15"/>
      <c r="K12" s="15"/>
      <c r="L12" s="15"/>
      <c r="M12" s="15"/>
      <c r="N12" s="15"/>
      <c r="O12" s="15"/>
      <c r="P12" s="15"/>
      <c r="Q12" s="15"/>
      <c r="R12" s="15"/>
    </row>
    <row r="13" spans="2:18" ht="12.75" customHeight="1">
      <c r="B13" s="93" t="s">
        <v>34</v>
      </c>
      <c r="C13" s="29"/>
      <c r="D13" s="29"/>
      <c r="E13" s="110"/>
      <c r="F13" s="110"/>
      <c r="G13" s="29"/>
      <c r="H13" s="114"/>
      <c r="I13" s="109"/>
      <c r="J13" s="15"/>
      <c r="K13" s="15"/>
      <c r="L13" s="15"/>
      <c r="M13" s="15"/>
      <c r="N13" s="15"/>
      <c r="O13" s="15"/>
      <c r="P13" s="15"/>
      <c r="Q13" s="15"/>
      <c r="R13" s="15"/>
    </row>
    <row r="14" spans="2:18" ht="25.5" customHeight="1">
      <c r="B14" s="288" t="s">
        <v>161</v>
      </c>
      <c r="C14" s="288"/>
      <c r="D14" s="288"/>
      <c r="E14" s="288"/>
      <c r="F14" s="288"/>
      <c r="G14" s="288"/>
      <c r="H14" s="288"/>
      <c r="I14" s="95"/>
      <c r="J14" s="15"/>
      <c r="K14" s="15"/>
      <c r="L14" s="15"/>
      <c r="M14" s="15"/>
      <c r="N14" s="15"/>
      <c r="O14" s="15"/>
      <c r="P14" s="15"/>
      <c r="Q14" s="15"/>
      <c r="R14" s="15"/>
    </row>
    <row r="15" spans="2:18" ht="25.5" customHeight="1">
      <c r="B15" s="288" t="s">
        <v>102</v>
      </c>
      <c r="C15" s="288"/>
      <c r="D15" s="288"/>
      <c r="E15" s="288"/>
      <c r="F15" s="288"/>
      <c r="G15" s="288"/>
      <c r="H15" s="288"/>
      <c r="I15" s="94"/>
      <c r="J15" s="15"/>
      <c r="K15" s="15"/>
      <c r="L15" s="15"/>
      <c r="M15" s="15"/>
      <c r="N15" s="15"/>
      <c r="O15" s="15"/>
      <c r="P15" s="15"/>
      <c r="Q15" s="15"/>
      <c r="R15" s="15"/>
    </row>
    <row r="16" spans="2:18">
      <c r="P16" s="96"/>
    </row>
    <row r="45" ht="30" customHeight="1"/>
    <row r="46" ht="30" customHeight="1"/>
  </sheetData>
  <mergeCells count="2">
    <mergeCell ref="B14:H14"/>
    <mergeCell ref="B15:H15"/>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F323-0AA0-4D8B-B260-08D1B07826AB}">
  <dimension ref="B2:M29"/>
  <sheetViews>
    <sheetView zoomScaleNormal="100" workbookViewId="0">
      <selection activeCell="K6" sqref="K6:M8"/>
    </sheetView>
  </sheetViews>
  <sheetFormatPr baseColWidth="10" defaultColWidth="11.42578125" defaultRowHeight="12.75"/>
  <cols>
    <col min="1" max="1" width="4.42578125" style="4" customWidth="1"/>
    <col min="2" max="2" width="14.28515625" style="4" customWidth="1"/>
    <col min="3" max="16384" width="11.42578125" style="4"/>
  </cols>
  <sheetData>
    <row r="2" spans="2:13">
      <c r="B2" s="8" t="s">
        <v>88</v>
      </c>
    </row>
    <row r="3" spans="2:13">
      <c r="B3" s="8"/>
    </row>
    <row r="4" spans="2:13">
      <c r="B4" s="4" t="s">
        <v>49</v>
      </c>
    </row>
    <row r="5" spans="2:13">
      <c r="B5" s="46"/>
      <c r="C5" s="10">
        <v>2015</v>
      </c>
      <c r="D5" s="11">
        <v>2016</v>
      </c>
      <c r="E5" s="11">
        <v>2017</v>
      </c>
      <c r="F5" s="11">
        <v>2018</v>
      </c>
      <c r="G5" s="11">
        <v>2019</v>
      </c>
      <c r="H5" s="11">
        <v>2020</v>
      </c>
      <c r="I5" s="11">
        <v>2021</v>
      </c>
      <c r="J5" s="11">
        <v>2022</v>
      </c>
      <c r="K5" s="11">
        <f>'[1]Figure encadré 3 militaires'!J3</f>
        <v>2023</v>
      </c>
      <c r="L5" s="11">
        <f>'[1]Figure encadré 3 militaires'!K3</f>
        <v>2024</v>
      </c>
      <c r="M5" s="12">
        <f>'[1]Figure encadré 3 militaires'!L3</f>
        <v>2025</v>
      </c>
    </row>
    <row r="6" spans="2:13">
      <c r="B6" s="47" t="s">
        <v>27</v>
      </c>
      <c r="C6" s="115">
        <v>42.524715750232986</v>
      </c>
      <c r="D6" s="117">
        <v>42.800949094046594</v>
      </c>
      <c r="E6" s="117">
        <v>43.033909836065575</v>
      </c>
      <c r="F6" s="117">
        <v>42.587692907248638</v>
      </c>
      <c r="G6" s="117">
        <v>42.481276733635774</v>
      </c>
      <c r="H6" s="117">
        <v>42.056168100595634</v>
      </c>
      <c r="I6" s="117">
        <v>42.765727754861523</v>
      </c>
      <c r="J6" s="117">
        <v>43.104138469547109</v>
      </c>
      <c r="K6" s="117">
        <v>43.383245823389018</v>
      </c>
      <c r="L6" s="117">
        <v>43.297559782608694</v>
      </c>
      <c r="M6" s="116">
        <v>42.635431959345006</v>
      </c>
    </row>
    <row r="7" spans="2:13">
      <c r="B7" s="48" t="s">
        <v>11</v>
      </c>
      <c r="C7" s="118">
        <v>45.884619162253252</v>
      </c>
      <c r="D7" s="120">
        <v>46.322198525798527</v>
      </c>
      <c r="E7" s="120">
        <v>46.592911009084695</v>
      </c>
      <c r="F7" s="120">
        <v>46.132757465543641</v>
      </c>
      <c r="G7" s="120">
        <v>45.61483911111111</v>
      </c>
      <c r="H7" s="120">
        <v>46.01748227983299</v>
      </c>
      <c r="I7" s="120">
        <v>46.545729156897686</v>
      </c>
      <c r="J7" s="120">
        <v>46.771996028662699</v>
      </c>
      <c r="K7" s="120">
        <v>46.169530909407968</v>
      </c>
      <c r="L7" s="120">
        <v>46.195570368885328</v>
      </c>
      <c r="M7" s="119">
        <v>46.643162556053809</v>
      </c>
    </row>
    <row r="8" spans="2:13" ht="15" customHeight="1">
      <c r="B8" s="49" t="s">
        <v>75</v>
      </c>
      <c r="C8" s="121">
        <v>45.569976435678129</v>
      </c>
      <c r="D8" s="122">
        <v>45.9621201694018</v>
      </c>
      <c r="E8" s="122">
        <v>46.213930348258707</v>
      </c>
      <c r="F8" s="122">
        <v>45.745039638564492</v>
      </c>
      <c r="G8" s="122">
        <v>45.236891268662554</v>
      </c>
      <c r="H8" s="122">
        <v>45.510662150719732</v>
      </c>
      <c r="I8" s="122">
        <v>46.026743527508096</v>
      </c>
      <c r="J8" s="122">
        <v>46.250228080568718</v>
      </c>
      <c r="K8" s="122">
        <v>45.739180920082575</v>
      </c>
      <c r="L8" s="122">
        <v>45.744289099526071</v>
      </c>
      <c r="M8" s="123">
        <v>45.979268543634831</v>
      </c>
    </row>
    <row r="9" spans="2:13">
      <c r="B9" s="92"/>
      <c r="C9" s="45"/>
      <c r="D9" s="45"/>
      <c r="E9" s="45"/>
      <c r="F9" s="45"/>
      <c r="G9" s="45"/>
      <c r="H9" s="45"/>
      <c r="I9" s="45"/>
      <c r="J9" s="45"/>
      <c r="K9" s="45"/>
      <c r="L9" s="45"/>
    </row>
    <row r="10" spans="2:13">
      <c r="B10" s="16" t="s">
        <v>117</v>
      </c>
      <c r="D10" s="44"/>
      <c r="E10" s="44"/>
      <c r="F10" s="44"/>
      <c r="G10" s="44"/>
      <c r="H10" s="44"/>
      <c r="I10" s="44"/>
      <c r="J10" s="45"/>
      <c r="K10" s="45"/>
      <c r="L10" s="45"/>
    </row>
    <row r="11" spans="2:13">
      <c r="B11" s="17" t="s">
        <v>30</v>
      </c>
      <c r="D11" s="44"/>
      <c r="E11" s="44"/>
      <c r="F11" s="44"/>
      <c r="G11" s="44"/>
      <c r="H11" s="44"/>
      <c r="I11" s="44"/>
      <c r="J11" s="45"/>
      <c r="K11" s="45"/>
      <c r="L11" s="45"/>
    </row>
    <row r="12" spans="2:13">
      <c r="B12" s="17" t="s">
        <v>105</v>
      </c>
      <c r="C12" s="15"/>
      <c r="D12" s="15"/>
      <c r="E12" s="15"/>
      <c r="F12" s="15"/>
      <c r="G12" s="15"/>
      <c r="H12" s="15"/>
      <c r="I12" s="15"/>
    </row>
    <row r="13" spans="2:13">
      <c r="C13" s="15"/>
      <c r="D13" s="15"/>
      <c r="E13" s="15"/>
      <c r="F13" s="15"/>
      <c r="G13" s="15"/>
      <c r="H13" s="15"/>
      <c r="I13" s="15"/>
    </row>
    <row r="14" spans="2:13">
      <c r="B14" s="19"/>
      <c r="C14" s="15"/>
      <c r="D14" s="15"/>
      <c r="E14" s="15"/>
      <c r="F14" s="15"/>
      <c r="G14" s="15"/>
      <c r="H14" s="15"/>
      <c r="I14" s="15"/>
    </row>
    <row r="15" spans="2:13">
      <c r="B15" s="15"/>
      <c r="C15" s="15"/>
      <c r="D15" s="15"/>
      <c r="E15" s="15"/>
      <c r="F15" s="15"/>
      <c r="G15" s="15"/>
      <c r="H15" s="15"/>
      <c r="I15" s="15"/>
    </row>
    <row r="16" spans="2:13">
      <c r="C16" s="15"/>
      <c r="D16" s="15"/>
      <c r="E16" s="15"/>
      <c r="F16" s="15"/>
      <c r="G16" s="15"/>
      <c r="H16" s="15"/>
      <c r="I16" s="15"/>
    </row>
    <row r="17" spans="3:9">
      <c r="C17" s="15"/>
      <c r="D17" s="15"/>
      <c r="E17" s="15"/>
      <c r="F17" s="15"/>
      <c r="G17" s="15"/>
      <c r="H17" s="15"/>
      <c r="I17" s="15"/>
    </row>
    <row r="18" spans="3:9">
      <c r="C18" s="15"/>
      <c r="D18" s="15"/>
      <c r="E18" s="15"/>
      <c r="F18" s="15"/>
      <c r="G18" s="15"/>
      <c r="H18" s="15"/>
      <c r="I18" s="15"/>
    </row>
    <row r="19" spans="3:9">
      <c r="C19" s="15"/>
      <c r="D19" s="15"/>
      <c r="E19" s="15"/>
      <c r="F19" s="15"/>
      <c r="G19" s="15"/>
      <c r="H19" s="15"/>
      <c r="I19" s="15"/>
    </row>
    <row r="20" spans="3:9">
      <c r="C20" s="15"/>
      <c r="D20" s="15"/>
      <c r="E20" s="15"/>
      <c r="F20" s="15"/>
      <c r="G20" s="15"/>
      <c r="H20" s="15"/>
      <c r="I20" s="15"/>
    </row>
    <row r="21" spans="3:9">
      <c r="C21" s="15"/>
      <c r="D21" s="15"/>
      <c r="E21" s="15"/>
      <c r="F21" s="15"/>
      <c r="G21" s="15"/>
      <c r="H21" s="15"/>
      <c r="I21" s="15"/>
    </row>
    <row r="22" spans="3:9">
      <c r="C22" s="15"/>
      <c r="D22" s="15"/>
      <c r="E22" s="15"/>
      <c r="F22" s="15"/>
      <c r="G22" s="15"/>
      <c r="H22" s="15"/>
      <c r="I22" s="15"/>
    </row>
    <row r="23" spans="3:9">
      <c r="C23" s="15"/>
      <c r="D23" s="15"/>
      <c r="E23" s="15"/>
      <c r="F23" s="15"/>
      <c r="G23" s="15"/>
      <c r="H23" s="15"/>
      <c r="I23" s="15"/>
    </row>
    <row r="24" spans="3:9">
      <c r="C24" s="15"/>
      <c r="D24" s="15"/>
      <c r="E24" s="15"/>
      <c r="F24" s="15"/>
      <c r="G24" s="15"/>
      <c r="H24" s="15"/>
      <c r="I24" s="15"/>
    </row>
    <row r="25" spans="3:9">
      <c r="C25" s="15"/>
      <c r="D25" s="15"/>
      <c r="E25" s="15"/>
      <c r="F25" s="15"/>
      <c r="G25" s="15"/>
      <c r="H25" s="239"/>
      <c r="I25" s="15"/>
    </row>
    <row r="26" spans="3:9">
      <c r="C26" s="15"/>
      <c r="D26" s="15"/>
      <c r="E26" s="15"/>
      <c r="F26" s="15"/>
      <c r="G26" s="15"/>
      <c r="H26" s="15"/>
      <c r="I26" s="15"/>
    </row>
    <row r="27" spans="3:9">
      <c r="D27" s="17"/>
      <c r="E27" s="17"/>
      <c r="F27" s="17"/>
      <c r="G27" s="17"/>
      <c r="H27" s="17"/>
      <c r="I27" s="17"/>
    </row>
    <row r="28" spans="3:9">
      <c r="D28" s="17"/>
      <c r="E28" s="17"/>
      <c r="F28" s="17"/>
      <c r="G28" s="17"/>
      <c r="H28" s="17"/>
      <c r="I28" s="17"/>
    </row>
    <row r="29" spans="3:9">
      <c r="D29" s="17"/>
      <c r="E29" s="17"/>
      <c r="F29" s="17"/>
      <c r="G29" s="17"/>
      <c r="H29" s="17"/>
      <c r="I29" s="17"/>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C45A-724E-408F-9926-90BA6BC00685}">
  <dimension ref="B2:F14"/>
  <sheetViews>
    <sheetView zoomScaleNormal="100" workbookViewId="0">
      <selection activeCell="C6" sqref="C6"/>
    </sheetView>
  </sheetViews>
  <sheetFormatPr baseColWidth="10" defaultColWidth="11.42578125" defaultRowHeight="12.75"/>
  <cols>
    <col min="1" max="1" width="3.140625" style="1" customWidth="1"/>
    <col min="2" max="5" width="15.7109375" style="1" customWidth="1"/>
    <col min="6" max="16384" width="11.42578125" style="1"/>
  </cols>
  <sheetData>
    <row r="2" spans="2:6">
      <c r="B2" s="22" t="s">
        <v>155</v>
      </c>
      <c r="C2" s="17"/>
      <c r="D2" s="17"/>
      <c r="E2" s="17"/>
      <c r="F2" s="17"/>
    </row>
    <row r="3" spans="2:6">
      <c r="B3" s="22"/>
      <c r="C3" s="17"/>
      <c r="D3" s="17"/>
      <c r="E3" s="17"/>
      <c r="F3" s="17"/>
    </row>
    <row r="4" spans="2:6" ht="5.0999999999999996" customHeight="1">
      <c r="B4" s="17"/>
      <c r="C4" s="17"/>
      <c r="D4" s="17"/>
      <c r="E4" s="17"/>
      <c r="F4" s="17"/>
    </row>
    <row r="5" spans="2:6" ht="45" customHeight="1">
      <c r="B5" s="227"/>
      <c r="C5" s="39" t="s">
        <v>144</v>
      </c>
      <c r="D5" s="39" t="s">
        <v>145</v>
      </c>
      <c r="E5" s="158" t="s">
        <v>146</v>
      </c>
      <c r="F5" s="260" t="s">
        <v>89</v>
      </c>
    </row>
    <row r="6" spans="2:6">
      <c r="B6" s="240" t="s">
        <v>23</v>
      </c>
      <c r="C6" s="148">
        <v>7.851</v>
      </c>
      <c r="D6" s="148">
        <v>64.987373053790733</v>
      </c>
      <c r="E6" s="241">
        <v>63.762578015539418</v>
      </c>
      <c r="F6" s="148">
        <v>7.0201744820065359</v>
      </c>
    </row>
    <row r="7" spans="2:6">
      <c r="B7" s="240" t="s">
        <v>0</v>
      </c>
      <c r="C7" s="148">
        <v>9.1940000000000008</v>
      </c>
      <c r="D7" s="148">
        <v>64.47176617432109</v>
      </c>
      <c r="E7" s="241">
        <v>68.501196432455941</v>
      </c>
      <c r="F7" s="148">
        <v>6.3258933734243072</v>
      </c>
    </row>
    <row r="8" spans="2:6">
      <c r="B8" s="240" t="s">
        <v>1</v>
      </c>
      <c r="C8" s="148">
        <v>2.1419999999999999</v>
      </c>
      <c r="D8" s="148">
        <v>64.159759089581698</v>
      </c>
      <c r="E8" s="241">
        <v>72.549019607843135</v>
      </c>
      <c r="F8" s="148">
        <v>3.7288135593220417</v>
      </c>
    </row>
    <row r="9" spans="2:6">
      <c r="B9" s="242" t="s">
        <v>79</v>
      </c>
      <c r="C9" s="151">
        <v>19.187000000000001</v>
      </c>
      <c r="D9" s="151">
        <v>64.647912024907484</v>
      </c>
      <c r="E9" s="243">
        <v>67.014124146557563</v>
      </c>
      <c r="F9" s="151">
        <v>6.3109485815602939</v>
      </c>
    </row>
    <row r="10" spans="2:6" ht="5.0999999999999996" customHeight="1">
      <c r="B10" s="17"/>
      <c r="C10" s="17"/>
      <c r="D10" s="17"/>
      <c r="E10" s="17"/>
      <c r="F10" s="17"/>
    </row>
    <row r="11" spans="2:6" ht="5.0999999999999996" customHeight="1">
      <c r="B11" s="17"/>
      <c r="C11" s="17"/>
      <c r="D11" s="17"/>
      <c r="E11" s="17"/>
      <c r="F11" s="17"/>
    </row>
    <row r="12" spans="2:6" ht="12.75" customHeight="1">
      <c r="B12" s="93" t="s">
        <v>80</v>
      </c>
      <c r="C12" s="29"/>
      <c r="D12" s="29"/>
      <c r="E12" s="29"/>
      <c r="F12" s="17"/>
    </row>
    <row r="13" spans="2:6" ht="25.5" customHeight="1">
      <c r="B13" s="288" t="s">
        <v>147</v>
      </c>
      <c r="C13" s="288"/>
      <c r="D13" s="288"/>
      <c r="E13" s="288"/>
      <c r="F13" s="17"/>
    </row>
    <row r="14" spans="2:6" ht="51" customHeight="1">
      <c r="B14" s="288" t="s">
        <v>148</v>
      </c>
      <c r="C14" s="288"/>
      <c r="D14" s="288"/>
      <c r="E14" s="288"/>
      <c r="F14" s="17"/>
    </row>
  </sheetData>
  <mergeCells count="2">
    <mergeCell ref="B13:E13"/>
    <mergeCell ref="B14:E1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A8C5-8D5A-408F-8A26-7AD605C04758}">
  <dimension ref="B2:F12"/>
  <sheetViews>
    <sheetView workbookViewId="0">
      <selection activeCell="J9" sqref="J9"/>
    </sheetView>
  </sheetViews>
  <sheetFormatPr baseColWidth="10" defaultColWidth="11.42578125" defaultRowHeight="15"/>
  <cols>
    <col min="1" max="1" width="4.85546875" style="172" customWidth="1"/>
    <col min="2" max="2" width="19.42578125" style="172" customWidth="1"/>
    <col min="3" max="16384" width="11.42578125" style="172"/>
  </cols>
  <sheetData>
    <row r="2" spans="2:6">
      <c r="B2" s="244" t="s">
        <v>156</v>
      </c>
      <c r="C2" s="245"/>
      <c r="D2" s="245"/>
      <c r="E2" s="245"/>
      <c r="F2" s="245"/>
    </row>
    <row r="3" spans="2:6">
      <c r="B3" s="244"/>
      <c r="C3" s="245"/>
      <c r="D3" s="245"/>
      <c r="E3" s="245"/>
      <c r="F3" s="245"/>
    </row>
    <row r="4" spans="2:6" ht="63.75">
      <c r="B4" s="227"/>
      <c r="C4" s="311" t="s">
        <v>108</v>
      </c>
      <c r="D4" s="312" t="s">
        <v>109</v>
      </c>
      <c r="E4" s="311" t="s">
        <v>149</v>
      </c>
      <c r="F4" s="311" t="s">
        <v>114</v>
      </c>
    </row>
    <row r="5" spans="2:6">
      <c r="B5" s="313" t="s">
        <v>106</v>
      </c>
      <c r="C5" s="314">
        <v>5.2759999999999998</v>
      </c>
      <c r="D5" s="315">
        <v>6.5970000000000004</v>
      </c>
      <c r="E5" s="316">
        <v>25.037907505686128</v>
      </c>
      <c r="F5" s="316">
        <v>65.71168713051388</v>
      </c>
    </row>
    <row r="6" spans="2:6">
      <c r="B6" s="313" t="s">
        <v>0</v>
      </c>
      <c r="C6" s="314">
        <v>2.8250000000000002</v>
      </c>
      <c r="D6" s="315">
        <v>5.4530000000000003</v>
      </c>
      <c r="E6" s="316">
        <v>93.026548672566364</v>
      </c>
      <c r="F6" s="316">
        <v>76.031542270309927</v>
      </c>
    </row>
    <row r="7" spans="2:6">
      <c r="B7" s="313" t="s">
        <v>1</v>
      </c>
      <c r="C7" s="314">
        <v>1.139</v>
      </c>
      <c r="D7" s="315">
        <v>2.532</v>
      </c>
      <c r="E7" s="316">
        <v>122.30026338893767</v>
      </c>
      <c r="F7" s="316">
        <v>83.096366508688774</v>
      </c>
    </row>
    <row r="8" spans="2:6">
      <c r="B8" s="242" t="s">
        <v>79</v>
      </c>
      <c r="C8" s="317">
        <v>9.24</v>
      </c>
      <c r="D8" s="318">
        <v>14.582000000000001</v>
      </c>
      <c r="E8" s="319">
        <v>57.813852813852826</v>
      </c>
      <c r="F8" s="319">
        <v>72.589493896584827</v>
      </c>
    </row>
    <row r="10" spans="2:6">
      <c r="B10" s="246" t="s">
        <v>34</v>
      </c>
      <c r="C10" s="247"/>
      <c r="D10" s="247"/>
      <c r="E10" s="247"/>
      <c r="F10" s="247"/>
    </row>
    <row r="11" spans="2:6">
      <c r="B11" s="113" t="s">
        <v>164</v>
      </c>
      <c r="C11" s="113"/>
      <c r="D11" s="113"/>
      <c r="E11" s="113"/>
      <c r="F11" s="113"/>
    </row>
    <row r="12" spans="2:6" ht="30" customHeight="1">
      <c r="B12" s="289" t="s">
        <v>150</v>
      </c>
      <c r="C12" s="289"/>
      <c r="D12" s="289"/>
      <c r="E12" s="289"/>
      <c r="F12" s="289"/>
    </row>
  </sheetData>
  <mergeCells count="1">
    <mergeCell ref="B12:F12"/>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FAAC-0F83-447A-A924-F3C919086EE6}">
  <dimension ref="B2:G13"/>
  <sheetViews>
    <sheetView workbookViewId="0">
      <selection activeCell="I11" sqref="I11"/>
    </sheetView>
  </sheetViews>
  <sheetFormatPr baseColWidth="10" defaultColWidth="11.42578125" defaultRowHeight="15"/>
  <cols>
    <col min="1" max="1" width="3.7109375" style="171" customWidth="1"/>
    <col min="2" max="2" width="14.140625" style="171" customWidth="1"/>
    <col min="3" max="16384" width="11.42578125" style="171"/>
  </cols>
  <sheetData>
    <row r="2" spans="2:7" ht="27" customHeight="1">
      <c r="B2" s="309" t="s">
        <v>157</v>
      </c>
      <c r="C2" s="309"/>
      <c r="D2" s="309"/>
      <c r="E2" s="309"/>
      <c r="F2" s="309"/>
      <c r="G2" s="309"/>
    </row>
    <row r="3" spans="2:7">
      <c r="B3" s="17"/>
      <c r="C3" s="17"/>
      <c r="D3" s="17"/>
      <c r="E3" s="17"/>
      <c r="F3" s="17"/>
    </row>
    <row r="4" spans="2:7">
      <c r="B4" s="17"/>
      <c r="C4" s="307" t="s">
        <v>151</v>
      </c>
      <c r="D4" s="308"/>
      <c r="E4" s="307" t="s">
        <v>107</v>
      </c>
      <c r="F4" s="308"/>
    </row>
    <row r="5" spans="2:7">
      <c r="B5" s="17"/>
      <c r="C5" s="248" t="s">
        <v>10</v>
      </c>
      <c r="D5" s="249" t="s">
        <v>11</v>
      </c>
      <c r="E5" s="250" t="s">
        <v>10</v>
      </c>
      <c r="F5" s="251" t="s">
        <v>11</v>
      </c>
    </row>
    <row r="6" spans="2:7">
      <c r="B6" s="252" t="s">
        <v>106</v>
      </c>
      <c r="C6" s="253">
        <v>61.823100346020766</v>
      </c>
      <c r="D6" s="138">
        <v>62.077931034482759</v>
      </c>
      <c r="E6" s="231">
        <v>31.844521337946944</v>
      </c>
      <c r="F6" s="138">
        <v>33.732095490716183</v>
      </c>
    </row>
    <row r="7" spans="2:7">
      <c r="B7" s="254" t="s">
        <v>0</v>
      </c>
      <c r="C7" s="255">
        <v>61.746767288470814</v>
      </c>
      <c r="D7" s="141">
        <v>61.892789152257073</v>
      </c>
      <c r="E7" s="233">
        <v>28.273096960926193</v>
      </c>
      <c r="F7" s="141">
        <v>31.188959449120123</v>
      </c>
    </row>
    <row r="8" spans="2:7">
      <c r="B8" s="254" t="s">
        <v>1</v>
      </c>
      <c r="C8" s="255">
        <v>61.630836473859318</v>
      </c>
      <c r="D8" s="141">
        <v>61.781055091121495</v>
      </c>
      <c r="E8" s="233">
        <v>27.997728136882131</v>
      </c>
      <c r="F8" s="141">
        <v>29.53285046728972</v>
      </c>
    </row>
    <row r="9" spans="2:7">
      <c r="B9" s="256" t="s">
        <v>79</v>
      </c>
      <c r="C9" s="257">
        <v>61.754985084459136</v>
      </c>
      <c r="D9" s="258">
        <v>61.985600950963217</v>
      </c>
      <c r="E9" s="259">
        <v>29.68100897496457</v>
      </c>
      <c r="F9" s="258">
        <v>32.450845634225672</v>
      </c>
    </row>
    <row r="10" spans="2:7">
      <c r="B10" s="17"/>
      <c r="C10" s="17"/>
      <c r="D10" s="17"/>
      <c r="E10" s="17"/>
      <c r="F10" s="17"/>
    </row>
    <row r="11" spans="2:7">
      <c r="B11" s="93" t="s">
        <v>34</v>
      </c>
      <c r="C11" s="29"/>
      <c r="D11" s="29"/>
      <c r="E11" s="29"/>
      <c r="F11" s="29"/>
    </row>
    <row r="12" spans="2:7">
      <c r="B12" s="29" t="s">
        <v>164</v>
      </c>
      <c r="C12" s="29"/>
      <c r="D12" s="29"/>
      <c r="E12" s="29"/>
      <c r="F12" s="29"/>
    </row>
    <row r="13" spans="2:7" ht="60" customHeight="1">
      <c r="B13" s="288" t="s">
        <v>152</v>
      </c>
      <c r="C13" s="288"/>
      <c r="D13" s="288"/>
      <c r="E13" s="288"/>
      <c r="F13" s="288"/>
    </row>
  </sheetData>
  <mergeCells count="4">
    <mergeCell ref="C4:D4"/>
    <mergeCell ref="E4:F4"/>
    <mergeCell ref="B13:F13"/>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Sommaire</vt:lpstr>
      <vt:lpstr>Figure 1</vt:lpstr>
      <vt:lpstr>Figure 2</vt:lpstr>
      <vt:lpstr>Figure 3</vt:lpstr>
      <vt:lpstr>Figure 4</vt:lpstr>
      <vt:lpstr>Figure 5</vt:lpstr>
      <vt:lpstr>Figure 6</vt:lpstr>
      <vt:lpstr>Figure 7</vt:lpstr>
      <vt:lpstr>Figure 8</vt:lpstr>
      <vt:lpstr>Figure 9</vt:lpstr>
      <vt:lpstr>Figure 10</vt:lpstr>
      <vt:lpstr>Figure 11</vt:lpstr>
      <vt:lpstr>Figure encadré 3 militaires</vt:lpstr>
      <vt:lpstr>Figure encadré 4 contractuels</vt:lpstr>
      <vt:lpstr>Fig. A encadré 6 retraite progr</vt:lpstr>
      <vt:lpstr>Fig. B encadré 6 retraite progr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MASSIS Deborah</dc:creator>
  <cp:lastModifiedBy>MASSIS Deborah</cp:lastModifiedBy>
  <dcterms:created xsi:type="dcterms:W3CDTF">2023-06-14T10:20:33Z</dcterms:created>
  <dcterms:modified xsi:type="dcterms:W3CDTF">2026-10-26T12:57:59Z</dcterms:modified>
</cp:coreProperties>
</file>