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Z:\Travaux B3 par thèmes\8.1 Temps de travail, organisation du TT\06 - Rapport annuel\2026\DC_RA\"/>
    </mc:Choice>
  </mc:AlternateContent>
  <xr:revisionPtr revIDLastSave="0" documentId="13_ncr:1_{4B6DDCB5-3AB6-4FF4-967C-33458B7F124E}" xr6:coauthVersionLast="47" xr6:coauthVersionMax="47" xr10:uidLastSave="{00000000-0000-0000-0000-000000000000}"/>
  <bookViews>
    <workbookView xWindow="-108" yWindow="-108" windowWidth="20376" windowHeight="12096" xr2:uid="{00000000-000D-0000-FFFF-FFFF00000000}"/>
  </bookViews>
  <sheets>
    <sheet name="Sommaire" sheetId="5" r:id="rId1"/>
    <sheet name="Figure 1" sheetId="22" r:id="rId2"/>
    <sheet name="Figure 2" sheetId="16" r:id="rId3"/>
    <sheet name="Figure 3" sheetId="17" r:id="rId4"/>
    <sheet name="Figure 4" sheetId="18" r:id="rId5"/>
    <sheet name="Figure 5" sheetId="19" r:id="rId6"/>
    <sheet name="Figure 6" sheetId="23" r:id="rId7"/>
    <sheet name="Figure 7" sheetId="24" r:id="rId8"/>
    <sheet name="Figure 8" sheetId="2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5" i="5" l="1"/>
  <c r="A14" i="5"/>
  <c r="A13" i="5"/>
  <c r="A11" i="5"/>
  <c r="A10" i="5"/>
  <c r="A9" i="5"/>
  <c r="A7" i="5"/>
  <c r="A5" i="5"/>
</calcChain>
</file>

<file path=xl/sharedStrings.xml><?xml version="1.0" encoding="utf-8"?>
<sst xmlns="http://schemas.openxmlformats.org/spreadsheetml/2006/main" count="175" uniqueCount="111">
  <si>
    <t>Temps partiel</t>
  </si>
  <si>
    <t>FPE</t>
  </si>
  <si>
    <t>FPT</t>
  </si>
  <si>
    <t>FPH</t>
  </si>
  <si>
    <t>Sexe</t>
  </si>
  <si>
    <t>Femmes</t>
  </si>
  <si>
    <t>Hommes</t>
  </si>
  <si>
    <t>(en %)</t>
  </si>
  <si>
    <t>Part des femmes (en %)</t>
  </si>
  <si>
    <t>Répartition des agents ayant eu au moins un arrêt maladie selon la durée cumulée d'absence dans l'année</t>
  </si>
  <si>
    <t>1-7 jours</t>
  </si>
  <si>
    <t>8-15 jours</t>
  </si>
  <si>
    <t>16-29 jours</t>
  </si>
  <si>
    <t>30 jours et plus</t>
  </si>
  <si>
    <t>Statut</t>
  </si>
  <si>
    <t>Fonctionnaires (y c. stagiaires)</t>
  </si>
  <si>
    <t>Contractuels et autres statuts</t>
  </si>
  <si>
    <t>Quotité de travail</t>
  </si>
  <si>
    <t>Temps plein</t>
  </si>
  <si>
    <t>Versant</t>
  </si>
  <si>
    <t>Enseignants</t>
  </si>
  <si>
    <t>Hors enseignants</t>
  </si>
  <si>
    <t>Ensemble de la fonction publique</t>
  </si>
  <si>
    <t>Maladie professionnelle</t>
  </si>
  <si>
    <t>Accident du travail et du trajet</t>
  </si>
  <si>
    <t>Longue maladie</t>
  </si>
  <si>
    <t>Maladie ordinaire</t>
  </si>
  <si>
    <t xml:space="preserve"> Personnel médical</t>
  </si>
  <si>
    <t xml:space="preserve"> Personnel non médical</t>
  </si>
  <si>
    <t>Accident du travail</t>
  </si>
  <si>
    <t>Accident du trajet</t>
  </si>
  <si>
    <t>Maladie à caractère professionnel ou contractée dans l'exercice des fonctions</t>
  </si>
  <si>
    <t>Congés payés et RTT</t>
  </si>
  <si>
    <t>Absences et arrêts maladie dans la fonction publique</t>
  </si>
  <si>
    <t>Congés parentaux</t>
  </si>
  <si>
    <t>Numéro de la feuille</t>
  </si>
  <si>
    <t>FPE (hors enseignants)</t>
  </si>
  <si>
    <t xml:space="preserve">Contient des données sur l'égalité professionnelle entre les femmes et les hommes </t>
  </si>
  <si>
    <t>oui</t>
  </si>
  <si>
    <t>Figure 1 : Nombre de jours de congés payés et jours de RTT pris par type d'employeur</t>
  </si>
  <si>
    <t>Fonction publique 
(hors enseignants)</t>
  </si>
  <si>
    <t>Source : DGCL / CNFPT - Synthèse nationale des rapports sociaux uniques des collectivités territoriales.</t>
  </si>
  <si>
    <t>Effectif en congé parental (article 75)
Fonctionnaires et contractuels</t>
  </si>
  <si>
    <t>Champ : France, agents de la fonction publique et salariés du privé.</t>
  </si>
  <si>
    <t>Salariés du privé</t>
  </si>
  <si>
    <t xml:space="preserve">Figure 2 : Nombre d'agents en congé parental au 31 décembre dans la fonction publique territoriale </t>
  </si>
  <si>
    <t>Figure 4 : Nombre moyen de jours d'arrêt maladie par agent dans la fonction publique territoriale, selon le motif</t>
  </si>
  <si>
    <t>Champ : Agents de la fonction publique, hors enseignants, et salariés du privé à temps complet, en emploi depuis au moins un an, âgés de 15 ans ou plus ; France (hors Mayotte), Hors apprentis, contrats de professionnalisation, stagiaires et contrats aidés.</t>
  </si>
  <si>
    <t>Lecture : Au 31 décembre 2023, 3 200 agents de la fonction publique territoriale étaient en congé parental.</t>
  </si>
  <si>
    <t>Champ : Fonctionnaires et contractuels sur emplois permanents, hors ville de Paris et statuts de militaires, au 31 décembre de l'année concernée.</t>
  </si>
  <si>
    <t>Lecture : En 2023, les agents de la fonction publique territoriale ont été arrêtés en moyenne 12,9 jours pour maladie ordinaire.</t>
  </si>
  <si>
    <t>Total absence pour raison de santé (y compris autres)</t>
  </si>
  <si>
    <t>Source : ATIH, RSU 2023 .</t>
  </si>
  <si>
    <t>en %</t>
  </si>
  <si>
    <t> État de santé : très bon</t>
  </si>
  <si>
    <t> État de santé : bon</t>
  </si>
  <si>
    <t xml:space="preserve"> État de santé : assez bon</t>
  </si>
  <si>
    <t> État de santé : mauvais, très mauvais</t>
  </si>
  <si>
    <t>Ensemble fonction publique</t>
  </si>
  <si>
    <t>Salariés du Privé</t>
  </si>
  <si>
    <t>Champ : Agents de la fonction publique et salariés du privé, vivant en logement ordinaire, en emploi au sens du BIT durant la semaine de référence, âgés de 15 ans ou plus. Hors apprentis, contrats de professionnalisation, stagiaires et contrats aidés. France (hors Mayotte).</t>
  </si>
  <si>
    <t>Maladie chronique ou problème de santé durable</t>
  </si>
  <si>
    <t>Pas de maladie chronique ou de problème de santé durable</t>
  </si>
  <si>
    <t>Limité : oui, fortement</t>
  </si>
  <si>
    <t>Limité : oui, pas fortement</t>
  </si>
  <si>
    <t>Limité : non</t>
  </si>
  <si>
    <t>Salarié du privé</t>
  </si>
  <si>
    <t>Source : Enquêtes Emploi de 2014 à 2025, Insee. Traitement DGAFP-SDessi.</t>
  </si>
  <si>
    <t>Lecture : En 2025, 41 % des agents de la FPE déclare être en "très bon" état de santé.</t>
  </si>
  <si>
    <t>Lecture : En 2025, 27 % des agents de la FPE déclare être affecté par une maladie chronique ou un problème de santé durable</t>
  </si>
  <si>
    <t>Lecture : En 2025, 4 % des agents de la FPE déclare être fortement limités dans les activités de la vie quotidienne pour raison de santé</t>
  </si>
  <si>
    <t>Santé des agents de la fonction publique</t>
  </si>
  <si>
    <t>Congés, santé et arrêts maladie dans la fonction publique</t>
  </si>
  <si>
    <t>Figure 3 : Part des agents publics ayant eu au moins un arrêt maladie dans l’année et durée cumulée d'absence en 2024, selon le sexe, l'âge et l'emploi occupé</t>
  </si>
  <si>
    <t>Moins de 30 ans</t>
  </si>
  <si>
    <t>De 30 à 49 ans</t>
  </si>
  <si>
    <t>50 ans et plus</t>
  </si>
  <si>
    <t>Cadres administratifs et techniques de la fonction publique</t>
  </si>
  <si>
    <t>Professions de l’enseignement secondaire, du supérieur et de la recherche</t>
  </si>
  <si>
    <t>Professions intermédiaires de la santé et du travail social</t>
  </si>
  <si>
    <t>Professions intermédiaires de la fonction publique (administration, sécurité)</t>
  </si>
  <si>
    <t>Employés administratifs de la fonction publique</t>
  </si>
  <si>
    <t>Agents de service </t>
  </si>
  <si>
    <t>Aides-soignants, employés d’accueil de la petite enfance et professions assimilées</t>
  </si>
  <si>
    <t>Policiers, militaires, pompiers</t>
  </si>
  <si>
    <t>Ouvriers</t>
  </si>
  <si>
    <t>Lecture : En 2024, 39 % des agents de la fonction publique ont eu au moins un arrêt maladie. Parmi eux, 45 % se sont arrêtés moins de 8 jours dans l'année et 28 % se sont arrêtés 30 jours ou plus.</t>
  </si>
  <si>
    <t>Professions de l’enseignement primaire et professionnel, de la formation continue et du sport</t>
  </si>
  <si>
    <t>Ensemble des absences pour raison médicale</t>
  </si>
  <si>
    <t>Figure 7 : Part des agents de la fonction publique qui indiquent souffrir de maladie chronique ou durable, par versant, de 2014 à 2025</t>
  </si>
  <si>
    <t>Figure 8 : Part des agents de la fonction publique qui indiquent  être limités dans les activités de la vie quotidienne pour raison de santé, par versant, de 2014 à 2025</t>
  </si>
  <si>
    <t>Congé de longue durée</t>
  </si>
  <si>
    <t>Répartition des jours d'absence</t>
  </si>
  <si>
    <t>Nombre moyen de jours d'absence dans l'année</t>
  </si>
  <si>
    <t>nc</t>
  </si>
  <si>
    <t>Lecture : En 2025, les agents de la fonction publique (hors enseignants) ont pris en moyenne 34 jours ouvrés de congé (RTT et jours de CET compris).</t>
  </si>
  <si>
    <t>Famille de métiers</t>
  </si>
  <si>
    <t>Longue maladie (y compris congé de longue durée)</t>
  </si>
  <si>
    <t xml:space="preserve">Figure 5 : Absences pour raison médicale dans la fonction publique hospitalière, selon le motif </t>
  </si>
  <si>
    <t>Champ : Etablissements publics de santé, sociaux ou médico-sociaux de plus de 300 agents, répondants en 2023 (242 établissements, soit un taux de réponse de 57 %)</t>
  </si>
  <si>
    <t xml:space="preserve">Note : En 2023, le Rapport social unique (RSU) remplace le Bilan social (BS). À cette occasion, le champ de la collecte a été élargi aux établissements et services sociaux et médico-sociaux ainsi qu'aux établissements de moins de 300 agents de la FPH. Pour les durées d'absence, dont la saisie est facultative, la diffusion reste toutefois restreinte aux établissements de plus de 300 agents. L'ensemble des données n'étant pas facilement comparables, les séries des années précédentes n'ont pas été poursuivies cette année, mais restent disponibles dans les données complémentaires publiées l'an dernier.  </t>
  </si>
  <si>
    <t>Lecture : En 2023, 41,9% des agents ont été absents au moins un jours pour maladie ordinaire. Parmi le personnel non médical, la durée moyenne d’absence pour ce motif est de 31 jours au total, pour les agents concernés.</t>
  </si>
  <si>
    <t>nc : non communiqué en raison d'un nombre d'agents trop faible</t>
  </si>
  <si>
    <t>Figure 6 : Répartition des agents de la fonction publique selon leur santé perçue, par versant, de 2014 à 2025</t>
  </si>
  <si>
    <r>
      <t>Proportion d'agents absents</t>
    </r>
    <r>
      <rPr>
        <sz val="10"/>
        <rFont val="Arial"/>
        <family val="2"/>
      </rPr>
      <t xml:space="preserve">
(en %)</t>
    </r>
  </si>
  <si>
    <r>
      <rPr>
        <b/>
        <sz val="10"/>
        <color indexed="8"/>
        <rFont val="Arial"/>
        <family val="2"/>
      </rPr>
      <t>Âge</t>
    </r>
  </si>
  <si>
    <t>Note : la refonte de l’Enquête emploi en continu crée une rupture de série, rendant les résultats d’avant 2021 non comparables à ceux des années postérieures. La rupture est signalée par une double barre entre 2020 et 2021. En effet, les modifications liées à l’extension de la définition des personnes en emploi ne peuvent être totalement prises en compte par la nouvelle pondération, en particulier sur les questions de durée de travail et d’absences pour raison de santé.
Outre cette révision d’ampleur sur la période 2014-2020, d’autres modifications peuvent amener à revoir les chiffres publiés les années précédentes, qu’il s’agisse de réajustements des pondérations ou de retraitements plus spécifiques. Des reclassements ont notamment été effectués à la suite d’incohérences constatées dans la répartition des agents entre les différents versants de la fonction publique et le secteur privé. Après les accompagnants des élèves en situation de handicap (AESH), reclassés dans la fonction publique de l’État (FPE), ce sont les militaires et les magistrats qui ont été reclassés en totalité dans la FPE, sur toute la période 2014-2025 : au total, entre 30 000 et 70 000 personnes, selon l’année, ont été reclassés à la suite de ce traitement.</t>
  </si>
  <si>
    <t>Part des agents ayant eu au moins un arrêt maladie en 2024</t>
  </si>
  <si>
    <t>Note : Les congés maladie ici décomptés ne comprennent pas les congés maternité/paternité ni les congés pour enfant malade.</t>
  </si>
  <si>
    <t xml:space="preserve">Source : Enquêtes Emploi, Insee. Traitement DGAFP - Sdessi </t>
  </si>
  <si>
    <t>Source : Enquête Conditions de travail 2024, Dares, DGAFP, Drees, Insee. Traitement DGAFP - SDessi.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</si>
</sst>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00\ _€_-;\-* #,##0.00\ _€_-;_-* &quot;-&quot;??\ _€_-;_-@_-"/>
    <numFmt numFmtId="165" formatCode="#,##0.0"/>
    <numFmt numFmtId="166" formatCode="0.0"/>
    <numFmt numFmtId="167" formatCode="_-* #,##0.00\ _F_-;\-* #,##0.00\ _F_-;_-* &quot;-&quot;??\ _F_-;_-@_-"/>
    <numFmt numFmtId="168" formatCode="0.000"/>
  </numFmts>
  <fonts count="4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sz val="10"/>
      <name val="Arial"/>
      <family val="2"/>
    </font>
    <font>
      <b/>
      <sz val="18"/>
      <color theme="3"/>
      <name val="Calibri Light"/>
      <family val="2"/>
      <scheme val="major"/>
    </font>
    <font>
      <u/>
      <sz val="10"/>
      <color theme="10"/>
      <name val="Arial"/>
      <family val="2"/>
    </font>
    <font>
      <u/>
      <sz val="11"/>
      <color theme="10"/>
      <name val="Calibri"/>
      <family val="2"/>
      <scheme val="minor"/>
    </font>
    <font>
      <sz val="10"/>
      <color theme="1"/>
      <name val="Arial"/>
      <family val="2"/>
    </font>
    <font>
      <sz val="10"/>
      <name val="Arial"/>
      <family val="2"/>
    </font>
    <font>
      <b/>
      <sz val="10"/>
      <color theme="1"/>
      <name val="Arial"/>
      <family val="2"/>
    </font>
    <font>
      <u/>
      <sz val="10"/>
      <color indexed="12"/>
      <name val="Arial"/>
      <family val="2"/>
    </font>
    <font>
      <sz val="10"/>
      <color rgb="FF00B050"/>
      <name val="Arial"/>
      <family val="2"/>
    </font>
    <font>
      <b/>
      <sz val="10"/>
      <color rgb="FF00B050"/>
      <name val="Arial"/>
      <family val="2"/>
    </font>
    <font>
      <b/>
      <sz val="10"/>
      <color rgb="FFFF0000"/>
      <name val="Arial"/>
      <family val="2"/>
    </font>
    <font>
      <sz val="10"/>
      <name val="Arial"/>
      <family val="2"/>
    </font>
    <font>
      <sz val="9"/>
      <color theme="1"/>
      <name val="Arial"/>
      <family val="2"/>
    </font>
    <font>
      <b/>
      <sz val="10"/>
      <color rgb="FF000000"/>
      <name val="Arial"/>
      <family val="2"/>
    </font>
    <font>
      <i/>
      <sz val="10"/>
      <name val="Arial"/>
      <family val="2"/>
    </font>
    <font>
      <sz val="10"/>
      <color rgb="FF7030A0"/>
      <name val="Arial"/>
      <family val="2"/>
    </font>
    <font>
      <sz val="10"/>
      <color rgb="FFFF0000"/>
      <name val="Arial"/>
      <family val="2"/>
    </font>
    <font>
      <sz val="11"/>
      <color theme="1"/>
      <name val="Arial"/>
      <family val="2"/>
    </font>
    <font>
      <i/>
      <sz val="9"/>
      <name val="Arial"/>
      <family val="2"/>
    </font>
    <font>
      <sz val="11"/>
      <name val="Arial"/>
      <family val="2"/>
    </font>
    <font>
      <sz val="9"/>
      <name val="Arial"/>
      <family val="2"/>
    </font>
    <font>
      <sz val="10"/>
      <color rgb="FF000000"/>
      <name val="Arial"/>
      <family val="2"/>
    </font>
    <font>
      <sz val="11"/>
      <color indexed="8"/>
      <name val="Arial"/>
      <family val="2"/>
    </font>
    <font>
      <b/>
      <sz val="10"/>
      <color indexed="8"/>
      <name val="Arial"/>
      <family val="2"/>
    </font>
    <font>
      <i/>
      <sz val="10"/>
      <color rgb="FF000000"/>
      <name val="Arial"/>
      <family val="2"/>
    </font>
    <font>
      <i/>
      <sz val="10"/>
      <color theme="1"/>
      <name val="Arial"/>
      <family val="2"/>
    </font>
    <font>
      <b/>
      <sz val="11"/>
      <color theme="1"/>
      <name val="Arial"/>
      <family val="2"/>
    </font>
    <font>
      <sz val="11"/>
      <color rgb="FFFF0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9"/>
        <bgColor indexed="64"/>
      </patternFill>
    </fill>
    <fill>
      <patternFill patternType="solid">
        <fgColor theme="8" tint="0.79998168889431442"/>
        <bgColor indexed="64"/>
      </patternFill>
    </fill>
    <fill>
      <patternFill patternType="solid">
        <fgColor theme="8" tint="0.59999389629810485"/>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double">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double">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8">
    <xf numFmtId="0" fontId="0"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8" borderId="8" applyNumberFormat="0" applyFont="0" applyAlignment="0" applyProtection="0"/>
    <xf numFmtId="0" fontId="1" fillId="0" borderId="0"/>
    <xf numFmtId="0" fontId="20" fillId="0" borderId="0"/>
    <xf numFmtId="9" fontId="18" fillId="0" borderId="0" applyFont="0" applyFill="0" applyBorder="0" applyAlignment="0" applyProtection="0"/>
    <xf numFmtId="9" fontId="20" fillId="0" borderId="0" applyFill="0" applyBorder="0" applyAlignment="0" applyProtection="0"/>
    <xf numFmtId="0" fontId="2" fillId="0" borderId="0" applyNumberFormat="0" applyFill="0" applyBorder="0" applyAlignment="0" applyProtection="0"/>
    <xf numFmtId="0" fontId="21" fillId="0" borderId="0" applyNumberFormat="0" applyFill="0" applyBorder="0" applyAlignment="0" applyProtection="0"/>
    <xf numFmtId="167" fontId="20" fillId="0" borderId="0" applyFont="0" applyFill="0" applyBorder="0" applyAlignment="0" applyProtection="0"/>
    <xf numFmtId="164" fontId="1"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5" fillId="0" borderId="0"/>
    <xf numFmtId="167" fontId="18" fillId="0" borderId="0" applyFont="0" applyFill="0" applyBorder="0" applyAlignment="0" applyProtection="0"/>
    <xf numFmtId="164" fontId="1"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67" fontId="18" fillId="0" borderId="0" applyFont="0" applyFill="0" applyBorder="0" applyAlignment="0" applyProtection="0"/>
    <xf numFmtId="167" fontId="18" fillId="0" borderId="0" applyFont="0" applyFill="0" applyBorder="0" applyAlignment="0" applyProtection="0"/>
    <xf numFmtId="0" fontId="27" fillId="0" borderId="0" applyNumberFormat="0" applyFill="0" applyBorder="0" applyAlignment="0" applyProtection="0">
      <alignment vertical="top"/>
      <protection locked="0"/>
    </xf>
    <xf numFmtId="9" fontId="18" fillId="0" borderId="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31" fillId="0" borderId="0"/>
    <xf numFmtId="44" fontId="31" fillId="0" borderId="0" applyFont="0" applyFill="0" applyBorder="0" applyAlignment="0" applyProtection="0"/>
    <xf numFmtId="44" fontId="18" fillId="0" borderId="0" applyFont="0" applyFill="0" applyBorder="0" applyAlignment="0" applyProtection="0"/>
    <xf numFmtId="164" fontId="31"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9" fontId="31" fillId="0" borderId="0" applyFont="0" applyFill="0" applyBorder="0" applyAlignment="0" applyProtection="0"/>
  </cellStyleXfs>
  <cellXfs count="245">
    <xf numFmtId="0" fontId="0" fillId="0" borderId="0" xfId="0"/>
    <xf numFmtId="0" fontId="24" fillId="0" borderId="0" xfId="0" applyFont="1"/>
    <xf numFmtId="0" fontId="26" fillId="0" borderId="0" xfId="0" applyFont="1"/>
    <xf numFmtId="0" fontId="24" fillId="0" borderId="17" xfId="0" applyFont="1" applyBorder="1" applyAlignment="1">
      <alignment horizontal="center" vertical="center" wrapText="1"/>
    </xf>
    <xf numFmtId="0" fontId="24" fillId="0" borderId="0" xfId="0" applyFont="1" applyAlignment="1">
      <alignment horizontal="left"/>
    </xf>
    <xf numFmtId="0" fontId="18" fillId="0" borderId="0" xfId="56" applyFont="1"/>
    <xf numFmtId="0" fontId="19" fillId="0" borderId="11" xfId="56" applyFont="1" applyFill="1" applyBorder="1" applyAlignment="1" applyProtection="1">
      <alignment horizontal="left" wrapText="1"/>
    </xf>
    <xf numFmtId="0" fontId="19" fillId="0" borderId="0" xfId="56" applyFont="1" applyFill="1" applyBorder="1" applyAlignment="1" applyProtection="1">
      <alignment horizontal="left" wrapText="1"/>
    </xf>
    <xf numFmtId="0" fontId="29" fillId="0" borderId="0" xfId="56" applyFont="1" applyFill="1"/>
    <xf numFmtId="0" fontId="28" fillId="0" borderId="0" xfId="56" applyFont="1" applyFill="1"/>
    <xf numFmtId="0" fontId="29" fillId="0" borderId="0" xfId="56" applyFont="1" applyFill="1" applyBorder="1"/>
    <xf numFmtId="0" fontId="28" fillId="0" borderId="0" xfId="56" applyFont="1" applyFill="1" applyBorder="1"/>
    <xf numFmtId="0" fontId="30" fillId="0" borderId="0" xfId="56" applyFont="1" applyFill="1" applyBorder="1" applyAlignment="1">
      <alignment vertical="top"/>
    </xf>
    <xf numFmtId="0" fontId="18" fillId="0" borderId="0" xfId="56" applyFont="1" applyFill="1" applyBorder="1"/>
    <xf numFmtId="0" fontId="24" fillId="33" borderId="0" xfId="0" applyFont="1" applyFill="1"/>
    <xf numFmtId="0" fontId="19" fillId="0" borderId="0" xfId="0" applyFont="1" applyAlignment="1">
      <alignment horizontal="left" vertical="center" wrapText="1"/>
    </xf>
    <xf numFmtId="0" fontId="18" fillId="0" borderId="0" xfId="56" applyFont="1" applyFill="1"/>
    <xf numFmtId="0" fontId="29" fillId="0" borderId="0" xfId="0" quotePrefix="1" applyFont="1" applyFill="1" applyBorder="1" applyAlignment="1">
      <alignment vertical="center" wrapText="1"/>
    </xf>
    <xf numFmtId="0" fontId="28" fillId="0" borderId="0" xfId="0" quotePrefix="1" applyFont="1" applyFill="1" applyBorder="1" applyAlignment="1">
      <alignment vertical="center" wrapText="1"/>
    </xf>
    <xf numFmtId="0" fontId="24" fillId="0" borderId="17" xfId="0" applyFont="1" applyBorder="1" applyAlignment="1">
      <alignment horizontal="center" vertical="center"/>
    </xf>
    <xf numFmtId="0" fontId="24" fillId="0" borderId="11" xfId="0" applyFont="1" applyBorder="1" applyAlignment="1">
      <alignment horizontal="center"/>
    </xf>
    <xf numFmtId="0" fontId="26" fillId="0" borderId="13" xfId="0" applyFont="1" applyFill="1" applyBorder="1" applyAlignment="1">
      <alignment horizontal="left"/>
    </xf>
    <xf numFmtId="0" fontId="24" fillId="0" borderId="17" xfId="0" applyFont="1" applyFill="1" applyBorder="1" applyAlignment="1">
      <alignment horizontal="center"/>
    </xf>
    <xf numFmtId="0" fontId="32" fillId="0" borderId="18" xfId="0" applyFont="1" applyBorder="1" applyAlignment="1">
      <alignment horizontal="center" vertical="center" wrapText="1"/>
    </xf>
    <xf numFmtId="0" fontId="19" fillId="0" borderId="0" xfId="56" applyFont="1" applyFill="1" applyBorder="1" applyAlignment="1" applyProtection="1"/>
    <xf numFmtId="0" fontId="19" fillId="0" borderId="0" xfId="0" applyFont="1" applyAlignment="1">
      <alignment vertical="center"/>
    </xf>
    <xf numFmtId="0" fontId="19" fillId="0" borderId="0" xfId="0" applyFont="1" applyFill="1" applyBorder="1" applyAlignment="1">
      <alignment vertical="top"/>
    </xf>
    <xf numFmtId="0" fontId="24" fillId="0" borderId="0" xfId="0" applyFont="1" applyAlignment="1">
      <alignment vertical="center"/>
    </xf>
    <xf numFmtId="0" fontId="19" fillId="0" borderId="0" xfId="56" applyFont="1" applyBorder="1"/>
    <xf numFmtId="0" fontId="19" fillId="0" borderId="0" xfId="0" applyFont="1" applyFill="1" applyAlignment="1"/>
    <xf numFmtId="0" fontId="18" fillId="0" borderId="0" xfId="0" applyFont="1" applyFill="1"/>
    <xf numFmtId="0" fontId="24" fillId="0" borderId="0" xfId="0" applyFont="1" applyAlignment="1"/>
    <xf numFmtId="0" fontId="26" fillId="33" borderId="0" xfId="0" applyFont="1" applyFill="1"/>
    <xf numFmtId="0" fontId="33" fillId="36" borderId="17" xfId="0" applyFont="1" applyFill="1" applyBorder="1" applyAlignment="1">
      <alignment horizontal="center" vertical="center"/>
    </xf>
    <xf numFmtId="0" fontId="24" fillId="33" borderId="17" xfId="0" applyFont="1" applyFill="1" applyBorder="1" applyAlignment="1">
      <alignment vertical="center"/>
    </xf>
    <xf numFmtId="1" fontId="24" fillId="33" borderId="17" xfId="0" applyNumberFormat="1" applyFont="1" applyFill="1" applyBorder="1" applyAlignment="1">
      <alignment horizontal="right" vertical="center"/>
    </xf>
    <xf numFmtId="0" fontId="24" fillId="33" borderId="0" xfId="0" applyFont="1" applyFill="1" applyAlignment="1">
      <alignment vertical="center"/>
    </xf>
    <xf numFmtId="1" fontId="24" fillId="33" borderId="0" xfId="0" applyNumberFormat="1" applyFont="1" applyFill="1" applyAlignment="1">
      <alignment horizontal="right" vertical="center"/>
    </xf>
    <xf numFmtId="1" fontId="24" fillId="33" borderId="19" xfId="0" applyNumberFormat="1" applyFont="1" applyFill="1" applyBorder="1" applyAlignment="1">
      <alignment horizontal="right" vertical="center"/>
    </xf>
    <xf numFmtId="0" fontId="34" fillId="33" borderId="0" xfId="0" applyFont="1" applyFill="1"/>
    <xf numFmtId="0" fontId="24" fillId="33" borderId="0" xfId="0" applyFont="1" applyFill="1" applyAlignment="1">
      <alignment wrapText="1"/>
    </xf>
    <xf numFmtId="0" fontId="24" fillId="33" borderId="17" xfId="0" applyFont="1" applyFill="1" applyBorder="1" applyAlignment="1">
      <alignment vertical="center" wrapText="1"/>
    </xf>
    <xf numFmtId="0" fontId="24" fillId="33" borderId="0" xfId="0" applyFont="1" applyFill="1" applyAlignment="1">
      <alignment vertical="center" wrapText="1"/>
    </xf>
    <xf numFmtId="0" fontId="24" fillId="33" borderId="0" xfId="0" applyFont="1" applyFill="1" applyAlignment="1">
      <alignment horizontal="right" vertical="center"/>
    </xf>
    <xf numFmtId="0" fontId="24" fillId="0" borderId="27" xfId="0" applyFont="1" applyBorder="1"/>
    <xf numFmtId="0" fontId="26" fillId="0" borderId="27" xfId="0" applyFont="1" applyBorder="1"/>
    <xf numFmtId="0" fontId="24" fillId="0" borderId="28" xfId="0" applyFont="1" applyBorder="1"/>
    <xf numFmtId="0" fontId="24" fillId="0" borderId="29" xfId="0" applyFont="1" applyBorder="1"/>
    <xf numFmtId="0" fontId="24" fillId="0" borderId="17" xfId="0" applyFont="1" applyBorder="1" applyAlignment="1">
      <alignment vertical="center"/>
    </xf>
    <xf numFmtId="1" fontId="24" fillId="0" borderId="17" xfId="0" applyNumberFormat="1" applyFont="1" applyBorder="1" applyAlignment="1">
      <alignment horizontal="right" vertical="center"/>
    </xf>
    <xf numFmtId="1" fontId="24" fillId="0" borderId="27" xfId="0" applyNumberFormat="1" applyFont="1" applyBorder="1"/>
    <xf numFmtId="0" fontId="34" fillId="0" borderId="27" xfId="0" applyFont="1" applyBorder="1"/>
    <xf numFmtId="0" fontId="24" fillId="0" borderId="0" xfId="0" applyFont="1" applyFill="1"/>
    <xf numFmtId="168" fontId="24" fillId="0" borderId="0" xfId="0" applyNumberFormat="1" applyFont="1"/>
    <xf numFmtId="0" fontId="33" fillId="36" borderId="19" xfId="0" applyFont="1" applyFill="1" applyBorder="1" applyAlignment="1">
      <alignment horizontal="center" vertical="center"/>
    </xf>
    <xf numFmtId="0" fontId="35" fillId="0" borderId="0" xfId="0" applyFont="1"/>
    <xf numFmtId="0" fontId="36" fillId="0" borderId="0" xfId="56" applyFont="1"/>
    <xf numFmtId="0" fontId="33" fillId="36" borderId="21" xfId="0" applyFont="1" applyFill="1" applyBorder="1" applyAlignment="1">
      <alignment horizontal="center" vertical="center"/>
    </xf>
    <xf numFmtId="1" fontId="24" fillId="33" borderId="21" xfId="0" applyNumberFormat="1" applyFont="1" applyFill="1" applyBorder="1" applyAlignment="1">
      <alignment horizontal="right" vertical="center"/>
    </xf>
    <xf numFmtId="0" fontId="36" fillId="33" borderId="0" xfId="0" applyFont="1" applyFill="1"/>
    <xf numFmtId="0" fontId="24" fillId="0" borderId="18" xfId="0" applyFont="1" applyBorder="1"/>
    <xf numFmtId="0" fontId="24" fillId="33" borderId="16" xfId="0" applyFont="1" applyFill="1" applyBorder="1" applyAlignment="1">
      <alignment vertical="center"/>
    </xf>
    <xf numFmtId="0" fontId="24" fillId="33" borderId="18" xfId="0" applyFont="1" applyFill="1" applyBorder="1"/>
    <xf numFmtId="0" fontId="33" fillId="33" borderId="16" xfId="0" applyFont="1" applyFill="1" applyBorder="1" applyAlignment="1">
      <alignment horizontal="left" vertical="center"/>
    </xf>
    <xf numFmtId="0" fontId="24" fillId="33" borderId="16" xfId="0" applyFont="1" applyFill="1" applyBorder="1"/>
    <xf numFmtId="1" fontId="24" fillId="0" borderId="19" xfId="0" applyNumberFormat="1" applyFont="1" applyBorder="1" applyAlignment="1">
      <alignment horizontal="right" vertical="center"/>
    </xf>
    <xf numFmtId="1" fontId="24" fillId="0" borderId="21" xfId="0" applyNumberFormat="1" applyFont="1" applyBorder="1" applyAlignment="1">
      <alignment horizontal="right" vertical="center"/>
    </xf>
    <xf numFmtId="0" fontId="37" fillId="0" borderId="0" xfId="0" applyFont="1" applyAlignment="1"/>
    <xf numFmtId="0" fontId="37" fillId="0" borderId="0" xfId="0" applyFont="1"/>
    <xf numFmtId="0" fontId="18" fillId="0" borderId="12" xfId="0" applyFont="1" applyFill="1" applyBorder="1" applyAlignment="1">
      <alignment horizontal="center"/>
    </xf>
    <xf numFmtId="0" fontId="19" fillId="0" borderId="17" xfId="0" applyFont="1" applyFill="1" applyBorder="1" applyAlignment="1">
      <alignment horizontal="center" wrapText="1"/>
    </xf>
    <xf numFmtId="0" fontId="19" fillId="0" borderId="21" xfId="0" applyFont="1" applyFill="1" applyBorder="1" applyAlignment="1">
      <alignment horizontal="center" wrapText="1"/>
    </xf>
    <xf numFmtId="0" fontId="19" fillId="0" borderId="19" xfId="0" applyFont="1" applyFill="1" applyBorder="1" applyAlignment="1">
      <alignment horizontal="center" wrapText="1"/>
    </xf>
    <xf numFmtId="0" fontId="19" fillId="0" borderId="18" xfId="0" applyFont="1" applyFill="1" applyBorder="1" applyAlignment="1">
      <alignment horizontal="left" vertical="center" wrapText="1"/>
    </xf>
    <xf numFmtId="166" fontId="19" fillId="33" borderId="18" xfId="0" applyNumberFormat="1" applyFont="1" applyFill="1" applyBorder="1" applyAlignment="1">
      <alignment horizontal="right" vertical="center" wrapText="1" indent="1"/>
    </xf>
    <xf numFmtId="166" fontId="19" fillId="33" borderId="18" xfId="58" applyNumberFormat="1" applyFont="1" applyFill="1" applyBorder="1" applyAlignment="1">
      <alignment horizontal="right" vertical="center" wrapText="1" indent="1"/>
    </xf>
    <xf numFmtId="166" fontId="19" fillId="33" borderId="25" xfId="58" applyNumberFormat="1" applyFont="1" applyFill="1" applyBorder="1" applyAlignment="1">
      <alignment horizontal="right" vertical="center" wrapText="1" indent="1"/>
    </xf>
    <xf numFmtId="166" fontId="19" fillId="0" borderId="20" xfId="58" applyNumberFormat="1" applyFont="1" applyFill="1" applyBorder="1" applyAlignment="1">
      <alignment horizontal="right" vertical="center" wrapText="1" indent="1"/>
    </xf>
    <xf numFmtId="0" fontId="18" fillId="0" borderId="14" xfId="0" applyFont="1" applyFill="1" applyBorder="1" applyAlignment="1">
      <alignment vertical="center"/>
    </xf>
    <xf numFmtId="166" fontId="18" fillId="33" borderId="15" xfId="0" applyNumberFormat="1" applyFont="1" applyFill="1" applyBorder="1" applyAlignment="1">
      <alignment horizontal="right" vertical="center" wrapText="1" indent="1"/>
    </xf>
    <xf numFmtId="166" fontId="18" fillId="33" borderId="15" xfId="58" applyNumberFormat="1" applyFont="1" applyFill="1" applyBorder="1" applyAlignment="1">
      <alignment horizontal="right" vertical="center" wrapText="1" indent="1"/>
    </xf>
    <xf numFmtId="166" fontId="18" fillId="33" borderId="26" xfId="0" applyNumberFormat="1" applyFont="1" applyFill="1" applyBorder="1" applyAlignment="1">
      <alignment horizontal="right" vertical="center" indent="1"/>
    </xf>
    <xf numFmtId="166" fontId="18" fillId="0" borderId="10" xfId="0" applyNumberFormat="1" applyFont="1" applyFill="1" applyBorder="1" applyAlignment="1">
      <alignment horizontal="right" vertical="center" indent="1"/>
    </xf>
    <xf numFmtId="166" fontId="18" fillId="0" borderId="10" xfId="0" applyNumberFormat="1" applyFont="1" applyBorder="1" applyAlignment="1">
      <alignment horizontal="right" vertical="center" indent="1"/>
    </xf>
    <xf numFmtId="0" fontId="18" fillId="0" borderId="15" xfId="0" applyFont="1" applyFill="1" applyBorder="1" applyAlignment="1">
      <alignment vertical="center"/>
    </xf>
    <xf numFmtId="0" fontId="18" fillId="0" borderId="16" xfId="0" applyFont="1" applyFill="1" applyBorder="1" applyAlignment="1">
      <alignment vertical="center"/>
    </xf>
    <xf numFmtId="0" fontId="19" fillId="0" borderId="17" xfId="0" applyFont="1" applyFill="1" applyBorder="1" applyAlignment="1">
      <alignment vertical="center"/>
    </xf>
    <xf numFmtId="166" fontId="19" fillId="33" borderId="17" xfId="0" applyNumberFormat="1" applyFont="1" applyFill="1" applyBorder="1" applyAlignment="1">
      <alignment horizontal="right" vertical="center" wrapText="1" indent="1"/>
    </xf>
    <xf numFmtId="166" fontId="19" fillId="33" borderId="17" xfId="58" applyNumberFormat="1" applyFont="1" applyFill="1" applyBorder="1" applyAlignment="1">
      <alignment horizontal="right" vertical="center" wrapText="1" indent="1"/>
    </xf>
    <xf numFmtId="166" fontId="19" fillId="33" borderId="21" xfId="58" applyNumberFormat="1" applyFont="1" applyFill="1" applyBorder="1" applyAlignment="1">
      <alignment horizontal="right" vertical="center" wrapText="1" indent="1"/>
    </xf>
    <xf numFmtId="166" fontId="19" fillId="0" borderId="19" xfId="0" applyNumberFormat="1" applyFont="1" applyFill="1" applyBorder="1" applyAlignment="1">
      <alignment horizontal="right" vertical="center" indent="1"/>
    </xf>
    <xf numFmtId="166" fontId="19" fillId="0" borderId="19" xfId="0" applyNumberFormat="1" applyFont="1" applyBorder="1" applyAlignment="1">
      <alignment horizontal="right" vertical="center" indent="1"/>
    </xf>
    <xf numFmtId="0" fontId="39" fillId="0" borderId="0" xfId="0" applyFont="1" applyAlignment="1"/>
    <xf numFmtId="0" fontId="40" fillId="0" borderId="0" xfId="0" applyFont="1" applyFill="1" applyAlignment="1">
      <alignment horizontal="left"/>
    </xf>
    <xf numFmtId="0" fontId="19" fillId="33" borderId="0" xfId="0" applyFont="1" applyFill="1"/>
    <xf numFmtId="0" fontId="18" fillId="0" borderId="0" xfId="0" applyFont="1"/>
    <xf numFmtId="0" fontId="18" fillId="0" borderId="11"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33" borderId="18" xfId="0" applyFont="1" applyFill="1" applyBorder="1" applyAlignment="1">
      <alignment vertical="center" wrapText="1"/>
    </xf>
    <xf numFmtId="0" fontId="18" fillId="33" borderId="18" xfId="0" applyFont="1" applyFill="1" applyBorder="1" applyAlignment="1">
      <alignment horizontal="right" vertical="center" wrapText="1" indent="2"/>
    </xf>
    <xf numFmtId="1" fontId="18" fillId="0" borderId="22" xfId="0" applyNumberFormat="1" applyFont="1" applyFill="1" applyBorder="1" applyAlignment="1">
      <alignment horizontal="right" vertical="center" indent="1"/>
    </xf>
    <xf numFmtId="1" fontId="18" fillId="0" borderId="20" xfId="0" applyNumberFormat="1" applyFont="1" applyFill="1" applyBorder="1" applyAlignment="1">
      <alignment horizontal="right" vertical="center" indent="1"/>
    </xf>
    <xf numFmtId="1" fontId="18" fillId="0" borderId="22" xfId="0" applyNumberFormat="1" applyFont="1" applyBorder="1" applyAlignment="1">
      <alignment horizontal="right" vertical="center" indent="1"/>
    </xf>
    <xf numFmtId="1" fontId="18" fillId="0" borderId="20" xfId="0" applyNumberFormat="1" applyFont="1" applyBorder="1" applyAlignment="1">
      <alignment horizontal="right" vertical="center" indent="1"/>
    </xf>
    <xf numFmtId="0" fontId="18" fillId="33" borderId="15" xfId="0" applyFont="1" applyFill="1" applyBorder="1" applyAlignment="1">
      <alignment vertical="center" wrapText="1"/>
    </xf>
    <xf numFmtId="0" fontId="18" fillId="33" borderId="15" xfId="0" applyFont="1" applyFill="1" applyBorder="1" applyAlignment="1">
      <alignment horizontal="right" vertical="center" wrapText="1" indent="2"/>
    </xf>
    <xf numFmtId="1" fontId="18" fillId="0" borderId="0" xfId="0" applyNumberFormat="1" applyFont="1" applyFill="1" applyBorder="1" applyAlignment="1">
      <alignment horizontal="right" vertical="center" indent="1"/>
    </xf>
    <xf numFmtId="1" fontId="18" fillId="0" borderId="10" xfId="0" applyNumberFormat="1" applyFont="1" applyFill="1" applyBorder="1" applyAlignment="1">
      <alignment horizontal="right" vertical="center" indent="1"/>
    </xf>
    <xf numFmtId="1" fontId="18" fillId="0" borderId="0" xfId="0" applyNumberFormat="1" applyFont="1" applyAlignment="1">
      <alignment horizontal="right" vertical="center" indent="1"/>
    </xf>
    <xf numFmtId="1" fontId="18" fillId="0" borderId="10" xfId="0" applyNumberFormat="1" applyFont="1" applyBorder="1" applyAlignment="1">
      <alignment horizontal="right" vertical="center" indent="1"/>
    </xf>
    <xf numFmtId="1" fontId="18" fillId="0" borderId="14" xfId="0" applyNumberFormat="1" applyFont="1" applyBorder="1" applyAlignment="1">
      <alignment horizontal="right" vertical="center" indent="1"/>
    </xf>
    <xf numFmtId="0" fontId="18" fillId="0" borderId="16" xfId="0" applyFont="1" applyFill="1" applyBorder="1" applyAlignment="1">
      <alignment horizontal="left" vertical="center" wrapText="1"/>
    </xf>
    <xf numFmtId="0" fontId="18" fillId="0" borderId="16" xfId="0" applyFont="1" applyFill="1" applyBorder="1" applyAlignment="1">
      <alignment horizontal="right" vertical="center" wrapText="1" indent="2"/>
    </xf>
    <xf numFmtId="0" fontId="18" fillId="0" borderId="11" xfId="0" applyFont="1" applyFill="1" applyBorder="1" applyAlignment="1">
      <alignment horizontal="right" vertical="center" indent="1"/>
    </xf>
    <xf numFmtId="0" fontId="18" fillId="0" borderId="12" xfId="0" applyFont="1" applyFill="1" applyBorder="1" applyAlignment="1">
      <alignment horizontal="right" vertical="center" indent="1"/>
    </xf>
    <xf numFmtId="0" fontId="34" fillId="33" borderId="17" xfId="0" applyFont="1" applyFill="1" applyBorder="1" applyAlignment="1">
      <alignment vertical="center" wrapText="1"/>
    </xf>
    <xf numFmtId="1" fontId="34" fillId="0" borderId="13" xfId="0" applyNumberFormat="1" applyFont="1" applyFill="1" applyBorder="1" applyAlignment="1">
      <alignment horizontal="right" vertical="center" indent="1"/>
    </xf>
    <xf numFmtId="1" fontId="34" fillId="0" borderId="19" xfId="0" applyNumberFormat="1" applyFont="1" applyFill="1" applyBorder="1" applyAlignment="1">
      <alignment horizontal="right" vertical="center" indent="1"/>
    </xf>
    <xf numFmtId="1" fontId="34" fillId="0" borderId="23" xfId="0" applyNumberFormat="1" applyFont="1" applyBorder="1" applyAlignment="1">
      <alignment horizontal="right" vertical="center" indent="1"/>
    </xf>
    <xf numFmtId="1" fontId="34" fillId="0" borderId="19" xfId="0" applyNumberFormat="1" applyFont="1" applyBorder="1" applyAlignment="1">
      <alignment horizontal="right" vertical="center" indent="1"/>
    </xf>
    <xf numFmtId="0" fontId="38" fillId="33" borderId="0" xfId="0" applyFont="1" applyFill="1" applyBorder="1" applyAlignment="1">
      <alignment horizontal="left"/>
    </xf>
    <xf numFmtId="0" fontId="40" fillId="0" borderId="0" xfId="0" applyFont="1" applyFill="1" applyBorder="1" applyAlignment="1"/>
    <xf numFmtId="0" fontId="40" fillId="33" borderId="0" xfId="0" applyFont="1" applyFill="1" applyBorder="1" applyAlignment="1"/>
    <xf numFmtId="0" fontId="40" fillId="0" borderId="0" xfId="0" applyFont="1" applyFill="1"/>
    <xf numFmtId="0" fontId="36" fillId="0" borderId="0" xfId="0" applyFont="1"/>
    <xf numFmtId="0" fontId="18" fillId="0" borderId="11" xfId="0" applyFont="1" applyBorder="1" applyAlignment="1">
      <alignment horizontal="center" wrapText="1"/>
    </xf>
    <xf numFmtId="0" fontId="19" fillId="0" borderId="17" xfId="0" applyFont="1" applyBorder="1" applyAlignment="1">
      <alignment horizontal="center" vertical="center" wrapText="1"/>
    </xf>
    <xf numFmtId="0" fontId="19" fillId="0" borderId="17" xfId="56" applyFont="1" applyBorder="1" applyAlignment="1">
      <alignment horizontal="center" vertical="center" wrapText="1"/>
    </xf>
    <xf numFmtId="0" fontId="19" fillId="0" borderId="17" xfId="56" applyFont="1" applyFill="1" applyBorder="1" applyAlignment="1">
      <alignment horizontal="center" vertical="center" wrapText="1"/>
    </xf>
    <xf numFmtId="0" fontId="18" fillId="0" borderId="24" xfId="0" applyFont="1" applyBorder="1" applyAlignment="1">
      <alignment vertical="center" wrapText="1"/>
    </xf>
    <xf numFmtId="166" fontId="18" fillId="0" borderId="18" xfId="56" applyNumberFormat="1" applyFont="1" applyBorder="1" applyAlignment="1">
      <alignment horizontal="right" vertical="center" wrapText="1" indent="1"/>
    </xf>
    <xf numFmtId="166" fontId="18" fillId="0" borderId="18" xfId="56" applyNumberFormat="1" applyFont="1" applyFill="1" applyBorder="1" applyAlignment="1">
      <alignment horizontal="right" vertical="center" wrapText="1" indent="1"/>
    </xf>
    <xf numFmtId="166" fontId="18" fillId="0" borderId="15" xfId="56" applyNumberFormat="1" applyFont="1" applyFill="1" applyBorder="1" applyAlignment="1">
      <alignment horizontal="right" vertical="center" wrapText="1" indent="1"/>
    </xf>
    <xf numFmtId="166" fontId="18" fillId="0" borderId="15" xfId="56" applyNumberFormat="1" applyFont="1" applyBorder="1" applyAlignment="1">
      <alignment horizontal="right" vertical="center" wrapText="1" indent="1"/>
    </xf>
    <xf numFmtId="0" fontId="18" fillId="0" borderId="24" xfId="0" applyFont="1" applyFill="1" applyBorder="1" applyAlignment="1">
      <alignment vertical="center" wrapText="1"/>
    </xf>
    <xf numFmtId="0" fontId="19" fillId="0" borderId="17" xfId="0" applyFont="1" applyBorder="1" applyAlignment="1">
      <alignment vertical="center" wrapText="1"/>
    </xf>
    <xf numFmtId="166" fontId="19" fillId="0" borderId="17" xfId="56" applyNumberFormat="1" applyFont="1" applyBorder="1" applyAlignment="1">
      <alignment horizontal="right" vertical="center" wrapText="1" indent="1"/>
    </xf>
    <xf numFmtId="166" fontId="19" fillId="33" borderId="17" xfId="56" applyNumberFormat="1" applyFont="1" applyFill="1" applyBorder="1" applyAlignment="1">
      <alignment horizontal="right" vertical="center" wrapText="1" indent="1"/>
    </xf>
    <xf numFmtId="166" fontId="19" fillId="0" borderId="17" xfId="56" applyNumberFormat="1" applyFont="1" applyFill="1" applyBorder="1" applyAlignment="1">
      <alignment horizontal="right" vertical="center" wrapText="1" indent="1"/>
    </xf>
    <xf numFmtId="166" fontId="18" fillId="0" borderId="0" xfId="56" applyNumberFormat="1" applyFont="1"/>
    <xf numFmtId="0" fontId="40" fillId="0" borderId="0" xfId="56" applyFont="1"/>
    <xf numFmtId="0" fontId="28" fillId="0" borderId="0" xfId="0" applyFont="1" applyFill="1" applyBorder="1"/>
    <xf numFmtId="0" fontId="29" fillId="0" borderId="0" xfId="0" applyFont="1" applyFill="1" applyBorder="1" applyAlignment="1">
      <alignment horizontal="center" vertical="top" wrapText="1"/>
    </xf>
    <xf numFmtId="4" fontId="28" fillId="0" borderId="0" xfId="0" applyNumberFormat="1" applyFont="1" applyFill="1" applyBorder="1" applyAlignment="1">
      <alignment vertical="top" wrapText="1"/>
    </xf>
    <xf numFmtId="2" fontId="28" fillId="0" borderId="0" xfId="56" applyNumberFormat="1" applyFont="1" applyFill="1" applyBorder="1" applyAlignment="1">
      <alignment vertical="top"/>
    </xf>
    <xf numFmtId="165" fontId="28" fillId="0" borderId="0" xfId="0" applyNumberFormat="1" applyFont="1" applyFill="1" applyBorder="1" applyAlignment="1">
      <alignment vertical="top" wrapText="1"/>
    </xf>
    <xf numFmtId="4" fontId="28" fillId="0" borderId="0" xfId="56" applyNumberFormat="1" applyFont="1" applyFill="1" applyBorder="1" applyAlignment="1">
      <alignment vertical="top"/>
    </xf>
    <xf numFmtId="2" fontId="28" fillId="0" borderId="0" xfId="56" applyNumberFormat="1" applyFont="1" applyFill="1" applyAlignment="1">
      <alignment vertical="top"/>
    </xf>
    <xf numFmtId="4" fontId="28" fillId="0" borderId="0" xfId="0" applyNumberFormat="1" applyFont="1" applyFill="1" applyBorder="1"/>
    <xf numFmtId="4" fontId="29" fillId="0" borderId="0" xfId="56" applyNumberFormat="1" applyFont="1" applyFill="1" applyBorder="1"/>
    <xf numFmtId="2" fontId="29" fillId="0" borderId="0" xfId="56" applyNumberFormat="1" applyFont="1" applyFill="1" applyBorder="1" applyAlignment="1">
      <alignment vertical="top"/>
    </xf>
    <xf numFmtId="0" fontId="24" fillId="0" borderId="0" xfId="0" applyFont="1" applyBorder="1" applyAlignment="1">
      <alignment vertical="center"/>
    </xf>
    <xf numFmtId="0" fontId="41" fillId="0" borderId="10" xfId="0" applyFont="1" applyBorder="1" applyAlignment="1">
      <alignment vertical="center" wrapText="1"/>
    </xf>
    <xf numFmtId="0" fontId="24" fillId="0" borderId="11" xfId="0" applyFont="1" applyBorder="1"/>
    <xf numFmtId="0" fontId="41" fillId="0" borderId="12" xfId="0" applyFont="1" applyBorder="1" applyAlignment="1">
      <alignment vertical="top" wrapText="1"/>
    </xf>
    <xf numFmtId="0" fontId="19" fillId="0" borderId="13" xfId="0" applyFont="1" applyBorder="1" applyAlignment="1">
      <alignment horizontal="center" vertical="center" wrapText="1"/>
    </xf>
    <xf numFmtId="0" fontId="41" fillId="0" borderId="15" xfId="0" applyFont="1" applyBorder="1" applyAlignment="1">
      <alignment horizontal="left" vertical="top" wrapText="1"/>
    </xf>
    <xf numFmtId="1" fontId="24" fillId="0" borderId="25" xfId="0" applyNumberFormat="1" applyFont="1" applyFill="1" applyBorder="1" applyAlignment="1">
      <alignment horizontal="right" vertical="center" wrapText="1" indent="1"/>
    </xf>
    <xf numFmtId="1" fontId="24" fillId="0" borderId="22" xfId="0" applyNumberFormat="1" applyFont="1" applyFill="1" applyBorder="1" applyAlignment="1">
      <alignment horizontal="right" vertical="center" wrapText="1" indent="1"/>
    </xf>
    <xf numFmtId="1" fontId="24" fillId="0" borderId="18" xfId="0" applyNumberFormat="1" applyFont="1" applyFill="1" applyBorder="1" applyAlignment="1">
      <alignment horizontal="right" vertical="center" wrapText="1" indent="1"/>
    </xf>
    <xf numFmtId="0" fontId="42" fillId="0" borderId="0" xfId="0" applyNumberFormat="1" applyFont="1" applyFill="1" applyBorder="1" applyAlignment="1" applyProtection="1"/>
    <xf numFmtId="0" fontId="41" fillId="0" borderId="16" xfId="0" applyFont="1" applyBorder="1" applyAlignment="1">
      <alignment horizontal="left" vertical="top" wrapText="1"/>
    </xf>
    <xf numFmtId="1" fontId="24" fillId="0" borderId="30" xfId="0" applyNumberFormat="1" applyFont="1" applyFill="1" applyBorder="1" applyAlignment="1">
      <alignment horizontal="right" vertical="center" wrapText="1" indent="1"/>
    </xf>
    <xf numFmtId="1" fontId="24" fillId="0" borderId="11" xfId="0" applyNumberFormat="1" applyFont="1" applyFill="1" applyBorder="1" applyAlignment="1">
      <alignment horizontal="right" vertical="center" wrapText="1" indent="1"/>
    </xf>
    <xf numFmtId="1" fontId="24" fillId="0" borderId="16" xfId="0" applyNumberFormat="1" applyFont="1" applyFill="1" applyBorder="1" applyAlignment="1">
      <alignment horizontal="right" vertical="center" wrapText="1" indent="1"/>
    </xf>
    <xf numFmtId="0" fontId="41" fillId="0" borderId="18" xfId="0" applyFont="1" applyFill="1" applyBorder="1" applyAlignment="1">
      <alignment horizontal="left" vertical="top" wrapText="1"/>
    </xf>
    <xf numFmtId="0" fontId="41" fillId="0" borderId="15" xfId="0" applyFont="1" applyFill="1" applyBorder="1" applyAlignment="1">
      <alignment horizontal="left" vertical="top" wrapText="1"/>
    </xf>
    <xf numFmtId="1" fontId="24" fillId="0" borderId="26" xfId="0" applyNumberFormat="1" applyFont="1" applyFill="1" applyBorder="1" applyAlignment="1">
      <alignment horizontal="right" vertical="center" wrapText="1" indent="1"/>
    </xf>
    <xf numFmtId="1" fontId="24" fillId="0" borderId="0" xfId="0" applyNumberFormat="1" applyFont="1" applyFill="1" applyBorder="1" applyAlignment="1">
      <alignment horizontal="right" vertical="center" wrapText="1" indent="1"/>
    </xf>
    <xf numFmtId="1" fontId="24" fillId="0" borderId="15" xfId="0" applyNumberFormat="1" applyFont="1" applyFill="1" applyBorder="1" applyAlignment="1">
      <alignment horizontal="right" vertical="center" wrapText="1" indent="1"/>
    </xf>
    <xf numFmtId="0" fontId="41" fillId="0" borderId="16" xfId="0" applyFont="1" applyFill="1" applyBorder="1" applyAlignment="1">
      <alignment horizontal="left" vertical="top" wrapText="1"/>
    </xf>
    <xf numFmtId="0" fontId="41" fillId="0" borderId="18" xfId="0" applyFont="1" applyBorder="1" applyAlignment="1">
      <alignment horizontal="left" vertical="top" wrapText="1"/>
    </xf>
    <xf numFmtId="0" fontId="44" fillId="33" borderId="15" xfId="0" applyFont="1" applyFill="1" applyBorder="1" applyAlignment="1">
      <alignment horizontal="left" vertical="top" wrapText="1" indent="1"/>
    </xf>
    <xf numFmtId="1" fontId="45" fillId="0" borderId="26" xfId="0" applyNumberFormat="1" applyFont="1" applyFill="1" applyBorder="1" applyAlignment="1">
      <alignment horizontal="right" vertical="center" wrapText="1" indent="1"/>
    </xf>
    <xf numFmtId="1" fontId="45" fillId="0" borderId="0" xfId="0" applyNumberFormat="1" applyFont="1" applyFill="1" applyBorder="1" applyAlignment="1">
      <alignment horizontal="right" vertical="center" wrapText="1" indent="1"/>
    </xf>
    <xf numFmtId="1" fontId="45" fillId="0" borderId="15" xfId="0" applyNumberFormat="1" applyFont="1" applyFill="1" applyBorder="1" applyAlignment="1">
      <alignment horizontal="right" vertical="center" wrapText="1" indent="1"/>
    </xf>
    <xf numFmtId="49" fontId="41" fillId="0" borderId="15" xfId="0" applyNumberFormat="1" applyFont="1" applyBorder="1" applyAlignment="1">
      <alignment horizontal="left" vertical="top" wrapText="1"/>
    </xf>
    <xf numFmtId="49" fontId="41" fillId="0" borderId="16" xfId="0" applyNumberFormat="1" applyFont="1" applyBorder="1" applyAlignment="1">
      <alignment horizontal="left" vertical="top" wrapText="1"/>
    </xf>
    <xf numFmtId="1" fontId="26" fillId="35" borderId="21" xfId="0" applyNumberFormat="1" applyFont="1" applyFill="1" applyBorder="1" applyAlignment="1">
      <alignment horizontal="right" vertical="center" wrapText="1" indent="1"/>
    </xf>
    <xf numFmtId="1" fontId="26" fillId="35" borderId="13" xfId="0" applyNumberFormat="1" applyFont="1" applyFill="1" applyBorder="1" applyAlignment="1">
      <alignment horizontal="right" vertical="center" wrapText="1" indent="1"/>
    </xf>
    <xf numFmtId="1" fontId="26" fillId="35" borderId="17" xfId="0" applyNumberFormat="1" applyFont="1" applyFill="1" applyBorder="1" applyAlignment="1">
      <alignment horizontal="right" vertical="center" wrapText="1" indent="1"/>
    </xf>
    <xf numFmtId="1" fontId="26" fillId="0" borderId="21" xfId="0" applyNumberFormat="1" applyFont="1" applyBorder="1" applyAlignment="1">
      <alignment horizontal="right" vertical="center" wrapText="1" indent="1"/>
    </xf>
    <xf numFmtId="1" fontId="26" fillId="0" borderId="13" xfId="0" applyNumberFormat="1" applyFont="1" applyBorder="1" applyAlignment="1">
      <alignment horizontal="right" vertical="center" wrapText="1" indent="1"/>
    </xf>
    <xf numFmtId="1" fontId="26" fillId="0" borderId="17" xfId="0" applyNumberFormat="1" applyFont="1" applyBorder="1" applyAlignment="1">
      <alignment horizontal="right" vertical="center" wrapText="1" indent="1"/>
    </xf>
    <xf numFmtId="0" fontId="40" fillId="33" borderId="0" xfId="0" applyFont="1" applyFill="1" applyAlignment="1"/>
    <xf numFmtId="0" fontId="40" fillId="0" borderId="0" xfId="0" applyFont="1" applyFill="1" applyAlignment="1">
      <alignment horizontal="justify" wrapText="1"/>
    </xf>
    <xf numFmtId="0" fontId="40" fillId="0" borderId="0" xfId="0" applyFont="1" applyFill="1" applyAlignment="1"/>
    <xf numFmtId="0" fontId="39" fillId="0" borderId="0" xfId="0" applyFont="1"/>
    <xf numFmtId="0" fontId="19" fillId="0" borderId="12" xfId="56" applyFont="1" applyFill="1" applyBorder="1" applyAlignment="1" applyProtection="1">
      <alignment horizontal="center" vertical="top"/>
    </xf>
    <xf numFmtId="0" fontId="19" fillId="0" borderId="17" xfId="56" applyNumberFormat="1" applyFont="1" applyFill="1" applyBorder="1" applyAlignment="1" applyProtection="1">
      <alignment horizontal="center" vertical="center"/>
    </xf>
    <xf numFmtId="3" fontId="18" fillId="0" borderId="17" xfId="56" applyNumberFormat="1" applyFont="1" applyFill="1" applyBorder="1" applyAlignment="1" applyProtection="1">
      <alignment horizontal="right" vertical="center" indent="1"/>
    </xf>
    <xf numFmtId="3" fontId="18" fillId="0" borderId="17" xfId="70" applyNumberFormat="1" applyFont="1" applyFill="1" applyBorder="1" applyAlignment="1">
      <alignment horizontal="right" vertical="center" wrapText="1" indent="1"/>
    </xf>
    <xf numFmtId="0" fontId="38" fillId="0" borderId="0" xfId="56" applyFont="1" applyFill="1" applyBorder="1" applyAlignment="1" applyProtection="1">
      <alignment horizontal="left"/>
    </xf>
    <xf numFmtId="0" fontId="40" fillId="0" borderId="0" xfId="56" applyFont="1" applyAlignment="1"/>
    <xf numFmtId="0" fontId="22" fillId="0" borderId="23" xfId="51" applyFont="1" applyBorder="1" applyAlignment="1">
      <alignment horizontal="left"/>
    </xf>
    <xf numFmtId="0" fontId="22" fillId="0" borderId="14" xfId="51" applyFont="1" applyBorder="1" applyAlignment="1">
      <alignment horizontal="left"/>
    </xf>
    <xf numFmtId="0" fontId="22" fillId="0" borderId="22" xfId="51" applyFont="1" applyBorder="1" applyAlignment="1">
      <alignment horizontal="left"/>
    </xf>
    <xf numFmtId="0" fontId="47" fillId="0" borderId="0" xfId="0" applyFont="1"/>
    <xf numFmtId="20" fontId="46" fillId="0" borderId="0" xfId="0" applyNumberFormat="1" applyFont="1"/>
    <xf numFmtId="0" fontId="40" fillId="0" borderId="0" xfId="0" quotePrefix="1" applyFont="1" applyFill="1" applyAlignment="1">
      <alignment horizontal="left" vertical="top" wrapText="1"/>
    </xf>
    <xf numFmtId="0" fontId="38" fillId="0" borderId="0" xfId="0" applyFont="1" applyFill="1" applyAlignment="1">
      <alignment horizontal="left" wrapText="1"/>
    </xf>
    <xf numFmtId="0" fontId="40" fillId="0" borderId="0" xfId="0" applyFont="1" applyFill="1" applyAlignment="1">
      <alignment horizontal="left" wrapText="1"/>
    </xf>
    <xf numFmtId="0" fontId="40" fillId="0" borderId="0" xfId="0" applyFont="1" applyAlignment="1">
      <alignment horizontal="left"/>
    </xf>
    <xf numFmtId="0" fontId="26" fillId="0" borderId="17" xfId="0" applyFont="1" applyBorder="1" applyAlignment="1">
      <alignment horizontal="left" vertical="center" wrapText="1"/>
    </xf>
    <xf numFmtId="0" fontId="19" fillId="0" borderId="13"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25"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17" xfId="0" applyFont="1" applyFill="1" applyBorder="1" applyAlignment="1">
      <alignment horizontal="left" vertical="center" wrapText="1"/>
    </xf>
    <xf numFmtId="0" fontId="33" fillId="35" borderId="23" xfId="0" applyFont="1" applyFill="1" applyBorder="1" applyAlignment="1">
      <alignment horizontal="left" vertical="top" wrapText="1"/>
    </xf>
    <xf numFmtId="0" fontId="33" fillId="35" borderId="19" xfId="0" applyFont="1" applyFill="1" applyBorder="1" applyAlignment="1">
      <alignment horizontal="left" vertical="top" wrapText="1"/>
    </xf>
    <xf numFmtId="0" fontId="19" fillId="0" borderId="17" xfId="0" applyFont="1" applyBorder="1" applyAlignment="1">
      <alignment horizontal="left" vertical="top" wrapText="1"/>
    </xf>
    <xf numFmtId="0" fontId="38" fillId="33" borderId="0" xfId="0" applyFont="1" applyFill="1" applyBorder="1" applyAlignment="1">
      <alignment wrapText="1"/>
    </xf>
    <xf numFmtId="0" fontId="40" fillId="33" borderId="0" xfId="0" applyFont="1" applyFill="1" applyAlignment="1">
      <alignment wrapText="1"/>
    </xf>
    <xf numFmtId="0" fontId="40" fillId="0" borderId="0" xfId="0" applyFont="1" applyFill="1" applyAlignment="1">
      <alignment wrapText="1"/>
    </xf>
    <xf numFmtId="0" fontId="19" fillId="33" borderId="13" xfId="0" applyFont="1" applyFill="1" applyBorder="1" applyAlignment="1">
      <alignment horizontal="center" vertical="center" wrapText="1"/>
    </xf>
    <xf numFmtId="0" fontId="19" fillId="33" borderId="19" xfId="0" applyFont="1" applyFill="1" applyBorder="1" applyAlignment="1">
      <alignment horizontal="center" vertical="center" wrapText="1"/>
    </xf>
    <xf numFmtId="0" fontId="19" fillId="33" borderId="23" xfId="0" applyFont="1" applyFill="1" applyBorder="1" applyAlignment="1">
      <alignment horizontal="center" vertical="center" wrapText="1"/>
    </xf>
    <xf numFmtId="0" fontId="19" fillId="0" borderId="18" xfId="0" applyFont="1" applyBorder="1" applyAlignment="1">
      <alignment horizontal="center" vertical="center" wrapText="1"/>
    </xf>
    <xf numFmtId="0" fontId="19" fillId="0" borderId="16" xfId="0" applyFont="1" applyBorder="1" applyAlignment="1">
      <alignment horizontal="center" vertical="center" wrapText="1"/>
    </xf>
    <xf numFmtId="0" fontId="24" fillId="33" borderId="0" xfId="0" applyFont="1" applyFill="1" applyAlignment="1">
      <alignment horizontal="left" wrapText="1"/>
    </xf>
    <xf numFmtId="0" fontId="33" fillId="36" borderId="23" xfId="0" applyFont="1" applyFill="1" applyBorder="1" applyAlignment="1">
      <alignment horizontal="center" vertical="center"/>
    </xf>
    <xf numFmtId="0" fontId="33" fillId="36" borderId="13" xfId="0" applyFont="1" applyFill="1" applyBorder="1" applyAlignment="1">
      <alignment horizontal="center" vertical="center"/>
    </xf>
    <xf numFmtId="0" fontId="33" fillId="36" borderId="19" xfId="0" applyFont="1" applyFill="1" applyBorder="1" applyAlignment="1">
      <alignment horizontal="center" vertical="center"/>
    </xf>
    <xf numFmtId="0" fontId="26" fillId="36" borderId="23" xfId="0" applyFont="1" applyFill="1" applyBorder="1" applyAlignment="1">
      <alignment horizontal="center"/>
    </xf>
    <xf numFmtId="0" fontId="26" fillId="36" borderId="13" xfId="0" applyFont="1" applyFill="1" applyBorder="1" applyAlignment="1">
      <alignment horizontal="center"/>
    </xf>
    <xf numFmtId="0" fontId="26" fillId="36" borderId="19" xfId="0" applyFont="1" applyFill="1" applyBorder="1" applyAlignment="1">
      <alignment horizontal="center"/>
    </xf>
    <xf numFmtId="0" fontId="24" fillId="33" borderId="18" xfId="0" applyFont="1" applyFill="1" applyBorder="1" applyAlignment="1">
      <alignment horizontal="center" wrapText="1"/>
    </xf>
    <xf numFmtId="0" fontId="24" fillId="33" borderId="16" xfId="0" applyFont="1" applyFill="1" applyBorder="1" applyAlignment="1">
      <alignment horizontal="center" wrapText="1"/>
    </xf>
    <xf numFmtId="0" fontId="26" fillId="36" borderId="17" xfId="0" applyFont="1" applyFill="1" applyBorder="1" applyAlignment="1">
      <alignment horizontal="center"/>
    </xf>
    <xf numFmtId="0" fontId="24" fillId="0" borderId="18" xfId="0" applyFont="1" applyBorder="1" applyAlignment="1">
      <alignment horizontal="center" wrapText="1"/>
    </xf>
    <xf numFmtId="0" fontId="24" fillId="0" borderId="16" xfId="0" applyFont="1" applyBorder="1" applyAlignment="1">
      <alignment horizontal="center" wrapText="1"/>
    </xf>
    <xf numFmtId="0" fontId="24" fillId="0" borderId="31" xfId="0" applyFont="1" applyBorder="1" applyAlignment="1">
      <alignment wrapText="1"/>
    </xf>
    <xf numFmtId="0" fontId="24" fillId="0" borderId="32" xfId="0" applyFont="1" applyBorder="1" applyAlignment="1">
      <alignment wrapText="1"/>
    </xf>
    <xf numFmtId="0" fontId="24" fillId="0" borderId="29" xfId="0" applyFont="1" applyBorder="1" applyAlignment="1">
      <alignment wrapText="1"/>
    </xf>
    <xf numFmtId="0" fontId="40" fillId="33" borderId="0" xfId="0" applyFont="1" applyFill="1" applyAlignment="1">
      <alignment horizontal="left" wrapText="1"/>
    </xf>
    <xf numFmtId="0" fontId="18" fillId="0" borderId="17" xfId="56" applyFont="1" applyFill="1" applyBorder="1" applyAlignment="1">
      <alignment horizontal="left" vertical="center" wrapText="1"/>
    </xf>
    <xf numFmtId="0" fontId="18" fillId="0" borderId="17" xfId="56" applyFont="1" applyFill="1" applyBorder="1" applyAlignment="1" applyProtection="1">
      <alignment horizontal="left" vertical="center" wrapText="1"/>
    </xf>
    <xf numFmtId="0" fontId="40" fillId="34" borderId="0" xfId="0" applyFont="1" applyFill="1" applyAlignment="1">
      <alignment vertical="center"/>
    </xf>
    <xf numFmtId="0" fontId="40" fillId="34" borderId="0" xfId="0" applyFont="1" applyFill="1" applyAlignment="1"/>
    <xf numFmtId="0" fontId="40" fillId="0" borderId="0" xfId="56" applyFont="1" applyFill="1" applyBorder="1" applyAlignment="1" applyProtection="1"/>
  </cellXfs>
  <cellStyles count="78">
    <cellStyle name="20 % - Accent1" xfId="18" builtinId="30" customBuiltin="1"/>
    <cellStyle name="20 % - Accent2" xfId="22" builtinId="34" customBuiltin="1"/>
    <cellStyle name="20 % - Accent3" xfId="26" builtinId="38" customBuiltin="1"/>
    <cellStyle name="20 % - Accent4" xfId="30" builtinId="42" customBuiltin="1"/>
    <cellStyle name="20 % - Accent5" xfId="34" builtinId="46" customBuiltin="1"/>
    <cellStyle name="20 % - Accent6" xfId="38" builtinId="50" customBuiltin="1"/>
    <cellStyle name="40 % - Accent1" xfId="19" builtinId="31" customBuiltin="1"/>
    <cellStyle name="40 % - Accent2" xfId="23" builtinId="35" customBuiltin="1"/>
    <cellStyle name="40 % - Accent3" xfId="27" builtinId="39" customBuiltin="1"/>
    <cellStyle name="40 % - Accent4" xfId="31" builtinId="43" customBuiltin="1"/>
    <cellStyle name="40 % - Accent5" xfId="35" builtinId="47" customBuiltin="1"/>
    <cellStyle name="40 % - Accent6" xfId="39" builtinId="51" customBuiltin="1"/>
    <cellStyle name="60 % - Accent1" xfId="20" builtinId="32" customBuiltin="1"/>
    <cellStyle name="60 % - Accent2" xfId="24" builtinId="36" customBuiltin="1"/>
    <cellStyle name="60 % - Accent3" xfId="28" builtinId="40" customBuiltin="1"/>
    <cellStyle name="60 % - Accent4" xfId="32" builtinId="44" customBuiltin="1"/>
    <cellStyle name="60 % - Accent5" xfId="36" builtinId="48" customBuiltin="1"/>
    <cellStyle name="60 %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Avertissement" xfId="13" builtinId="11" customBuiltin="1"/>
    <cellStyle name="Calcul" xfId="10" builtinId="22" customBuiltin="1"/>
    <cellStyle name="Cellule liée" xfId="11" builtinId="24" customBuiltin="1"/>
    <cellStyle name="Commentaire 2" xfId="42" xr:uid="{00000000-0005-0000-0000-00001C000000}"/>
    <cellStyle name="Entrée" xfId="8" builtinId="20" customBuiltin="1"/>
    <cellStyle name="Euro" xfId="63" xr:uid="{00000000-0005-0000-0000-00001E000000}"/>
    <cellStyle name="Euro 2" xfId="64" xr:uid="{00000000-0005-0000-0000-00001F000000}"/>
    <cellStyle name="Euro 2 2" xfId="73" xr:uid="{00000000-0005-0000-0000-000020000000}"/>
    <cellStyle name="Euro 3" xfId="72" xr:uid="{00000000-0005-0000-0000-000021000000}"/>
    <cellStyle name="Insatisfaisant" xfId="6" builtinId="27" customBuiltin="1"/>
    <cellStyle name="Lien hypertexte" xfId="51" builtinId="8"/>
    <cellStyle name="Lien hypertexte 2" xfId="52" xr:uid="{00000000-0005-0000-0000-000024000000}"/>
    <cellStyle name="Lien hypertexte 3" xfId="61" xr:uid="{00000000-0005-0000-0000-000025000000}"/>
    <cellStyle name="Milliers 2" xfId="50" xr:uid="{00000000-0005-0000-0000-000026000000}"/>
    <cellStyle name="Milliers 2 2" xfId="59" xr:uid="{00000000-0005-0000-0000-000027000000}"/>
    <cellStyle name="Milliers 2 3" xfId="66" xr:uid="{00000000-0005-0000-0000-000028000000}"/>
    <cellStyle name="Milliers 2 4" xfId="75" xr:uid="{00000000-0005-0000-0000-000029000000}"/>
    <cellStyle name="Milliers 3" xfId="49" xr:uid="{00000000-0005-0000-0000-00002A000000}"/>
    <cellStyle name="Milliers 3 2" xfId="60" xr:uid="{00000000-0005-0000-0000-00002B000000}"/>
    <cellStyle name="Milliers 3 3" xfId="67" xr:uid="{00000000-0005-0000-0000-00002C000000}"/>
    <cellStyle name="Milliers 3 4" xfId="76" xr:uid="{00000000-0005-0000-0000-00002D000000}"/>
    <cellStyle name="Milliers 4" xfId="54" xr:uid="{00000000-0005-0000-0000-00002E000000}"/>
    <cellStyle name="Milliers 5" xfId="55" xr:uid="{00000000-0005-0000-0000-00002F000000}"/>
    <cellStyle name="Milliers 6" xfId="65" xr:uid="{00000000-0005-0000-0000-000030000000}"/>
    <cellStyle name="Milliers 7" xfId="74" xr:uid="{00000000-0005-0000-0000-000031000000}"/>
    <cellStyle name="Neutre" xfId="7" builtinId="28" customBuiltin="1"/>
    <cellStyle name="Normal" xfId="0" builtinId="0"/>
    <cellStyle name="Normal 2" xfId="43" xr:uid="{00000000-0005-0000-0000-000034000000}"/>
    <cellStyle name="Normal 2 2" xfId="56" xr:uid="{00000000-0005-0000-0000-000035000000}"/>
    <cellStyle name="Normal 3" xfId="44" xr:uid="{00000000-0005-0000-0000-000036000000}"/>
    <cellStyle name="Normal 3 2" xfId="58" xr:uid="{00000000-0005-0000-0000-000037000000}"/>
    <cellStyle name="Normal 4" xfId="41" xr:uid="{00000000-0005-0000-0000-000038000000}"/>
    <cellStyle name="Normal 5" xfId="53" xr:uid="{00000000-0005-0000-0000-000039000000}"/>
    <cellStyle name="Normal 5 2" xfId="68" xr:uid="{00000000-0005-0000-0000-00003A000000}"/>
    <cellStyle name="Normal 6" xfId="71" xr:uid="{00000000-0005-0000-0000-00003B000000}"/>
    <cellStyle name="Normal 7 2" xfId="69" xr:uid="{00000000-0005-0000-0000-00003C000000}"/>
    <cellStyle name="Normal_IND 1.4.1-1.4.4" xfId="70" xr:uid="{00000000-0005-0000-0000-00003D000000}"/>
    <cellStyle name="Note" xfId="14" builtinId="10" customBuiltin="1"/>
    <cellStyle name="Pourcentage 2" xfId="46" xr:uid="{00000000-0005-0000-0000-00003E000000}"/>
    <cellStyle name="Pourcentage 2 2" xfId="57" xr:uid="{00000000-0005-0000-0000-00003F000000}"/>
    <cellStyle name="Pourcentage 2 3" xfId="62" xr:uid="{00000000-0005-0000-0000-000040000000}"/>
    <cellStyle name="Pourcentage 3" xfId="45" xr:uid="{00000000-0005-0000-0000-000041000000}"/>
    <cellStyle name="Pourcentage 4" xfId="77" xr:uid="{00000000-0005-0000-0000-000042000000}"/>
    <cellStyle name="Satisfaisant" xfId="5" builtinId="26" customBuiltin="1"/>
    <cellStyle name="Sortie" xfId="9" builtinId="21" customBuiltin="1"/>
    <cellStyle name="Texte explicatif" xfId="15" builtinId="53" customBuiltin="1"/>
    <cellStyle name="Titre 2" xfId="47" xr:uid="{00000000-0005-0000-0000-000046000000}"/>
    <cellStyle name="Titre 3" xfId="48" xr:uid="{00000000-0005-0000-0000-000047000000}"/>
    <cellStyle name="Titre 1" xfId="1" builtinId="16" customBuiltin="1"/>
    <cellStyle name="Titre 2" xfId="2" builtinId="17" customBuiltin="1"/>
    <cellStyle name="Titre 3" xfId="3" builtinId="18" customBuiltin="1"/>
    <cellStyle name="Titre 4" xfId="4" builtinId="19" customBuiltin="1"/>
    <cellStyle name="Total" xfId="16" builtinId="25" customBuiltin="1"/>
    <cellStyle name="Vérification" xfId="12" builtinId="23"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showGridLines="0" tabSelected="1" zoomScale="85" zoomScaleNormal="85" workbookViewId="0"/>
  </sheetViews>
  <sheetFormatPr baseColWidth="10" defaultColWidth="11.44140625" defaultRowHeight="13.8" x14ac:dyDescent="0.25"/>
  <cols>
    <col min="1" max="1" width="138.77734375" style="68" customWidth="1"/>
    <col min="2" max="2" width="11.44140625" style="68"/>
    <col min="3" max="3" width="18.109375" style="68" customWidth="1"/>
    <col min="4" max="16384" width="11.44140625" style="68"/>
  </cols>
  <sheetData>
    <row r="1" spans="1:3" x14ac:dyDescent="0.25">
      <c r="A1" s="200" t="s">
        <v>72</v>
      </c>
    </row>
    <row r="3" spans="1:3" ht="60.75" customHeight="1" x14ac:dyDescent="0.25">
      <c r="A3" s="20"/>
      <c r="B3" s="3" t="s">
        <v>35</v>
      </c>
      <c r="C3" s="23" t="s">
        <v>37</v>
      </c>
    </row>
    <row r="4" spans="1:3" ht="29.25" customHeight="1" x14ac:dyDescent="0.25">
      <c r="A4" s="21" t="s">
        <v>32</v>
      </c>
      <c r="B4" s="22"/>
      <c r="C4" s="22"/>
    </row>
    <row r="5" spans="1:3" x14ac:dyDescent="0.25">
      <c r="A5" s="196" t="str">
        <f>'Figure 1'!A1</f>
        <v>Figure 1 : Nombre de jours de congés payés et jours de RTT pris par type d'employeur</v>
      </c>
      <c r="B5" s="19">
        <v>1</v>
      </c>
      <c r="C5" s="19"/>
    </row>
    <row r="6" spans="1:3" ht="24.75" customHeight="1" x14ac:dyDescent="0.25">
      <c r="A6" s="21" t="s">
        <v>34</v>
      </c>
      <c r="B6" s="22"/>
      <c r="C6" s="22"/>
    </row>
    <row r="7" spans="1:3" x14ac:dyDescent="0.25">
      <c r="A7" s="197" t="str">
        <f>'Figure 2'!A1</f>
        <v xml:space="preserve">Figure 2 : Nombre d'agents en congé parental au 31 décembre dans la fonction publique territoriale </v>
      </c>
      <c r="B7" s="19">
        <v>2</v>
      </c>
      <c r="C7" s="19" t="s">
        <v>38</v>
      </c>
    </row>
    <row r="8" spans="1:3" ht="25.5" customHeight="1" x14ac:dyDescent="0.25">
      <c r="A8" s="21" t="s">
        <v>33</v>
      </c>
      <c r="B8" s="22"/>
      <c r="C8" s="22"/>
    </row>
    <row r="9" spans="1:3" x14ac:dyDescent="0.25">
      <c r="A9" s="198" t="str">
        <f>'Figure 3'!A1</f>
        <v>Figure 3 : Part des agents publics ayant eu au moins un arrêt maladie dans l’année et durée cumulée d'absence en 2024, selon le sexe, l'âge et l'emploi occupé</v>
      </c>
      <c r="B9" s="19">
        <v>3</v>
      </c>
      <c r="C9" s="19" t="s">
        <v>38</v>
      </c>
    </row>
    <row r="10" spans="1:3" x14ac:dyDescent="0.25">
      <c r="A10" s="198" t="str">
        <f>'Figure 4'!A1</f>
        <v>Figure 4 : Nombre moyen de jours d'arrêt maladie par agent dans la fonction publique territoriale, selon le motif</v>
      </c>
      <c r="B10" s="19">
        <v>4</v>
      </c>
      <c r="C10" s="19"/>
    </row>
    <row r="11" spans="1:3" x14ac:dyDescent="0.25">
      <c r="A11" s="196" t="str">
        <f>'Figure 5'!A1</f>
        <v xml:space="preserve">Figure 5 : Absences pour raison médicale dans la fonction publique hospitalière, selon le motif </v>
      </c>
      <c r="B11" s="19">
        <v>5</v>
      </c>
      <c r="C11" s="19"/>
    </row>
    <row r="12" spans="1:3" ht="24.75" customHeight="1" x14ac:dyDescent="0.25">
      <c r="A12" s="21" t="s">
        <v>71</v>
      </c>
      <c r="B12" s="22"/>
      <c r="C12" s="22"/>
    </row>
    <row r="13" spans="1:3" x14ac:dyDescent="0.25">
      <c r="A13" s="198" t="str">
        <f>'Figure 6'!A1</f>
        <v>Figure 6 : Répartition des agents de la fonction publique selon leur santé perçue, par versant, de 2014 à 2025</v>
      </c>
      <c r="B13" s="19">
        <v>6</v>
      </c>
      <c r="C13" s="19"/>
    </row>
    <row r="14" spans="1:3" x14ac:dyDescent="0.25">
      <c r="A14" s="198" t="str">
        <f>'Figure 7'!A1</f>
        <v>Figure 7 : Part des agents de la fonction publique qui indiquent souffrir de maladie chronique ou durable, par versant, de 2014 à 2025</v>
      </c>
      <c r="B14" s="19">
        <v>7</v>
      </c>
      <c r="C14" s="19"/>
    </row>
    <row r="15" spans="1:3" x14ac:dyDescent="0.25">
      <c r="A15" s="196" t="str">
        <f>'Figure 8'!A1</f>
        <v>Figure 8 : Part des agents de la fonction publique qui indiquent  être limités dans les activités de la vie quotidienne pour raison de santé, par versant, de 2014 à 2025</v>
      </c>
      <c r="B15" s="19">
        <v>8</v>
      </c>
      <c r="C15" s="19"/>
    </row>
    <row r="18" spans="1:1" x14ac:dyDescent="0.25">
      <c r="A18" s="199"/>
    </row>
  </sheetData>
  <hyperlinks>
    <hyperlink ref="A5" location="'Figure 1'!A1" display="'Figure 1'!A1" xr:uid="{8F5746FF-3918-4FFA-8612-570E496017FC}"/>
    <hyperlink ref="A7" location="'Figure 2'!A1" display="'Figure 2'!A1" xr:uid="{44F1E5F5-3B1D-4493-A37E-29AC82552FB0}"/>
    <hyperlink ref="A9" location="'Figure 3'!A1" display="'Figure 3'!A1" xr:uid="{20C19DEB-E497-4371-8D1F-6A256F88C4CB}"/>
    <hyperlink ref="A10" location="'Figure 4'!A1" display="'Figure 4'!A1" xr:uid="{852FC44B-A066-4952-B290-5F5131026C54}"/>
    <hyperlink ref="A11" location="'Figure 5'!A1" display="'Figure 5'!A1" xr:uid="{1276B7C5-6ED0-429D-818B-1B8AAB51687B}"/>
    <hyperlink ref="A13" location="'Figure 3'!A1" display="'Figure 3'!A1" xr:uid="{6FE5F575-D991-4162-8462-EE12CD3809E1}"/>
    <hyperlink ref="A14" location="'Figure 4'!A1" display="'Figure 4'!A1" xr:uid="{B567E504-BF92-456C-A93F-6B39E4C0DE03}"/>
    <hyperlink ref="A15" location="'Figure 5'!A1" display="'Figure 5'!A1" xr:uid="{0A7C6C70-87FB-4185-91E5-9F9E80B3521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
  <sheetViews>
    <sheetView showGridLines="0" zoomScaleNormal="100" workbookViewId="0"/>
  </sheetViews>
  <sheetFormatPr baseColWidth="10" defaultColWidth="11.44140625" defaultRowHeight="13.8" x14ac:dyDescent="0.25"/>
  <cols>
    <col min="1" max="1" width="22.88671875" style="68" customWidth="1"/>
    <col min="2" max="13" width="8.33203125" style="68" customWidth="1"/>
    <col min="14" max="16384" width="11.44140625" style="68"/>
  </cols>
  <sheetData>
    <row r="1" spans="1:13" ht="15" customHeight="1" x14ac:dyDescent="0.25">
      <c r="A1" s="26" t="s">
        <v>39</v>
      </c>
      <c r="B1" s="26"/>
      <c r="C1" s="26"/>
      <c r="D1" s="26"/>
      <c r="E1" s="26"/>
      <c r="F1" s="26"/>
      <c r="G1" s="26"/>
      <c r="H1" s="26"/>
      <c r="I1" s="67"/>
    </row>
    <row r="2" spans="1:13" x14ac:dyDescent="0.25">
      <c r="A2" s="1"/>
      <c r="B2" s="1"/>
      <c r="C2" s="1"/>
      <c r="D2" s="1"/>
      <c r="E2" s="1"/>
      <c r="F2" s="1"/>
      <c r="G2" s="1"/>
      <c r="H2" s="1"/>
      <c r="I2" s="1"/>
    </row>
    <row r="3" spans="1:13" x14ac:dyDescent="0.25">
      <c r="A3" s="69"/>
      <c r="B3" s="70">
        <v>2014</v>
      </c>
      <c r="C3" s="70">
        <v>2015</v>
      </c>
      <c r="D3" s="70">
        <v>2016</v>
      </c>
      <c r="E3" s="70">
        <v>2017</v>
      </c>
      <c r="F3" s="70">
        <v>2018</v>
      </c>
      <c r="G3" s="70">
        <v>2019</v>
      </c>
      <c r="H3" s="71">
        <v>2020</v>
      </c>
      <c r="I3" s="72">
        <v>2021</v>
      </c>
      <c r="J3" s="72">
        <v>2022</v>
      </c>
      <c r="K3" s="72">
        <v>2023</v>
      </c>
      <c r="L3" s="72">
        <v>2024</v>
      </c>
      <c r="M3" s="72">
        <v>2025</v>
      </c>
    </row>
    <row r="4" spans="1:13" ht="30.6" customHeight="1" x14ac:dyDescent="0.25">
      <c r="A4" s="73" t="s">
        <v>40</v>
      </c>
      <c r="B4" s="74">
        <v>35.4</v>
      </c>
      <c r="C4" s="74">
        <v>39.200000000000003</v>
      </c>
      <c r="D4" s="74">
        <v>36.200000000000003</v>
      </c>
      <c r="E4" s="74">
        <v>34.9</v>
      </c>
      <c r="F4" s="74">
        <v>36.299999999999997</v>
      </c>
      <c r="G4" s="75">
        <v>35.1</v>
      </c>
      <c r="H4" s="76">
        <v>31.3</v>
      </c>
      <c r="I4" s="77">
        <v>34.119999999999997</v>
      </c>
      <c r="J4" s="77">
        <v>33.06</v>
      </c>
      <c r="K4" s="77">
        <v>31.51</v>
      </c>
      <c r="L4" s="77">
        <v>32.700000000000003</v>
      </c>
      <c r="M4" s="77">
        <v>33.96</v>
      </c>
    </row>
    <row r="5" spans="1:13" ht="16.2" customHeight="1" x14ac:dyDescent="0.25">
      <c r="A5" s="78" t="s">
        <v>36</v>
      </c>
      <c r="B5" s="79">
        <v>39.9</v>
      </c>
      <c r="C5" s="79">
        <v>43.1</v>
      </c>
      <c r="D5" s="79">
        <v>38.200000000000003</v>
      </c>
      <c r="E5" s="79">
        <v>36.799999999999997</v>
      </c>
      <c r="F5" s="79">
        <v>40.5</v>
      </c>
      <c r="G5" s="80">
        <v>37.1</v>
      </c>
      <c r="H5" s="81">
        <v>35.5</v>
      </c>
      <c r="I5" s="82">
        <v>40.06</v>
      </c>
      <c r="J5" s="83">
        <v>37.76</v>
      </c>
      <c r="K5" s="83">
        <v>36.4</v>
      </c>
      <c r="L5" s="83">
        <v>36.729999999999997</v>
      </c>
      <c r="M5" s="83">
        <v>40.08</v>
      </c>
    </row>
    <row r="6" spans="1:13" ht="16.2" customHeight="1" x14ac:dyDescent="0.25">
      <c r="A6" s="84" t="s">
        <v>2</v>
      </c>
      <c r="B6" s="79">
        <v>34.700000000000003</v>
      </c>
      <c r="C6" s="79">
        <v>38.5</v>
      </c>
      <c r="D6" s="79">
        <v>36.799999999999997</v>
      </c>
      <c r="E6" s="79">
        <v>35.200000000000003</v>
      </c>
      <c r="F6" s="79">
        <v>35.1</v>
      </c>
      <c r="G6" s="80">
        <v>35</v>
      </c>
      <c r="H6" s="81">
        <v>30.4</v>
      </c>
      <c r="I6" s="82">
        <v>31.78</v>
      </c>
      <c r="J6" s="83">
        <v>32.24</v>
      </c>
      <c r="K6" s="83">
        <v>30.31</v>
      </c>
      <c r="L6" s="83">
        <v>31.89</v>
      </c>
      <c r="M6" s="83">
        <v>32.71</v>
      </c>
    </row>
    <row r="7" spans="1:13" ht="16.2" customHeight="1" x14ac:dyDescent="0.25">
      <c r="A7" s="85" t="s">
        <v>3</v>
      </c>
      <c r="B7" s="79">
        <v>30.9</v>
      </c>
      <c r="C7" s="79">
        <v>34.9</v>
      </c>
      <c r="D7" s="79">
        <v>32.4</v>
      </c>
      <c r="E7" s="79">
        <v>32</v>
      </c>
      <c r="F7" s="79">
        <v>32.9</v>
      </c>
      <c r="G7" s="80">
        <v>32.799999999999997</v>
      </c>
      <c r="H7" s="81">
        <v>27.2</v>
      </c>
      <c r="I7" s="82">
        <v>29.9</v>
      </c>
      <c r="J7" s="83">
        <v>28.26</v>
      </c>
      <c r="K7" s="83">
        <v>27.1</v>
      </c>
      <c r="L7" s="83">
        <v>28.43</v>
      </c>
      <c r="M7" s="83">
        <v>26.78</v>
      </c>
    </row>
    <row r="8" spans="1:13" ht="16.2" customHeight="1" x14ac:dyDescent="0.25">
      <c r="A8" s="86" t="s">
        <v>44</v>
      </c>
      <c r="B8" s="87">
        <v>28.1</v>
      </c>
      <c r="C8" s="87">
        <v>30.1</v>
      </c>
      <c r="D8" s="87">
        <v>27.8</v>
      </c>
      <c r="E8" s="87">
        <v>27.5</v>
      </c>
      <c r="F8" s="87">
        <v>28.3</v>
      </c>
      <c r="G8" s="88">
        <v>27.9</v>
      </c>
      <c r="H8" s="89">
        <v>26.8</v>
      </c>
      <c r="I8" s="90">
        <v>26.44</v>
      </c>
      <c r="J8" s="91">
        <v>25.33</v>
      </c>
      <c r="K8" s="91">
        <v>25.23</v>
      </c>
      <c r="L8" s="91">
        <v>25.66</v>
      </c>
      <c r="M8" s="91">
        <v>25.9</v>
      </c>
    </row>
    <row r="9" spans="1:13" s="67" customFormat="1" ht="18" customHeight="1" x14ac:dyDescent="0.25">
      <c r="A9" s="202" t="s">
        <v>109</v>
      </c>
      <c r="B9" s="202"/>
      <c r="C9" s="202"/>
      <c r="D9" s="202"/>
      <c r="E9" s="202"/>
      <c r="F9" s="202"/>
      <c r="G9" s="202"/>
      <c r="H9" s="202"/>
      <c r="I9" s="202"/>
      <c r="J9" s="92"/>
      <c r="K9" s="92"/>
      <c r="L9" s="92"/>
      <c r="M9" s="92"/>
    </row>
    <row r="10" spans="1:13" s="67" customFormat="1" ht="29.4" customHeight="1" x14ac:dyDescent="0.25">
      <c r="A10" s="203" t="s">
        <v>47</v>
      </c>
      <c r="B10" s="203"/>
      <c r="C10" s="203"/>
      <c r="D10" s="203"/>
      <c r="E10" s="203"/>
      <c r="F10" s="203"/>
      <c r="G10" s="203"/>
      <c r="H10" s="203"/>
      <c r="I10" s="203"/>
      <c r="J10" s="203"/>
      <c r="K10" s="203"/>
      <c r="L10" s="203"/>
    </row>
    <row r="11" spans="1:13" s="67" customFormat="1" ht="100.2" customHeight="1" x14ac:dyDescent="0.25">
      <c r="A11" s="239" t="s">
        <v>106</v>
      </c>
      <c r="B11" s="239"/>
      <c r="C11" s="239"/>
      <c r="D11" s="239"/>
      <c r="E11" s="239"/>
      <c r="F11" s="239"/>
      <c r="G11" s="239"/>
      <c r="H11" s="239"/>
      <c r="I11" s="239"/>
      <c r="J11" s="239"/>
      <c r="K11" s="239"/>
      <c r="L11" s="239"/>
      <c r="M11" s="239"/>
    </row>
    <row r="12" spans="1:13" s="67" customFormat="1" ht="19.8" customHeight="1" x14ac:dyDescent="0.25">
      <c r="A12" s="93" t="s">
        <v>95</v>
      </c>
      <c r="B12" s="93"/>
      <c r="C12" s="93"/>
      <c r="D12" s="93"/>
      <c r="E12" s="93"/>
      <c r="F12" s="93"/>
      <c r="G12" s="93"/>
      <c r="H12" s="93"/>
      <c r="I12" s="93"/>
      <c r="J12" s="93"/>
      <c r="K12" s="93"/>
      <c r="L12" s="93"/>
    </row>
    <row r="13" spans="1:13" x14ac:dyDescent="0.25">
      <c r="A13" s="201"/>
      <c r="B13" s="201"/>
      <c r="C13" s="201"/>
      <c r="D13" s="201"/>
      <c r="E13" s="201"/>
      <c r="F13" s="201"/>
      <c r="G13" s="201"/>
      <c r="H13" s="201"/>
      <c r="I13" s="201"/>
    </row>
  </sheetData>
  <mergeCells count="4">
    <mergeCell ref="A13:I13"/>
    <mergeCell ref="A9:I9"/>
    <mergeCell ref="A10:L10"/>
    <mergeCell ref="A11:M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showGridLines="0" workbookViewId="0"/>
  </sheetViews>
  <sheetFormatPr baseColWidth="10" defaultColWidth="11.44140625" defaultRowHeight="13.8" x14ac:dyDescent="0.25"/>
  <cols>
    <col min="1" max="1" width="34.44140625" style="68" customWidth="1"/>
    <col min="2" max="6" width="12" style="68" customWidth="1"/>
    <col min="7" max="16384" width="11.44140625" style="68"/>
  </cols>
  <sheetData>
    <row r="1" spans="1:8" x14ac:dyDescent="0.25">
      <c r="A1" s="24" t="s">
        <v>45</v>
      </c>
      <c r="B1" s="24"/>
      <c r="C1" s="24"/>
      <c r="D1" s="24"/>
      <c r="E1" s="24"/>
      <c r="F1" s="189"/>
    </row>
    <row r="2" spans="1:8" x14ac:dyDescent="0.25">
      <c r="A2" s="7"/>
      <c r="B2" s="6"/>
      <c r="C2" s="6"/>
      <c r="D2" s="6"/>
      <c r="E2" s="5"/>
      <c r="F2" s="5"/>
    </row>
    <row r="3" spans="1:8" ht="18" customHeight="1" x14ac:dyDescent="0.25">
      <c r="A3" s="190"/>
      <c r="B3" s="191">
        <v>2013</v>
      </c>
      <c r="C3" s="191">
        <v>2015</v>
      </c>
      <c r="D3" s="191">
        <v>2017</v>
      </c>
      <c r="E3" s="191">
        <v>2019</v>
      </c>
      <c r="F3" s="191">
        <v>2021</v>
      </c>
      <c r="G3" s="191">
        <v>2022</v>
      </c>
      <c r="H3" s="191">
        <v>2023</v>
      </c>
    </row>
    <row r="4" spans="1:8" ht="26.4" x14ac:dyDescent="0.25">
      <c r="A4" s="241" t="s">
        <v>42</v>
      </c>
      <c r="B4" s="192">
        <v>8100</v>
      </c>
      <c r="C4" s="192">
        <v>7600</v>
      </c>
      <c r="D4" s="192">
        <v>5400</v>
      </c>
      <c r="E4" s="192">
        <v>5000</v>
      </c>
      <c r="F4" s="192">
        <v>4100</v>
      </c>
      <c r="G4" s="192">
        <v>4200</v>
      </c>
      <c r="H4" s="192">
        <v>3200</v>
      </c>
    </row>
    <row r="5" spans="1:8" ht="21.6" customHeight="1" x14ac:dyDescent="0.25">
      <c r="A5" s="240" t="s">
        <v>8</v>
      </c>
      <c r="B5" s="193">
        <v>96.2</v>
      </c>
      <c r="C5" s="193">
        <v>96.8</v>
      </c>
      <c r="D5" s="193">
        <v>95.9</v>
      </c>
      <c r="E5" s="193">
        <v>96.4</v>
      </c>
      <c r="F5" s="193">
        <v>95</v>
      </c>
      <c r="G5" s="193">
        <v>95</v>
      </c>
      <c r="H5" s="193">
        <v>96</v>
      </c>
    </row>
    <row r="6" spans="1:8" s="67" customFormat="1" ht="18" customHeight="1" x14ac:dyDescent="0.25">
      <c r="A6" s="194" t="s">
        <v>41</v>
      </c>
      <c r="B6" s="194"/>
      <c r="C6" s="194"/>
      <c r="D6" s="194"/>
      <c r="E6" s="195"/>
      <c r="F6" s="92"/>
    </row>
    <row r="7" spans="1:8" s="67" customFormat="1" ht="16.2" customHeight="1" x14ac:dyDescent="0.25">
      <c r="A7" s="244" t="s">
        <v>49</v>
      </c>
      <c r="B7" s="244"/>
      <c r="C7" s="244"/>
      <c r="D7" s="244"/>
      <c r="E7" s="244"/>
      <c r="F7" s="244"/>
    </row>
    <row r="8" spans="1:8" s="67" customFormat="1" ht="16.8" customHeight="1" x14ac:dyDescent="0.25">
      <c r="A8" s="204" t="s">
        <v>48</v>
      </c>
      <c r="B8" s="204"/>
      <c r="C8" s="204"/>
      <c r="D8" s="204"/>
      <c r="E8" s="204"/>
      <c r="F8" s="204"/>
    </row>
    <row r="9" spans="1:8" x14ac:dyDescent="0.25">
      <c r="A9" s="28"/>
      <c r="B9" s="5"/>
      <c r="C9" s="5"/>
      <c r="D9" s="5"/>
      <c r="E9" s="5"/>
      <c r="F9" s="189"/>
    </row>
    <row r="10" spans="1:8" x14ac:dyDescent="0.25">
      <c r="A10" s="189"/>
      <c r="B10" s="189"/>
      <c r="C10" s="189"/>
      <c r="D10" s="189"/>
      <c r="E10" s="189"/>
      <c r="F10" s="189"/>
    </row>
    <row r="11" spans="1:8" x14ac:dyDescent="0.25">
      <c r="A11" s="189"/>
      <c r="B11" s="189"/>
      <c r="C11" s="189"/>
      <c r="D11" s="189"/>
      <c r="E11" s="189"/>
      <c r="F11" s="189"/>
    </row>
    <row r="12" spans="1:8" x14ac:dyDescent="0.25">
      <c r="A12" s="189"/>
      <c r="B12" s="189"/>
      <c r="C12" s="189"/>
      <c r="D12" s="189"/>
      <c r="E12" s="189"/>
      <c r="F12" s="189"/>
    </row>
  </sheetData>
  <mergeCells count="1">
    <mergeCell ref="A8:F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5"/>
  <sheetViews>
    <sheetView showGridLines="0" zoomScale="85" zoomScaleNormal="85" workbookViewId="0"/>
  </sheetViews>
  <sheetFormatPr baseColWidth="10" defaultColWidth="11.44140625" defaultRowHeight="13.2" x14ac:dyDescent="0.25"/>
  <cols>
    <col min="1" max="1" width="18" style="1" customWidth="1"/>
    <col min="2" max="2" width="79.109375" style="4" bestFit="1" customWidth="1"/>
    <col min="3" max="3" width="17.77734375" style="1" customWidth="1"/>
    <col min="4" max="7" width="14" style="1" customWidth="1"/>
    <col min="8" max="8" width="6" style="1" customWidth="1"/>
    <col min="9" max="16384" width="11.44140625" style="1"/>
  </cols>
  <sheetData>
    <row r="1" spans="1:16" s="30" customFormat="1" x14ac:dyDescent="0.25">
      <c r="A1" s="29" t="s">
        <v>73</v>
      </c>
      <c r="B1" s="29"/>
      <c r="C1" s="29"/>
      <c r="D1" s="29"/>
      <c r="E1" s="29"/>
      <c r="F1" s="29"/>
      <c r="G1" s="29"/>
    </row>
    <row r="2" spans="1:16" x14ac:dyDescent="0.25">
      <c r="A2" s="2" t="s">
        <v>7</v>
      </c>
    </row>
    <row r="4" spans="1:16" s="27" customFormat="1" ht="33.6" customHeight="1" x14ac:dyDescent="0.3">
      <c r="A4" s="153"/>
      <c r="B4" s="154"/>
      <c r="C4" s="210" t="s">
        <v>107</v>
      </c>
      <c r="D4" s="206" t="s">
        <v>9</v>
      </c>
      <c r="E4" s="206"/>
      <c r="F4" s="206"/>
      <c r="G4" s="207"/>
    </row>
    <row r="5" spans="1:16" ht="26.4" x14ac:dyDescent="0.25">
      <c r="A5" s="155"/>
      <c r="B5" s="156"/>
      <c r="C5" s="211"/>
      <c r="D5" s="157" t="s">
        <v>10</v>
      </c>
      <c r="E5" s="128" t="s">
        <v>11</v>
      </c>
      <c r="F5" s="157" t="s">
        <v>12</v>
      </c>
      <c r="G5" s="128" t="s">
        <v>13</v>
      </c>
    </row>
    <row r="6" spans="1:16" ht="13.8" x14ac:dyDescent="0.25">
      <c r="A6" s="208" t="s">
        <v>4</v>
      </c>
      <c r="B6" s="158" t="s">
        <v>6</v>
      </c>
      <c r="C6" s="159">
        <v>31.66</v>
      </c>
      <c r="D6" s="160">
        <v>44.11</v>
      </c>
      <c r="E6" s="161">
        <v>19.55</v>
      </c>
      <c r="F6" s="160">
        <v>7.63</v>
      </c>
      <c r="G6" s="161">
        <v>28.7</v>
      </c>
      <c r="I6" s="162"/>
      <c r="J6" s="162"/>
      <c r="K6" s="162"/>
      <c r="L6" s="162"/>
      <c r="M6" s="53"/>
      <c r="N6" s="53"/>
      <c r="O6" s="53"/>
      <c r="P6" s="53"/>
    </row>
    <row r="7" spans="1:16" ht="13.8" x14ac:dyDescent="0.25">
      <c r="A7" s="209"/>
      <c r="B7" s="163" t="s">
        <v>5</v>
      </c>
      <c r="C7" s="164">
        <v>42.83</v>
      </c>
      <c r="D7" s="165">
        <v>44.86</v>
      </c>
      <c r="E7" s="166">
        <v>19.059999999999999</v>
      </c>
      <c r="F7" s="165">
        <v>7.98</v>
      </c>
      <c r="G7" s="166">
        <v>28.1</v>
      </c>
      <c r="I7" s="162"/>
      <c r="J7" s="162"/>
      <c r="K7" s="162"/>
      <c r="L7" s="162"/>
      <c r="M7" s="53"/>
      <c r="N7" s="53"/>
      <c r="O7" s="53"/>
      <c r="P7" s="53"/>
    </row>
    <row r="8" spans="1:16" ht="13.8" x14ac:dyDescent="0.25">
      <c r="A8" s="205" t="s">
        <v>105</v>
      </c>
      <c r="B8" s="167" t="s">
        <v>74</v>
      </c>
      <c r="C8" s="159">
        <v>33.33</v>
      </c>
      <c r="D8" s="160">
        <v>55.48</v>
      </c>
      <c r="E8" s="161">
        <v>14.73</v>
      </c>
      <c r="F8" s="160">
        <v>8.61</v>
      </c>
      <c r="G8" s="161">
        <v>21.19</v>
      </c>
      <c r="I8" s="162"/>
      <c r="J8" s="162"/>
      <c r="K8" s="162"/>
      <c r="L8" s="162"/>
      <c r="M8" s="53"/>
      <c r="N8" s="53"/>
      <c r="O8" s="53"/>
      <c r="P8" s="53"/>
    </row>
    <row r="9" spans="1:16" ht="13.8" x14ac:dyDescent="0.25">
      <c r="A9" s="205"/>
      <c r="B9" s="168" t="s">
        <v>75</v>
      </c>
      <c r="C9" s="169">
        <v>40.92</v>
      </c>
      <c r="D9" s="170">
        <v>46.41</v>
      </c>
      <c r="E9" s="171">
        <v>19.43</v>
      </c>
      <c r="F9" s="170">
        <v>6.74</v>
      </c>
      <c r="G9" s="171">
        <v>27.42</v>
      </c>
      <c r="I9" s="162"/>
      <c r="J9" s="162"/>
      <c r="K9" s="162"/>
      <c r="L9" s="162"/>
      <c r="M9" s="53"/>
      <c r="N9" s="53"/>
      <c r="O9" s="53"/>
      <c r="P9" s="53"/>
    </row>
    <row r="10" spans="1:16" ht="13.8" x14ac:dyDescent="0.25">
      <c r="A10" s="205"/>
      <c r="B10" s="172" t="s">
        <v>76</v>
      </c>
      <c r="C10" s="164">
        <v>38.119999999999997</v>
      </c>
      <c r="D10" s="165">
        <v>38.729999999999997</v>
      </c>
      <c r="E10" s="166">
        <v>20.41</v>
      </c>
      <c r="F10" s="165">
        <v>9.16</v>
      </c>
      <c r="G10" s="166">
        <v>31.7</v>
      </c>
      <c r="I10" s="55"/>
      <c r="J10" s="162"/>
      <c r="K10" s="162"/>
      <c r="L10" s="162"/>
      <c r="M10" s="53"/>
      <c r="N10" s="53"/>
      <c r="O10" s="53"/>
      <c r="P10" s="53"/>
    </row>
    <row r="11" spans="1:16" ht="13.8" x14ac:dyDescent="0.25">
      <c r="A11" s="205" t="s">
        <v>14</v>
      </c>
      <c r="B11" s="173" t="s">
        <v>15</v>
      </c>
      <c r="C11" s="159">
        <v>40.130000000000003</v>
      </c>
      <c r="D11" s="160">
        <v>42</v>
      </c>
      <c r="E11" s="161">
        <v>19.48</v>
      </c>
      <c r="F11" s="160">
        <v>8.32</v>
      </c>
      <c r="G11" s="161">
        <v>30.21</v>
      </c>
      <c r="I11" s="162"/>
      <c r="J11" s="162"/>
      <c r="K11" s="162"/>
      <c r="L11" s="162"/>
      <c r="M11" s="53"/>
      <c r="N11" s="53"/>
      <c r="O11" s="53"/>
      <c r="P11" s="53"/>
    </row>
    <row r="12" spans="1:16" ht="13.8" x14ac:dyDescent="0.25">
      <c r="A12" s="205"/>
      <c r="B12" s="163" t="s">
        <v>16</v>
      </c>
      <c r="C12" s="164">
        <v>36.049999999999997</v>
      </c>
      <c r="D12" s="165">
        <v>50.69</v>
      </c>
      <c r="E12" s="166">
        <v>18.7</v>
      </c>
      <c r="F12" s="165">
        <v>6.82</v>
      </c>
      <c r="G12" s="166">
        <v>23.79</v>
      </c>
      <c r="I12" s="162"/>
      <c r="J12" s="162"/>
      <c r="K12" s="162"/>
      <c r="L12" s="162"/>
      <c r="M12" s="53"/>
      <c r="N12" s="53"/>
      <c r="O12" s="53"/>
      <c r="P12" s="53"/>
    </row>
    <row r="13" spans="1:16" ht="13.8" x14ac:dyDescent="0.25">
      <c r="A13" s="205" t="s">
        <v>17</v>
      </c>
      <c r="B13" s="173" t="s">
        <v>18</v>
      </c>
      <c r="C13" s="159">
        <v>37.61</v>
      </c>
      <c r="D13" s="160">
        <v>44.76</v>
      </c>
      <c r="E13" s="161">
        <v>19.48</v>
      </c>
      <c r="F13" s="160">
        <v>8.08</v>
      </c>
      <c r="G13" s="161">
        <v>27.68</v>
      </c>
      <c r="I13" s="162"/>
      <c r="J13" s="162"/>
      <c r="K13" s="162"/>
      <c r="L13" s="162"/>
      <c r="M13" s="53"/>
      <c r="N13" s="53"/>
      <c r="O13" s="53"/>
      <c r="P13" s="53"/>
    </row>
    <row r="14" spans="1:16" ht="13.8" x14ac:dyDescent="0.25">
      <c r="A14" s="205"/>
      <c r="B14" s="163" t="s">
        <v>0</v>
      </c>
      <c r="C14" s="164">
        <v>43.83</v>
      </c>
      <c r="D14" s="165">
        <v>43.54</v>
      </c>
      <c r="E14" s="166">
        <v>18.55</v>
      </c>
      <c r="F14" s="165">
        <v>7.14</v>
      </c>
      <c r="G14" s="166">
        <v>30.77</v>
      </c>
      <c r="I14" s="162"/>
      <c r="J14" s="162"/>
      <c r="K14" s="162"/>
      <c r="L14" s="162"/>
      <c r="M14" s="53"/>
      <c r="N14" s="53"/>
      <c r="O14" s="53"/>
      <c r="P14" s="53"/>
    </row>
    <row r="15" spans="1:16" ht="13.8" x14ac:dyDescent="0.25">
      <c r="A15" s="205" t="s">
        <v>19</v>
      </c>
      <c r="B15" s="173" t="s">
        <v>1</v>
      </c>
      <c r="C15" s="159">
        <v>37.909999999999997</v>
      </c>
      <c r="D15" s="160">
        <v>50.16</v>
      </c>
      <c r="E15" s="161">
        <v>20.41</v>
      </c>
      <c r="F15" s="160">
        <v>7.75</v>
      </c>
      <c r="G15" s="161">
        <v>21.68</v>
      </c>
      <c r="I15" s="55"/>
      <c r="J15" s="162"/>
      <c r="K15" s="162"/>
      <c r="L15" s="162"/>
      <c r="M15" s="53"/>
      <c r="N15" s="53"/>
      <c r="O15" s="53"/>
      <c r="P15" s="53"/>
    </row>
    <row r="16" spans="1:16" ht="13.8" x14ac:dyDescent="0.25">
      <c r="A16" s="205"/>
      <c r="B16" s="174" t="s">
        <v>20</v>
      </c>
      <c r="C16" s="175">
        <v>40.36</v>
      </c>
      <c r="D16" s="176">
        <v>57.3</v>
      </c>
      <c r="E16" s="177">
        <v>17.72</v>
      </c>
      <c r="F16" s="176">
        <v>8.69</v>
      </c>
      <c r="G16" s="177">
        <v>16.29</v>
      </c>
      <c r="J16" s="162"/>
      <c r="K16" s="162"/>
      <c r="L16" s="162"/>
      <c r="M16" s="53"/>
      <c r="N16" s="53"/>
      <c r="O16" s="53"/>
      <c r="P16" s="53"/>
    </row>
    <row r="17" spans="1:16" ht="13.8" x14ac:dyDescent="0.25">
      <c r="A17" s="205"/>
      <c r="B17" s="174" t="s">
        <v>21</v>
      </c>
      <c r="C17" s="175">
        <v>36.26</v>
      </c>
      <c r="D17" s="176">
        <v>44.78</v>
      </c>
      <c r="E17" s="177">
        <v>22.43</v>
      </c>
      <c r="F17" s="176">
        <v>7.05</v>
      </c>
      <c r="G17" s="177">
        <v>25.74</v>
      </c>
      <c r="I17" s="55"/>
      <c r="J17" s="162"/>
      <c r="K17" s="162"/>
      <c r="L17" s="162"/>
      <c r="M17" s="53"/>
      <c r="N17" s="53"/>
      <c r="O17" s="53"/>
      <c r="P17" s="53"/>
    </row>
    <row r="18" spans="1:16" ht="13.8" x14ac:dyDescent="0.25">
      <c r="A18" s="205"/>
      <c r="B18" s="158" t="s">
        <v>2</v>
      </c>
      <c r="C18" s="169">
        <v>40.28</v>
      </c>
      <c r="D18" s="170">
        <v>40.49</v>
      </c>
      <c r="E18" s="171">
        <v>18.96</v>
      </c>
      <c r="F18" s="170">
        <v>7.82</v>
      </c>
      <c r="G18" s="171">
        <v>32.74</v>
      </c>
      <c r="I18" s="55"/>
      <c r="J18" s="162"/>
      <c r="K18" s="162"/>
      <c r="L18" s="162"/>
      <c r="M18" s="53"/>
      <c r="N18" s="53"/>
      <c r="O18" s="53"/>
      <c r="P18" s="53"/>
    </row>
    <row r="19" spans="1:16" ht="13.8" x14ac:dyDescent="0.25">
      <c r="A19" s="205"/>
      <c r="B19" s="163" t="s">
        <v>3</v>
      </c>
      <c r="C19" s="164">
        <v>38.17</v>
      </c>
      <c r="D19" s="165">
        <v>40.299999999999997</v>
      </c>
      <c r="E19" s="166">
        <v>17.29</v>
      </c>
      <c r="F19" s="165">
        <v>8.2100000000000009</v>
      </c>
      <c r="G19" s="166">
        <v>34.200000000000003</v>
      </c>
      <c r="I19" s="162"/>
      <c r="J19" s="162"/>
      <c r="K19" s="162"/>
      <c r="L19" s="162"/>
      <c r="M19" s="53"/>
      <c r="N19" s="53"/>
      <c r="O19" s="53"/>
      <c r="P19" s="53"/>
    </row>
    <row r="20" spans="1:16" x14ac:dyDescent="0.25">
      <c r="A20" s="212" t="s">
        <v>96</v>
      </c>
      <c r="B20" s="173" t="s">
        <v>77</v>
      </c>
      <c r="C20" s="159">
        <v>25.23</v>
      </c>
      <c r="D20" s="160">
        <v>49.72</v>
      </c>
      <c r="E20" s="161">
        <v>20.74</v>
      </c>
      <c r="F20" s="160">
        <v>5.41</v>
      </c>
      <c r="G20" s="161">
        <v>24.13</v>
      </c>
      <c r="I20" s="55"/>
      <c r="M20" s="53"/>
      <c r="N20" s="53"/>
      <c r="O20" s="53"/>
      <c r="P20" s="53"/>
    </row>
    <row r="21" spans="1:16" x14ac:dyDescent="0.25">
      <c r="A21" s="212"/>
      <c r="B21" s="178" t="s">
        <v>78</v>
      </c>
      <c r="C21" s="169">
        <v>37.96</v>
      </c>
      <c r="D21" s="170">
        <v>55.86</v>
      </c>
      <c r="E21" s="171">
        <v>19.32</v>
      </c>
      <c r="F21" s="170">
        <v>9.64</v>
      </c>
      <c r="G21" s="171">
        <v>15.18</v>
      </c>
      <c r="M21" s="53"/>
      <c r="N21" s="53"/>
      <c r="O21" s="53"/>
      <c r="P21" s="53"/>
    </row>
    <row r="22" spans="1:16" x14ac:dyDescent="0.25">
      <c r="A22" s="212"/>
      <c r="B22" s="178" t="s">
        <v>87</v>
      </c>
      <c r="C22" s="169">
        <v>43.49</v>
      </c>
      <c r="D22" s="170">
        <v>61.87</v>
      </c>
      <c r="E22" s="171">
        <v>11.51</v>
      </c>
      <c r="F22" s="170">
        <v>7.68</v>
      </c>
      <c r="G22" s="171">
        <v>18.940000000000001</v>
      </c>
      <c r="M22" s="53"/>
      <c r="N22" s="53"/>
      <c r="O22" s="53"/>
      <c r="P22" s="53"/>
    </row>
    <row r="23" spans="1:16" x14ac:dyDescent="0.25">
      <c r="A23" s="212"/>
      <c r="B23" s="178" t="s">
        <v>79</v>
      </c>
      <c r="C23" s="169">
        <v>41.4</v>
      </c>
      <c r="D23" s="170">
        <v>46.89</v>
      </c>
      <c r="E23" s="171">
        <v>19.34</v>
      </c>
      <c r="F23" s="170">
        <v>7</v>
      </c>
      <c r="G23" s="171">
        <v>26.77</v>
      </c>
      <c r="M23" s="53"/>
      <c r="N23" s="53"/>
      <c r="O23" s="53"/>
      <c r="P23" s="53"/>
    </row>
    <row r="24" spans="1:16" x14ac:dyDescent="0.25">
      <c r="A24" s="212"/>
      <c r="B24" s="178" t="s">
        <v>80</v>
      </c>
      <c r="C24" s="169">
        <v>32.729999999999997</v>
      </c>
      <c r="D24" s="170">
        <v>39</v>
      </c>
      <c r="E24" s="171">
        <v>16.71</v>
      </c>
      <c r="F24" s="170">
        <v>8.77</v>
      </c>
      <c r="G24" s="171">
        <v>35.520000000000003</v>
      </c>
      <c r="M24" s="53"/>
      <c r="N24" s="53"/>
      <c r="O24" s="53"/>
      <c r="P24" s="53"/>
    </row>
    <row r="25" spans="1:16" x14ac:dyDescent="0.25">
      <c r="A25" s="212"/>
      <c r="B25" s="178" t="s">
        <v>81</v>
      </c>
      <c r="C25" s="169">
        <v>41.83</v>
      </c>
      <c r="D25" s="170">
        <v>42.45</v>
      </c>
      <c r="E25" s="171">
        <v>15.44</v>
      </c>
      <c r="F25" s="170">
        <v>6.91</v>
      </c>
      <c r="G25" s="171">
        <v>35.200000000000003</v>
      </c>
      <c r="M25" s="53"/>
      <c r="N25" s="53"/>
      <c r="O25" s="53"/>
      <c r="P25" s="53"/>
    </row>
    <row r="26" spans="1:16" x14ac:dyDescent="0.25">
      <c r="A26" s="212"/>
      <c r="B26" s="178" t="s">
        <v>82</v>
      </c>
      <c r="C26" s="169">
        <v>47.07</v>
      </c>
      <c r="D26" s="170">
        <v>28.65</v>
      </c>
      <c r="E26" s="171">
        <v>25.95</v>
      </c>
      <c r="F26" s="170">
        <v>9.2799999999999994</v>
      </c>
      <c r="G26" s="171">
        <v>36.119999999999997</v>
      </c>
      <c r="M26" s="53"/>
      <c r="N26" s="53"/>
      <c r="O26" s="53"/>
      <c r="P26" s="53"/>
    </row>
    <row r="27" spans="1:16" x14ac:dyDescent="0.25">
      <c r="A27" s="212"/>
      <c r="B27" s="178" t="s">
        <v>83</v>
      </c>
      <c r="C27" s="169">
        <v>48.9</v>
      </c>
      <c r="D27" s="170">
        <v>39.020000000000003</v>
      </c>
      <c r="E27" s="171">
        <v>19.149999999999999</v>
      </c>
      <c r="F27" s="170">
        <v>8.07</v>
      </c>
      <c r="G27" s="171">
        <v>33.76</v>
      </c>
      <c r="M27" s="53"/>
      <c r="N27" s="53"/>
      <c r="O27" s="53"/>
      <c r="P27" s="53"/>
    </row>
    <row r="28" spans="1:16" x14ac:dyDescent="0.25">
      <c r="A28" s="212"/>
      <c r="B28" s="178" t="s">
        <v>84</v>
      </c>
      <c r="C28" s="169">
        <v>33.56</v>
      </c>
      <c r="D28" s="170">
        <v>28.38</v>
      </c>
      <c r="E28" s="171">
        <v>26.99</v>
      </c>
      <c r="F28" s="170">
        <v>9.35</v>
      </c>
      <c r="G28" s="171">
        <v>35.270000000000003</v>
      </c>
      <c r="M28" s="53"/>
      <c r="N28" s="53"/>
      <c r="O28" s="53"/>
      <c r="P28" s="53"/>
    </row>
    <row r="29" spans="1:16" x14ac:dyDescent="0.25">
      <c r="A29" s="212"/>
      <c r="B29" s="179" t="s">
        <v>85</v>
      </c>
      <c r="C29" s="164">
        <v>35.01</v>
      </c>
      <c r="D29" s="165">
        <v>24.74</v>
      </c>
      <c r="E29" s="166">
        <v>18.7</v>
      </c>
      <c r="F29" s="165">
        <v>7.94</v>
      </c>
      <c r="G29" s="166">
        <v>48.62</v>
      </c>
      <c r="M29" s="53"/>
      <c r="N29" s="53"/>
      <c r="O29" s="53"/>
      <c r="P29" s="53"/>
    </row>
    <row r="30" spans="1:16" s="2" customFormat="1" ht="13.8" x14ac:dyDescent="0.25">
      <c r="A30" s="213" t="s">
        <v>22</v>
      </c>
      <c r="B30" s="214"/>
      <c r="C30" s="180">
        <v>38.81</v>
      </c>
      <c r="D30" s="181">
        <v>44.59</v>
      </c>
      <c r="E30" s="182">
        <v>19.25</v>
      </c>
      <c r="F30" s="181">
        <v>7.87</v>
      </c>
      <c r="G30" s="182">
        <v>28.29</v>
      </c>
      <c r="I30" s="162"/>
      <c r="J30" s="162"/>
      <c r="K30" s="162"/>
      <c r="L30" s="162"/>
      <c r="M30" s="53"/>
      <c r="N30" s="53"/>
      <c r="O30" s="53"/>
      <c r="P30" s="53"/>
    </row>
    <row r="31" spans="1:16" ht="13.8" x14ac:dyDescent="0.25">
      <c r="A31" s="215" t="s">
        <v>44</v>
      </c>
      <c r="B31" s="215"/>
      <c r="C31" s="183">
        <v>34.729999999999997</v>
      </c>
      <c r="D31" s="184">
        <v>44.71</v>
      </c>
      <c r="E31" s="185">
        <v>21.62</v>
      </c>
      <c r="F31" s="184">
        <v>6.87</v>
      </c>
      <c r="G31" s="185">
        <v>26.8</v>
      </c>
      <c r="I31" s="162"/>
      <c r="J31" s="162"/>
      <c r="K31" s="162"/>
      <c r="L31" s="162"/>
      <c r="M31" s="53"/>
      <c r="N31" s="53"/>
      <c r="O31" s="53"/>
      <c r="P31" s="53"/>
    </row>
    <row r="32" spans="1:16" s="31" customFormat="1" ht="18.600000000000001" customHeight="1" x14ac:dyDescent="0.25">
      <c r="A32" s="202" t="s">
        <v>110</v>
      </c>
      <c r="B32" s="202"/>
      <c r="C32" s="202"/>
      <c r="D32" s="202"/>
      <c r="E32" s="202"/>
      <c r="F32" s="202"/>
      <c r="G32" s="202"/>
    </row>
    <row r="33" spans="1:7" ht="13.5" customHeight="1" x14ac:dyDescent="0.25">
      <c r="A33" s="186" t="s">
        <v>43</v>
      </c>
      <c r="B33" s="187"/>
      <c r="C33" s="187"/>
      <c r="D33" s="187"/>
      <c r="E33" s="187"/>
      <c r="F33" s="187"/>
      <c r="G33" s="187"/>
    </row>
    <row r="34" spans="1:7" s="31" customFormat="1" x14ac:dyDescent="0.25">
      <c r="A34" s="188" t="s">
        <v>108</v>
      </c>
      <c r="B34" s="188"/>
      <c r="C34" s="188"/>
      <c r="D34" s="188"/>
      <c r="E34" s="188"/>
      <c r="F34" s="188"/>
      <c r="G34" s="188"/>
    </row>
    <row r="35" spans="1:7" s="31" customFormat="1" ht="13.5" customHeight="1" x14ac:dyDescent="0.25">
      <c r="A35" s="188" t="s">
        <v>86</v>
      </c>
      <c r="B35" s="188"/>
      <c r="C35" s="188"/>
      <c r="D35" s="188"/>
      <c r="E35" s="188"/>
      <c r="F35" s="188"/>
      <c r="G35" s="188"/>
    </row>
  </sheetData>
  <mergeCells count="11">
    <mergeCell ref="A11:A12"/>
    <mergeCell ref="D4:G4"/>
    <mergeCell ref="A6:A7"/>
    <mergeCell ref="A8:A10"/>
    <mergeCell ref="A32:G32"/>
    <mergeCell ref="C4:C5"/>
    <mergeCell ref="A13:A14"/>
    <mergeCell ref="A15:A19"/>
    <mergeCell ref="A20:A29"/>
    <mergeCell ref="A30:B30"/>
    <mergeCell ref="A31:B3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9"/>
  <sheetViews>
    <sheetView showGridLines="0" workbookViewId="0"/>
  </sheetViews>
  <sheetFormatPr baseColWidth="10" defaultColWidth="11.44140625" defaultRowHeight="13.2" x14ac:dyDescent="0.25"/>
  <cols>
    <col min="1" max="1" width="51.5546875" style="5" customWidth="1"/>
    <col min="2" max="2" width="12" style="5" customWidth="1"/>
    <col min="3" max="5" width="11.44140625" style="5"/>
    <col min="6" max="6" width="12.33203125" style="5" customWidth="1"/>
    <col min="7" max="7" width="11.44140625" style="5"/>
    <col min="8" max="9" width="11.6640625" style="5" bestFit="1" customWidth="1"/>
    <col min="10" max="10" width="11.5546875" style="5" bestFit="1" customWidth="1"/>
    <col min="11" max="11" width="11.44140625" style="5"/>
    <col min="12" max="12" width="12.6640625" style="5" bestFit="1" customWidth="1"/>
    <col min="13" max="16384" width="11.44140625" style="5"/>
  </cols>
  <sheetData>
    <row r="1" spans="1:20" ht="12.75" customHeight="1" x14ac:dyDescent="0.25">
      <c r="A1" s="25" t="s">
        <v>46</v>
      </c>
      <c r="B1" s="25"/>
      <c r="C1" s="25"/>
      <c r="D1" s="25"/>
      <c r="E1" s="25"/>
      <c r="F1" s="25"/>
      <c r="G1" s="25"/>
    </row>
    <row r="2" spans="1:20" x14ac:dyDescent="0.25">
      <c r="A2" s="15"/>
      <c r="B2" s="15"/>
      <c r="C2" s="15"/>
      <c r="D2" s="15"/>
      <c r="E2" s="15"/>
      <c r="F2" s="1"/>
    </row>
    <row r="3" spans="1:20" ht="17.399999999999999" customHeight="1" x14ac:dyDescent="0.25">
      <c r="A3" s="127"/>
      <c r="B3" s="128">
        <v>2011</v>
      </c>
      <c r="C3" s="129">
        <v>2013</v>
      </c>
      <c r="D3" s="130">
        <v>2015</v>
      </c>
      <c r="E3" s="129">
        <v>2017</v>
      </c>
      <c r="F3" s="130">
        <v>2019</v>
      </c>
      <c r="G3" s="128">
        <v>2021</v>
      </c>
      <c r="H3" s="128">
        <v>2022</v>
      </c>
      <c r="I3" s="128">
        <v>2023</v>
      </c>
    </row>
    <row r="4" spans="1:20" ht="17.399999999999999" customHeight="1" x14ac:dyDescent="0.25">
      <c r="A4" s="131" t="s">
        <v>26</v>
      </c>
      <c r="B4" s="132">
        <v>12</v>
      </c>
      <c r="C4" s="133">
        <v>12.2</v>
      </c>
      <c r="D4" s="134">
        <v>13.7</v>
      </c>
      <c r="E4" s="133">
        <v>13.4</v>
      </c>
      <c r="F4" s="134">
        <v>12.4</v>
      </c>
      <c r="G4" s="135">
        <v>13.1</v>
      </c>
      <c r="H4" s="135">
        <v>15</v>
      </c>
      <c r="I4" s="135">
        <v>12.9</v>
      </c>
    </row>
    <row r="5" spans="1:20" ht="17.399999999999999" customHeight="1" x14ac:dyDescent="0.25">
      <c r="A5" s="136" t="s">
        <v>97</v>
      </c>
      <c r="B5" s="135">
        <v>6.8</v>
      </c>
      <c r="C5" s="134">
        <v>7.4</v>
      </c>
      <c r="D5" s="134">
        <v>7.7</v>
      </c>
      <c r="E5" s="134">
        <v>8</v>
      </c>
      <c r="F5" s="134">
        <v>8</v>
      </c>
      <c r="G5" s="135">
        <v>6.5</v>
      </c>
      <c r="H5" s="135">
        <v>6.6</v>
      </c>
      <c r="I5" s="135">
        <v>6.8</v>
      </c>
    </row>
    <row r="6" spans="1:20" ht="17.399999999999999" customHeight="1" x14ac:dyDescent="0.25">
      <c r="A6" s="131" t="s">
        <v>24</v>
      </c>
      <c r="B6" s="135">
        <v>2.2999999999999998</v>
      </c>
      <c r="C6" s="134">
        <v>2.6</v>
      </c>
      <c r="D6" s="134">
        <v>2.6</v>
      </c>
      <c r="E6" s="134">
        <v>2.6</v>
      </c>
      <c r="F6" s="134">
        <v>2.8</v>
      </c>
      <c r="G6" s="135">
        <v>2.8</v>
      </c>
      <c r="H6" s="135">
        <v>2.9</v>
      </c>
      <c r="I6" s="135">
        <v>2.9</v>
      </c>
    </row>
    <row r="7" spans="1:20" ht="17.399999999999999" customHeight="1" x14ac:dyDescent="0.25">
      <c r="A7" s="131" t="s">
        <v>23</v>
      </c>
      <c r="B7" s="135">
        <v>0.7</v>
      </c>
      <c r="C7" s="134">
        <v>0.8</v>
      </c>
      <c r="D7" s="134">
        <v>0.9</v>
      </c>
      <c r="E7" s="134">
        <v>0.9</v>
      </c>
      <c r="F7" s="134">
        <v>1</v>
      </c>
      <c r="G7" s="135">
        <v>1.1000000000000001</v>
      </c>
      <c r="H7" s="135">
        <v>1.2</v>
      </c>
      <c r="I7" s="135">
        <v>1.2</v>
      </c>
    </row>
    <row r="8" spans="1:20" ht="17.399999999999999" customHeight="1" x14ac:dyDescent="0.25">
      <c r="A8" s="137" t="s">
        <v>51</v>
      </c>
      <c r="B8" s="138">
        <v>21.8</v>
      </c>
      <c r="C8" s="139">
        <v>23</v>
      </c>
      <c r="D8" s="140">
        <v>24.7</v>
      </c>
      <c r="E8" s="139">
        <v>24.8</v>
      </c>
      <c r="F8" s="140">
        <v>24.3</v>
      </c>
      <c r="G8" s="138">
        <v>24.1</v>
      </c>
      <c r="H8" s="138">
        <v>26.4</v>
      </c>
      <c r="I8" s="138">
        <v>24.5</v>
      </c>
    </row>
    <row r="9" spans="1:20" ht="17.399999999999999" customHeight="1" x14ac:dyDescent="0.25">
      <c r="A9" s="216" t="s">
        <v>41</v>
      </c>
      <c r="B9" s="216"/>
      <c r="C9" s="216"/>
      <c r="D9" s="216"/>
      <c r="E9" s="217"/>
      <c r="F9" s="1"/>
      <c r="G9" s="141"/>
    </row>
    <row r="10" spans="1:20" ht="15" customHeight="1" x14ac:dyDescent="0.25">
      <c r="A10" s="243" t="s">
        <v>49</v>
      </c>
      <c r="B10" s="242"/>
      <c r="C10" s="242"/>
      <c r="D10" s="242"/>
      <c r="E10" s="242"/>
      <c r="F10" s="1"/>
    </row>
    <row r="11" spans="1:20" ht="15" customHeight="1" x14ac:dyDescent="0.25">
      <c r="A11" s="142" t="s">
        <v>50</v>
      </c>
      <c r="B11" s="142"/>
      <c r="C11" s="142"/>
      <c r="D11" s="142"/>
      <c r="E11" s="142"/>
    </row>
    <row r="13" spans="1:20" x14ac:dyDescent="0.25">
      <c r="A13" s="56"/>
      <c r="G13" s="13"/>
      <c r="H13" s="13"/>
      <c r="I13" s="13"/>
      <c r="J13" s="13"/>
      <c r="K13" s="13"/>
      <c r="L13" s="13"/>
      <c r="M13" s="13"/>
      <c r="N13" s="13"/>
      <c r="O13" s="13"/>
      <c r="P13" s="13"/>
      <c r="Q13" s="13"/>
      <c r="R13" s="16"/>
      <c r="S13" s="16"/>
      <c r="T13" s="16"/>
    </row>
    <row r="14" spans="1:20" x14ac:dyDescent="0.25">
      <c r="A14" s="17"/>
      <c r="B14" s="17"/>
      <c r="C14" s="18"/>
      <c r="D14" s="13"/>
      <c r="E14" s="13"/>
      <c r="F14" s="13"/>
      <c r="G14" s="11"/>
      <c r="H14" s="13"/>
      <c r="I14" s="13"/>
      <c r="J14" s="10"/>
      <c r="K14" s="13"/>
      <c r="L14" s="13"/>
      <c r="M14" s="11"/>
      <c r="N14" s="13"/>
      <c r="O14" s="11"/>
      <c r="P14" s="13"/>
      <c r="Q14" s="10"/>
      <c r="R14" s="8"/>
      <c r="S14" s="16"/>
      <c r="T14" s="16"/>
    </row>
    <row r="15" spans="1:20" x14ac:dyDescent="0.25">
      <c r="A15" s="143"/>
      <c r="B15" s="143"/>
      <c r="C15" s="143"/>
      <c r="D15" s="13"/>
      <c r="E15" s="11"/>
      <c r="F15" s="11"/>
      <c r="G15" s="144"/>
      <c r="H15" s="144"/>
      <c r="I15" s="144"/>
      <c r="J15" s="11"/>
      <c r="K15" s="13"/>
      <c r="L15" s="13"/>
      <c r="M15" s="144"/>
      <c r="N15" s="144"/>
      <c r="O15" s="144"/>
      <c r="P15" s="144"/>
      <c r="Q15" s="13"/>
      <c r="R15" s="9"/>
      <c r="S15" s="16"/>
      <c r="T15" s="16"/>
    </row>
    <row r="16" spans="1:20" x14ac:dyDescent="0.25">
      <c r="A16" s="144"/>
      <c r="B16" s="144"/>
      <c r="C16" s="144"/>
      <c r="D16" s="13"/>
      <c r="E16" s="144"/>
      <c r="F16" s="144"/>
      <c r="G16" s="144"/>
      <c r="H16" s="145"/>
      <c r="I16" s="145"/>
      <c r="J16" s="146"/>
      <c r="K16" s="13"/>
      <c r="L16" s="13"/>
      <c r="M16" s="144"/>
      <c r="N16" s="147"/>
      <c r="O16" s="144"/>
      <c r="P16" s="147"/>
      <c r="Q16" s="148"/>
      <c r="R16" s="149"/>
      <c r="S16" s="16"/>
      <c r="T16" s="16"/>
    </row>
    <row r="17" spans="1:20" x14ac:dyDescent="0.25">
      <c r="A17" s="144"/>
      <c r="B17" s="144"/>
      <c r="C17" s="145"/>
      <c r="D17" s="13"/>
      <c r="E17" s="144"/>
      <c r="F17" s="145"/>
      <c r="G17" s="144"/>
      <c r="H17" s="145"/>
      <c r="I17" s="145"/>
      <c r="J17" s="146"/>
      <c r="K17" s="13"/>
      <c r="L17" s="13"/>
      <c r="M17" s="144"/>
      <c r="N17" s="147"/>
      <c r="O17" s="144"/>
      <c r="P17" s="147"/>
      <c r="Q17" s="148"/>
      <c r="R17" s="149"/>
      <c r="S17" s="16"/>
      <c r="T17" s="16"/>
    </row>
    <row r="18" spans="1:20" x14ac:dyDescent="0.25">
      <c r="A18" s="144"/>
      <c r="B18" s="144"/>
      <c r="C18" s="145"/>
      <c r="D18" s="13"/>
      <c r="E18" s="144"/>
      <c r="F18" s="145"/>
      <c r="G18" s="144"/>
      <c r="H18" s="145"/>
      <c r="I18" s="145"/>
      <c r="J18" s="146"/>
      <c r="K18" s="13"/>
      <c r="L18" s="13"/>
      <c r="M18" s="144"/>
      <c r="N18" s="147"/>
      <c r="O18" s="144"/>
      <c r="P18" s="147"/>
      <c r="Q18" s="148"/>
      <c r="R18" s="149"/>
      <c r="S18" s="16"/>
      <c r="T18" s="16"/>
    </row>
    <row r="19" spans="1:20" x14ac:dyDescent="0.25">
      <c r="A19" s="143"/>
      <c r="B19" s="143"/>
      <c r="C19" s="150"/>
      <c r="D19" s="13"/>
      <c r="E19" s="144"/>
      <c r="F19" s="145"/>
      <c r="G19" s="144"/>
      <c r="H19" s="145"/>
      <c r="I19" s="145"/>
      <c r="J19" s="146"/>
      <c r="K19" s="13"/>
      <c r="L19" s="13"/>
      <c r="M19" s="144"/>
      <c r="N19" s="147"/>
      <c r="O19" s="144"/>
      <c r="P19" s="147"/>
      <c r="Q19" s="148"/>
      <c r="R19" s="149"/>
      <c r="S19" s="16"/>
      <c r="T19" s="16"/>
    </row>
    <row r="20" spans="1:20" x14ac:dyDescent="0.25">
      <c r="A20" s="13"/>
      <c r="B20" s="13"/>
      <c r="C20" s="13"/>
      <c r="D20" s="13"/>
      <c r="E20" s="144"/>
      <c r="F20" s="145"/>
      <c r="G20" s="10"/>
      <c r="H20" s="151"/>
      <c r="I20" s="151"/>
      <c r="J20" s="152"/>
      <c r="K20" s="13"/>
      <c r="L20" s="13"/>
      <c r="M20" s="13"/>
      <c r="N20" s="13"/>
      <c r="O20" s="13"/>
      <c r="P20" s="13"/>
      <c r="Q20" s="151"/>
      <c r="R20" s="149"/>
      <c r="S20" s="16"/>
      <c r="T20" s="16"/>
    </row>
    <row r="21" spans="1:20" x14ac:dyDescent="0.25">
      <c r="A21" s="13"/>
      <c r="B21" s="13"/>
      <c r="C21" s="13"/>
      <c r="D21" s="13"/>
      <c r="E21" s="10"/>
      <c r="F21" s="151"/>
      <c r="G21" s="13"/>
      <c r="H21" s="13"/>
      <c r="I21" s="13"/>
      <c r="J21" s="13"/>
      <c r="K21" s="13"/>
      <c r="L21" s="13"/>
      <c r="M21" s="13"/>
      <c r="N21" s="13"/>
      <c r="O21" s="13"/>
      <c r="P21" s="13"/>
      <c r="Q21" s="13"/>
      <c r="R21" s="16"/>
      <c r="S21" s="16"/>
      <c r="T21" s="16"/>
    </row>
    <row r="22" spans="1:20" x14ac:dyDescent="0.25">
      <c r="A22" s="13"/>
      <c r="B22" s="13"/>
      <c r="C22" s="13"/>
      <c r="D22" s="13"/>
      <c r="E22" s="13"/>
      <c r="F22" s="13"/>
      <c r="G22" s="13"/>
      <c r="H22" s="13"/>
      <c r="I22" s="13"/>
      <c r="J22" s="13"/>
      <c r="K22" s="13"/>
      <c r="L22" s="13"/>
      <c r="M22" s="13"/>
      <c r="N22" s="13"/>
      <c r="O22" s="13"/>
      <c r="P22" s="13"/>
      <c r="Q22" s="13"/>
      <c r="R22" s="16"/>
      <c r="S22" s="16"/>
      <c r="T22" s="16"/>
    </row>
    <row r="23" spans="1:20" x14ac:dyDescent="0.25">
      <c r="A23" s="12"/>
      <c r="B23" s="12"/>
      <c r="C23" s="13"/>
      <c r="D23" s="13"/>
      <c r="E23" s="13"/>
      <c r="F23" s="13"/>
      <c r="G23" s="10"/>
      <c r="H23" s="10"/>
      <c r="I23" s="10"/>
      <c r="J23" s="10"/>
      <c r="K23" s="13"/>
      <c r="L23" s="13"/>
      <c r="M23" s="13"/>
      <c r="N23" s="13"/>
      <c r="O23" s="13"/>
      <c r="P23" s="13"/>
      <c r="Q23" s="13"/>
      <c r="R23" s="16"/>
      <c r="S23" s="16"/>
      <c r="T23" s="16"/>
    </row>
    <row r="24" spans="1:20" x14ac:dyDescent="0.25">
      <c r="A24" s="143"/>
      <c r="B24" s="143"/>
      <c r="C24" s="143"/>
      <c r="D24" s="13"/>
      <c r="E24" s="13"/>
      <c r="F24" s="10"/>
      <c r="G24" s="148"/>
      <c r="H24" s="148"/>
      <c r="I24" s="148"/>
      <c r="J24" s="148"/>
      <c r="K24" s="13"/>
      <c r="L24" s="13"/>
      <c r="M24" s="13"/>
      <c r="N24" s="13"/>
      <c r="O24" s="13"/>
      <c r="P24" s="13"/>
      <c r="Q24" s="13"/>
      <c r="R24" s="16"/>
      <c r="S24" s="16"/>
      <c r="T24" s="16"/>
    </row>
    <row r="25" spans="1:20" x14ac:dyDescent="0.25">
      <c r="A25" s="144"/>
      <c r="B25" s="144"/>
      <c r="C25" s="144"/>
      <c r="D25" s="13"/>
      <c r="E25" s="144"/>
      <c r="F25" s="148"/>
      <c r="G25" s="148"/>
      <c r="H25" s="148"/>
      <c r="I25" s="148"/>
      <c r="J25" s="148"/>
      <c r="K25" s="13"/>
      <c r="L25" s="13"/>
      <c r="M25" s="13"/>
      <c r="N25" s="13"/>
      <c r="O25" s="13"/>
      <c r="P25" s="13"/>
      <c r="Q25" s="13"/>
      <c r="R25" s="16"/>
      <c r="S25" s="16"/>
      <c r="T25" s="16"/>
    </row>
    <row r="26" spans="1:20" x14ac:dyDescent="0.25">
      <c r="A26" s="144"/>
      <c r="B26" s="144"/>
      <c r="C26" s="145"/>
      <c r="D26" s="13"/>
      <c r="E26" s="144"/>
      <c r="F26" s="148"/>
      <c r="G26" s="148"/>
      <c r="H26" s="148"/>
      <c r="I26" s="148"/>
      <c r="J26" s="148"/>
      <c r="K26" s="13"/>
      <c r="L26" s="13"/>
      <c r="M26" s="13"/>
      <c r="N26" s="13"/>
      <c r="O26" s="13"/>
      <c r="P26" s="13"/>
      <c r="Q26" s="13"/>
      <c r="R26" s="16"/>
      <c r="S26" s="16"/>
      <c r="T26" s="16"/>
    </row>
    <row r="27" spans="1:20" x14ac:dyDescent="0.25">
      <c r="A27" s="144"/>
      <c r="B27" s="144"/>
      <c r="C27" s="145"/>
      <c r="D27" s="13"/>
      <c r="E27" s="144"/>
      <c r="F27" s="148"/>
      <c r="G27" s="148"/>
      <c r="H27" s="148"/>
      <c r="I27" s="148"/>
      <c r="J27" s="148"/>
      <c r="K27" s="13"/>
      <c r="L27" s="13"/>
      <c r="M27" s="13"/>
      <c r="N27" s="13"/>
      <c r="O27" s="13"/>
      <c r="P27" s="13"/>
      <c r="Q27" s="13"/>
      <c r="R27" s="16"/>
      <c r="S27" s="16"/>
      <c r="T27" s="16"/>
    </row>
    <row r="28" spans="1:20" x14ac:dyDescent="0.25">
      <c r="A28" s="143"/>
      <c r="B28" s="143"/>
      <c r="C28" s="150"/>
      <c r="D28" s="13"/>
      <c r="E28" s="144"/>
      <c r="F28" s="148"/>
      <c r="G28" s="148"/>
      <c r="H28" s="148"/>
      <c r="I28" s="148"/>
      <c r="J28" s="148"/>
      <c r="K28" s="13"/>
      <c r="L28" s="13"/>
      <c r="M28" s="13"/>
      <c r="N28" s="13"/>
      <c r="O28" s="13"/>
      <c r="P28" s="13"/>
      <c r="Q28" s="13"/>
      <c r="R28" s="16"/>
      <c r="S28" s="16"/>
      <c r="T28" s="16"/>
    </row>
    <row r="29" spans="1:20" x14ac:dyDescent="0.25">
      <c r="A29" s="13"/>
      <c r="B29" s="13"/>
      <c r="C29" s="13"/>
      <c r="D29" s="13"/>
      <c r="E29" s="10"/>
      <c r="F29" s="148"/>
    </row>
  </sheetData>
  <mergeCells count="1">
    <mergeCell ref="A9:E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1"/>
  <sheetViews>
    <sheetView showGridLines="0" zoomScaleNormal="100" workbookViewId="0"/>
  </sheetViews>
  <sheetFormatPr baseColWidth="10" defaultColWidth="13.6640625" defaultRowHeight="13.2" x14ac:dyDescent="0.25"/>
  <cols>
    <col min="1" max="1" width="65.21875" style="1" customWidth="1"/>
    <col min="2" max="2" width="14.5546875" style="1" customWidth="1"/>
    <col min="3" max="6" width="12.6640625" style="1" customWidth="1"/>
    <col min="7" max="16384" width="13.6640625" style="1"/>
  </cols>
  <sheetData>
    <row r="1" spans="1:6" ht="12.75" customHeight="1" x14ac:dyDescent="0.25">
      <c r="A1" s="25" t="s">
        <v>98</v>
      </c>
      <c r="B1" s="25"/>
      <c r="C1" s="95"/>
      <c r="D1" s="95"/>
      <c r="E1" s="95"/>
      <c r="F1" s="95"/>
    </row>
    <row r="2" spans="1:6" x14ac:dyDescent="0.25">
      <c r="A2" s="15"/>
      <c r="B2" s="15"/>
      <c r="C2" s="95"/>
      <c r="D2" s="95"/>
      <c r="E2" s="95"/>
      <c r="F2" s="95"/>
    </row>
    <row r="3" spans="1:6" x14ac:dyDescent="0.25">
      <c r="A3" s="15"/>
      <c r="B3" s="15"/>
      <c r="C3" s="95"/>
      <c r="D3" s="95"/>
      <c r="E3" s="95"/>
      <c r="F3" s="95"/>
    </row>
    <row r="4" spans="1:6" ht="29.4" customHeight="1" x14ac:dyDescent="0.25">
      <c r="A4" s="222">
        <v>2023</v>
      </c>
      <c r="B4" s="222" t="s">
        <v>104</v>
      </c>
      <c r="C4" s="219" t="s">
        <v>93</v>
      </c>
      <c r="D4" s="220"/>
      <c r="E4" s="221" t="s">
        <v>92</v>
      </c>
      <c r="F4" s="220"/>
    </row>
    <row r="5" spans="1:6" ht="30.6" customHeight="1" x14ac:dyDescent="0.25">
      <c r="A5" s="223"/>
      <c r="B5" s="223"/>
      <c r="C5" s="96" t="s">
        <v>27</v>
      </c>
      <c r="D5" s="97" t="s">
        <v>28</v>
      </c>
      <c r="E5" s="98" t="s">
        <v>27</v>
      </c>
      <c r="F5" s="99" t="s">
        <v>28</v>
      </c>
    </row>
    <row r="6" spans="1:6" ht="17.399999999999999" customHeight="1" x14ac:dyDescent="0.25">
      <c r="A6" s="100" t="s">
        <v>26</v>
      </c>
      <c r="B6" s="101">
        <v>41.9</v>
      </c>
      <c r="C6" s="102">
        <v>24</v>
      </c>
      <c r="D6" s="103">
        <v>31</v>
      </c>
      <c r="E6" s="104">
        <v>75</v>
      </c>
      <c r="F6" s="105">
        <v>57</v>
      </c>
    </row>
    <row r="7" spans="1:6" ht="17.399999999999999" customHeight="1" x14ac:dyDescent="0.25">
      <c r="A7" s="106" t="s">
        <v>30</v>
      </c>
      <c r="B7" s="107">
        <v>0.4</v>
      </c>
      <c r="C7" s="108">
        <v>34</v>
      </c>
      <c r="D7" s="109">
        <v>43</v>
      </c>
      <c r="E7" s="110">
        <v>1</v>
      </c>
      <c r="F7" s="111">
        <v>1</v>
      </c>
    </row>
    <row r="8" spans="1:6" ht="17.399999999999999" customHeight="1" x14ac:dyDescent="0.25">
      <c r="A8" s="106" t="s">
        <v>29</v>
      </c>
      <c r="B8" s="107">
        <v>3.9</v>
      </c>
      <c r="C8" s="108">
        <v>29</v>
      </c>
      <c r="D8" s="109">
        <v>66</v>
      </c>
      <c r="E8" s="110">
        <v>3</v>
      </c>
      <c r="F8" s="111">
        <v>12</v>
      </c>
    </row>
    <row r="9" spans="1:6" ht="17.399999999999999" customHeight="1" x14ac:dyDescent="0.25">
      <c r="A9" s="106" t="s">
        <v>23</v>
      </c>
      <c r="B9" s="107">
        <v>0.8</v>
      </c>
      <c r="C9" s="108">
        <v>199</v>
      </c>
      <c r="D9" s="109">
        <v>157</v>
      </c>
      <c r="E9" s="112">
        <v>2</v>
      </c>
      <c r="F9" s="111">
        <v>6</v>
      </c>
    </row>
    <row r="10" spans="1:6" ht="17.399999999999999" customHeight="1" x14ac:dyDescent="0.25">
      <c r="A10" s="106" t="s">
        <v>25</v>
      </c>
      <c r="B10" s="107">
        <v>1.3</v>
      </c>
      <c r="C10" s="108">
        <v>199</v>
      </c>
      <c r="D10" s="109">
        <v>191</v>
      </c>
      <c r="E10" s="110">
        <v>7</v>
      </c>
      <c r="F10" s="111">
        <v>12</v>
      </c>
    </row>
    <row r="11" spans="1:6" ht="17.399999999999999" customHeight="1" x14ac:dyDescent="0.25">
      <c r="A11" s="106" t="s">
        <v>31</v>
      </c>
      <c r="B11" s="107">
        <v>0</v>
      </c>
      <c r="C11" s="108" t="s">
        <v>94</v>
      </c>
      <c r="D11" s="109">
        <v>204</v>
      </c>
      <c r="E11" s="110">
        <v>0</v>
      </c>
      <c r="F11" s="111">
        <v>0.1</v>
      </c>
    </row>
    <row r="12" spans="1:6" ht="17.399999999999999" customHeight="1" x14ac:dyDescent="0.25">
      <c r="A12" s="113" t="s">
        <v>91</v>
      </c>
      <c r="B12" s="114">
        <v>1.2</v>
      </c>
      <c r="C12" s="115">
        <v>231</v>
      </c>
      <c r="D12" s="116">
        <v>253</v>
      </c>
      <c r="E12" s="115">
        <v>12</v>
      </c>
      <c r="F12" s="116">
        <v>13</v>
      </c>
    </row>
    <row r="13" spans="1:6" ht="17.399999999999999" customHeight="1" x14ac:dyDescent="0.25">
      <c r="A13" s="117" t="s">
        <v>88</v>
      </c>
      <c r="B13" s="117"/>
      <c r="C13" s="118">
        <v>30</v>
      </c>
      <c r="D13" s="119">
        <v>45</v>
      </c>
      <c r="E13" s="120">
        <v>100</v>
      </c>
      <c r="F13" s="121">
        <v>100</v>
      </c>
    </row>
    <row r="14" spans="1:6" ht="22.2" customHeight="1" x14ac:dyDescent="0.25">
      <c r="A14" s="122" t="s">
        <v>52</v>
      </c>
      <c r="B14" s="122"/>
    </row>
    <row r="15" spans="1:6" ht="15.6" customHeight="1" x14ac:dyDescent="0.25">
      <c r="A15" s="123" t="s">
        <v>99</v>
      </c>
      <c r="B15" s="123"/>
      <c r="C15" s="52"/>
      <c r="D15" s="52"/>
      <c r="E15" s="52"/>
      <c r="F15" s="52"/>
    </row>
    <row r="16" spans="1:6" ht="14.4" customHeight="1" x14ac:dyDescent="0.25">
      <c r="A16" s="124" t="s">
        <v>102</v>
      </c>
      <c r="B16" s="124"/>
    </row>
    <row r="17" spans="1:7" s="55" customFormat="1" ht="49.2" customHeight="1" x14ac:dyDescent="0.25">
      <c r="A17" s="218" t="s">
        <v>100</v>
      </c>
      <c r="B17" s="218"/>
      <c r="C17" s="218"/>
      <c r="D17" s="218"/>
      <c r="E17" s="218"/>
      <c r="F17" s="218"/>
      <c r="G17" s="218"/>
    </row>
    <row r="18" spans="1:7" ht="16.2" customHeight="1" x14ac:dyDescent="0.25">
      <c r="A18" s="125" t="s">
        <v>101</v>
      </c>
      <c r="B18" s="125"/>
    </row>
    <row r="21" spans="1:7" x14ac:dyDescent="0.25">
      <c r="A21" s="126"/>
    </row>
  </sheetData>
  <mergeCells count="5">
    <mergeCell ref="A17:G17"/>
    <mergeCell ref="C4:D4"/>
    <mergeCell ref="E4:F4"/>
    <mergeCell ref="A4:A5"/>
    <mergeCell ref="B4:B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B90FC-E0DF-42A0-BEBF-0B4AC3C765FD}">
  <dimension ref="A1:M40"/>
  <sheetViews>
    <sheetView zoomScaleNormal="100" workbookViewId="0"/>
  </sheetViews>
  <sheetFormatPr baseColWidth="10" defaultColWidth="11.44140625" defaultRowHeight="13.2" x14ac:dyDescent="0.25"/>
  <cols>
    <col min="1" max="1" width="34.33203125" style="14" customWidth="1"/>
    <col min="2" max="13" width="10.109375" style="14" customWidth="1"/>
    <col min="14" max="16384" width="11.44140625" style="14"/>
  </cols>
  <sheetData>
    <row r="1" spans="1:13" x14ac:dyDescent="0.25">
      <c r="A1" s="94" t="s">
        <v>103</v>
      </c>
      <c r="B1" s="32"/>
      <c r="C1" s="32"/>
      <c r="D1" s="32"/>
      <c r="E1" s="32"/>
      <c r="F1" s="32"/>
      <c r="G1" s="32"/>
      <c r="H1" s="32"/>
    </row>
    <row r="2" spans="1:13" x14ac:dyDescent="0.25">
      <c r="A2" s="32"/>
      <c r="B2" s="32"/>
      <c r="C2" s="32"/>
      <c r="D2" s="32"/>
      <c r="E2" s="32"/>
      <c r="F2" s="32"/>
      <c r="G2" s="32"/>
    </row>
    <row r="3" spans="1:13" x14ac:dyDescent="0.25">
      <c r="A3" s="14" t="s">
        <v>53</v>
      </c>
      <c r="F3" s="59"/>
    </row>
    <row r="4" spans="1:13" x14ac:dyDescent="0.25">
      <c r="A4" s="62"/>
      <c r="B4" s="225" t="s">
        <v>1</v>
      </c>
      <c r="C4" s="226"/>
      <c r="D4" s="226"/>
      <c r="E4" s="226"/>
      <c r="F4" s="226"/>
      <c r="G4" s="226"/>
      <c r="H4" s="226"/>
      <c r="I4" s="226"/>
      <c r="J4" s="226"/>
      <c r="K4" s="226"/>
      <c r="L4" s="226"/>
      <c r="M4" s="227"/>
    </row>
    <row r="5" spans="1:13" x14ac:dyDescent="0.25">
      <c r="A5" s="63"/>
      <c r="B5" s="33">
        <v>2014</v>
      </c>
      <c r="C5" s="33">
        <v>2015</v>
      </c>
      <c r="D5" s="33">
        <v>2016</v>
      </c>
      <c r="E5" s="33">
        <v>2017</v>
      </c>
      <c r="F5" s="33">
        <v>2018</v>
      </c>
      <c r="G5" s="33">
        <v>2019</v>
      </c>
      <c r="H5" s="57">
        <v>2020</v>
      </c>
      <c r="I5" s="54">
        <v>2021</v>
      </c>
      <c r="J5" s="33">
        <v>2022</v>
      </c>
      <c r="K5" s="33">
        <v>2023</v>
      </c>
      <c r="L5" s="33">
        <v>2024</v>
      </c>
      <c r="M5" s="33">
        <v>2025</v>
      </c>
    </row>
    <row r="6" spans="1:13" x14ac:dyDescent="0.25">
      <c r="A6" s="34" t="s">
        <v>54</v>
      </c>
      <c r="B6" s="35">
        <v>39.079721800000002</v>
      </c>
      <c r="C6" s="35">
        <v>39.1237298</v>
      </c>
      <c r="D6" s="35">
        <v>38.708714700000002</v>
      </c>
      <c r="E6" s="35">
        <v>39.968775899999997</v>
      </c>
      <c r="F6" s="35">
        <v>40.142808899999999</v>
      </c>
      <c r="G6" s="35">
        <v>38.5669544</v>
      </c>
      <c r="H6" s="58">
        <v>40.132742899999997</v>
      </c>
      <c r="I6" s="38">
        <v>44.472144800000002</v>
      </c>
      <c r="J6" s="35">
        <v>42.0458243</v>
      </c>
      <c r="K6" s="35">
        <v>40.400842400000002</v>
      </c>
      <c r="L6" s="35">
        <v>40.113199000000002</v>
      </c>
      <c r="M6" s="35">
        <v>41.334268899999998</v>
      </c>
    </row>
    <row r="7" spans="1:13" x14ac:dyDescent="0.25">
      <c r="A7" s="34" t="s">
        <v>55</v>
      </c>
      <c r="B7" s="35">
        <v>46.000711299999999</v>
      </c>
      <c r="C7" s="35">
        <v>46.278227700000002</v>
      </c>
      <c r="D7" s="35">
        <v>47.3402885</v>
      </c>
      <c r="E7" s="35">
        <v>45.720835800000003</v>
      </c>
      <c r="F7" s="35">
        <v>45.268870900000003</v>
      </c>
      <c r="G7" s="35">
        <v>45.566811600000001</v>
      </c>
      <c r="H7" s="58">
        <v>45.827827999999997</v>
      </c>
      <c r="I7" s="38">
        <v>39.877066599999999</v>
      </c>
      <c r="J7" s="35">
        <v>42.7766181</v>
      </c>
      <c r="K7" s="35">
        <v>44.356933699999999</v>
      </c>
      <c r="L7" s="35">
        <v>43.7116373</v>
      </c>
      <c r="M7" s="35">
        <v>40.939877699999997</v>
      </c>
    </row>
    <row r="8" spans="1:13" x14ac:dyDescent="0.25">
      <c r="A8" s="34" t="s">
        <v>56</v>
      </c>
      <c r="B8" s="35">
        <v>12.6429271</v>
      </c>
      <c r="C8" s="35">
        <v>11.737551399999999</v>
      </c>
      <c r="D8" s="35">
        <v>11.475482599999999</v>
      </c>
      <c r="E8" s="35">
        <v>11.7495762</v>
      </c>
      <c r="F8" s="35">
        <v>12.264804699999999</v>
      </c>
      <c r="G8" s="35">
        <v>13.107972699999999</v>
      </c>
      <c r="H8" s="58">
        <v>11.688484300000001</v>
      </c>
      <c r="I8" s="38">
        <v>13.0501573</v>
      </c>
      <c r="J8" s="35">
        <v>12.1551217</v>
      </c>
      <c r="K8" s="35">
        <v>12.3108685</v>
      </c>
      <c r="L8" s="35">
        <v>12.971302400000001</v>
      </c>
      <c r="M8" s="35">
        <v>13.362626000000001</v>
      </c>
    </row>
    <row r="9" spans="1:13" x14ac:dyDescent="0.25">
      <c r="A9" s="34" t="s">
        <v>57</v>
      </c>
      <c r="B9" s="35">
        <v>2.2766398099999998</v>
      </c>
      <c r="C9" s="35">
        <v>2.86049109</v>
      </c>
      <c r="D9" s="35">
        <v>2.4755141900000002</v>
      </c>
      <c r="E9" s="35">
        <v>2.56081212</v>
      </c>
      <c r="F9" s="35">
        <v>2.3235154599999999</v>
      </c>
      <c r="G9" s="35">
        <v>2.75826131</v>
      </c>
      <c r="H9" s="58">
        <v>2.3509447699999999</v>
      </c>
      <c r="I9" s="38">
        <v>2.6006312199999999</v>
      </c>
      <c r="J9" s="35">
        <v>3.0224358900000001</v>
      </c>
      <c r="K9" s="35">
        <v>2.9313553799999998</v>
      </c>
      <c r="L9" s="35">
        <v>3.2038613699999998</v>
      </c>
      <c r="M9" s="35">
        <v>4.3632274100000004</v>
      </c>
    </row>
    <row r="10" spans="1:13" x14ac:dyDescent="0.25">
      <c r="A10" s="36"/>
      <c r="B10" s="36"/>
      <c r="C10" s="36"/>
      <c r="D10" s="36"/>
      <c r="E10" s="36"/>
      <c r="F10" s="36"/>
      <c r="G10" s="36"/>
      <c r="H10" s="36"/>
      <c r="I10" s="37"/>
      <c r="J10" s="37"/>
      <c r="K10" s="37"/>
      <c r="L10" s="37"/>
      <c r="M10" s="37"/>
    </row>
    <row r="11" spans="1:13" x14ac:dyDescent="0.25">
      <c r="A11" s="62"/>
      <c r="B11" s="228" t="s">
        <v>2</v>
      </c>
      <c r="C11" s="229"/>
      <c r="D11" s="229"/>
      <c r="E11" s="229"/>
      <c r="F11" s="229"/>
      <c r="G11" s="229"/>
      <c r="H11" s="229"/>
      <c r="I11" s="229"/>
      <c r="J11" s="229"/>
      <c r="K11" s="229"/>
      <c r="L11" s="229"/>
      <c r="M11" s="230"/>
    </row>
    <row r="12" spans="1:13" x14ac:dyDescent="0.25">
      <c r="A12" s="64"/>
      <c r="B12" s="33">
        <v>2014</v>
      </c>
      <c r="C12" s="33">
        <v>2015</v>
      </c>
      <c r="D12" s="33">
        <v>2016</v>
      </c>
      <c r="E12" s="33">
        <v>2017</v>
      </c>
      <c r="F12" s="33">
        <v>2018</v>
      </c>
      <c r="G12" s="33">
        <v>2019</v>
      </c>
      <c r="H12" s="57">
        <v>2020</v>
      </c>
      <c r="I12" s="54">
        <v>2021</v>
      </c>
      <c r="J12" s="33">
        <v>2022</v>
      </c>
      <c r="K12" s="33">
        <v>2023</v>
      </c>
      <c r="L12" s="33">
        <v>2024</v>
      </c>
      <c r="M12" s="33">
        <v>2025</v>
      </c>
    </row>
    <row r="13" spans="1:13" x14ac:dyDescent="0.25">
      <c r="A13" s="34" t="s">
        <v>54</v>
      </c>
      <c r="B13" s="35">
        <v>31.1096538</v>
      </c>
      <c r="C13" s="35">
        <v>31.721651699999999</v>
      </c>
      <c r="D13" s="35">
        <v>29.306358800000002</v>
      </c>
      <c r="E13" s="35">
        <v>30.676106099999998</v>
      </c>
      <c r="F13" s="35">
        <v>29.802129900000001</v>
      </c>
      <c r="G13" s="35">
        <v>30.128775699999998</v>
      </c>
      <c r="H13" s="58">
        <v>32.222292699999997</v>
      </c>
      <c r="I13" s="38">
        <v>33.530741800000001</v>
      </c>
      <c r="J13" s="35">
        <v>33.8732562</v>
      </c>
      <c r="K13" s="35">
        <v>31.779747400000002</v>
      </c>
      <c r="L13" s="35">
        <v>32.402537299999999</v>
      </c>
      <c r="M13" s="35">
        <v>31.472162900000001</v>
      </c>
    </row>
    <row r="14" spans="1:13" x14ac:dyDescent="0.25">
      <c r="A14" s="34" t="s">
        <v>55</v>
      </c>
      <c r="B14" s="35">
        <v>48.973266700000003</v>
      </c>
      <c r="C14" s="35">
        <v>47.492512499999997</v>
      </c>
      <c r="D14" s="35">
        <v>50.490970799999999</v>
      </c>
      <c r="E14" s="35">
        <v>48.842096099999999</v>
      </c>
      <c r="F14" s="35">
        <v>50.238807999999999</v>
      </c>
      <c r="G14" s="35">
        <v>47.2219281</v>
      </c>
      <c r="H14" s="58">
        <v>48.2496735</v>
      </c>
      <c r="I14" s="38">
        <v>44.5606814</v>
      </c>
      <c r="J14" s="35">
        <v>45.310390699999999</v>
      </c>
      <c r="K14" s="35">
        <v>46.1135819</v>
      </c>
      <c r="L14" s="35">
        <v>46.565016499999999</v>
      </c>
      <c r="M14" s="35">
        <v>45.002518799999997</v>
      </c>
    </row>
    <row r="15" spans="1:13" x14ac:dyDescent="0.25">
      <c r="A15" s="34" t="s">
        <v>56</v>
      </c>
      <c r="B15" s="35">
        <v>15.893095300000001</v>
      </c>
      <c r="C15" s="35">
        <v>16.563399499999999</v>
      </c>
      <c r="D15" s="35">
        <v>16.348578100000001</v>
      </c>
      <c r="E15" s="35">
        <v>16.135016199999999</v>
      </c>
      <c r="F15" s="35">
        <v>16.344575800000001</v>
      </c>
      <c r="G15" s="35">
        <v>18.2689457</v>
      </c>
      <c r="H15" s="58">
        <v>15.898651299999999</v>
      </c>
      <c r="I15" s="38">
        <v>17.6810136</v>
      </c>
      <c r="J15" s="35">
        <v>16.273192099999999</v>
      </c>
      <c r="K15" s="35">
        <v>16.935914</v>
      </c>
      <c r="L15" s="35">
        <v>16.3854826</v>
      </c>
      <c r="M15" s="35">
        <v>17.1106774</v>
      </c>
    </row>
    <row r="16" spans="1:13" x14ac:dyDescent="0.25">
      <c r="A16" s="34" t="s">
        <v>57</v>
      </c>
      <c r="B16" s="35">
        <v>4.0239842299999999</v>
      </c>
      <c r="C16" s="35">
        <v>4.2224362900000001</v>
      </c>
      <c r="D16" s="35">
        <v>3.8540923500000002</v>
      </c>
      <c r="E16" s="35">
        <v>4.3467815600000002</v>
      </c>
      <c r="F16" s="35">
        <v>3.6144861599999998</v>
      </c>
      <c r="G16" s="35">
        <v>4.3803504899999997</v>
      </c>
      <c r="H16" s="58">
        <v>3.6293825599999998</v>
      </c>
      <c r="I16" s="38">
        <v>4.2275631499999999</v>
      </c>
      <c r="J16" s="35">
        <v>4.5431609499999999</v>
      </c>
      <c r="K16" s="35">
        <v>5.1707567299999999</v>
      </c>
      <c r="L16" s="35">
        <v>4.64696351</v>
      </c>
      <c r="M16" s="35">
        <v>6.4146409999999996</v>
      </c>
    </row>
    <row r="17" spans="1:13" x14ac:dyDescent="0.25">
      <c r="A17" s="36"/>
      <c r="B17" s="36"/>
      <c r="C17" s="36"/>
      <c r="D17" s="36"/>
      <c r="E17" s="36"/>
      <c r="F17" s="36"/>
      <c r="G17" s="36"/>
      <c r="H17" s="36"/>
      <c r="I17" s="37"/>
      <c r="J17" s="37"/>
      <c r="K17" s="37"/>
      <c r="L17" s="37"/>
      <c r="M17" s="37"/>
    </row>
    <row r="18" spans="1:13" x14ac:dyDescent="0.25">
      <c r="A18" s="62"/>
      <c r="B18" s="228" t="s">
        <v>3</v>
      </c>
      <c r="C18" s="229"/>
      <c r="D18" s="229"/>
      <c r="E18" s="229"/>
      <c r="F18" s="229"/>
      <c r="G18" s="229"/>
      <c r="H18" s="229"/>
      <c r="I18" s="229"/>
      <c r="J18" s="229"/>
      <c r="K18" s="229"/>
      <c r="L18" s="229"/>
      <c r="M18" s="230"/>
    </row>
    <row r="19" spans="1:13" x14ac:dyDescent="0.25">
      <c r="A19" s="64"/>
      <c r="B19" s="33">
        <v>2014</v>
      </c>
      <c r="C19" s="33">
        <v>2015</v>
      </c>
      <c r="D19" s="33">
        <v>2016</v>
      </c>
      <c r="E19" s="33">
        <v>2017</v>
      </c>
      <c r="F19" s="33">
        <v>2018</v>
      </c>
      <c r="G19" s="33">
        <v>2019</v>
      </c>
      <c r="H19" s="57">
        <v>2020</v>
      </c>
      <c r="I19" s="54">
        <v>2021</v>
      </c>
      <c r="J19" s="33">
        <v>2022</v>
      </c>
      <c r="K19" s="33">
        <v>2023</v>
      </c>
      <c r="L19" s="33">
        <v>2024</v>
      </c>
      <c r="M19" s="33">
        <v>2025</v>
      </c>
    </row>
    <row r="20" spans="1:13" x14ac:dyDescent="0.25">
      <c r="A20" s="34" t="s">
        <v>54</v>
      </c>
      <c r="B20" s="35">
        <v>36.606704200000003</v>
      </c>
      <c r="C20" s="35">
        <v>34.4672178</v>
      </c>
      <c r="D20" s="35">
        <v>35.128022999999999</v>
      </c>
      <c r="E20" s="35">
        <v>34.591513200000001</v>
      </c>
      <c r="F20" s="35">
        <v>34.289766499999999</v>
      </c>
      <c r="G20" s="35">
        <v>34.6115791</v>
      </c>
      <c r="H20" s="58">
        <v>37.085034399999998</v>
      </c>
      <c r="I20" s="38">
        <v>40.596839299999999</v>
      </c>
      <c r="J20" s="35">
        <v>37.895303200000001</v>
      </c>
      <c r="K20" s="35">
        <v>40.045063300000002</v>
      </c>
      <c r="L20" s="35">
        <v>35.564251400000003</v>
      </c>
      <c r="M20" s="35">
        <v>37.088383100000001</v>
      </c>
    </row>
    <row r="21" spans="1:13" x14ac:dyDescent="0.25">
      <c r="A21" s="34" t="s">
        <v>55</v>
      </c>
      <c r="B21" s="35">
        <v>47.161037399999998</v>
      </c>
      <c r="C21" s="35">
        <v>50.2696398</v>
      </c>
      <c r="D21" s="35">
        <v>49.9453216</v>
      </c>
      <c r="E21" s="35">
        <v>48.144752799999999</v>
      </c>
      <c r="F21" s="35">
        <v>49.036663500000003</v>
      </c>
      <c r="G21" s="35">
        <v>47.637227199999998</v>
      </c>
      <c r="H21" s="58">
        <v>46.5719007</v>
      </c>
      <c r="I21" s="38">
        <v>41.054295000000003</v>
      </c>
      <c r="J21" s="35">
        <v>43.424688799999998</v>
      </c>
      <c r="K21" s="35">
        <v>42.193940099999999</v>
      </c>
      <c r="L21" s="35">
        <v>44.538984499999998</v>
      </c>
      <c r="M21" s="35">
        <v>42.504335300000001</v>
      </c>
    </row>
    <row r="22" spans="1:13" x14ac:dyDescent="0.25">
      <c r="A22" s="34" t="s">
        <v>56</v>
      </c>
      <c r="B22" s="35">
        <v>13.4490964</v>
      </c>
      <c r="C22" s="35">
        <v>13.014545</v>
      </c>
      <c r="D22" s="35">
        <v>13.009833199999999</v>
      </c>
      <c r="E22" s="35">
        <v>13.950231199999999</v>
      </c>
      <c r="F22" s="35">
        <v>12.9457141</v>
      </c>
      <c r="G22" s="35">
        <v>15.0264775</v>
      </c>
      <c r="H22" s="58">
        <v>14.011730500000001</v>
      </c>
      <c r="I22" s="38">
        <v>14.885266700000001</v>
      </c>
      <c r="J22" s="35">
        <v>15.0333062</v>
      </c>
      <c r="K22" s="35">
        <v>14.716218599999999</v>
      </c>
      <c r="L22" s="35">
        <v>16.546194499999999</v>
      </c>
      <c r="M22" s="35">
        <v>15.7857576</v>
      </c>
    </row>
    <row r="23" spans="1:13" x14ac:dyDescent="0.25">
      <c r="A23" s="34" t="s">
        <v>57</v>
      </c>
      <c r="B23" s="35">
        <v>2.7831620400000001</v>
      </c>
      <c r="C23" s="35">
        <v>2.24859739</v>
      </c>
      <c r="D23" s="35">
        <v>1.9168221999999999</v>
      </c>
      <c r="E23" s="35">
        <v>3.3135028599999998</v>
      </c>
      <c r="F23" s="35">
        <v>3.7278558799999999</v>
      </c>
      <c r="G23" s="35">
        <v>2.7247161800000002</v>
      </c>
      <c r="H23" s="58">
        <v>2.3313343099999999</v>
      </c>
      <c r="I23" s="38">
        <v>3.4635990099999998</v>
      </c>
      <c r="J23" s="35">
        <v>3.64670176</v>
      </c>
      <c r="K23" s="35">
        <v>3.0447780600000001</v>
      </c>
      <c r="L23" s="35">
        <v>3.3505696199999999</v>
      </c>
      <c r="M23" s="35">
        <v>4.6215240199999998</v>
      </c>
    </row>
    <row r="25" spans="1:13" x14ac:dyDescent="0.25">
      <c r="A25" s="60"/>
      <c r="B25" s="228" t="s">
        <v>58</v>
      </c>
      <c r="C25" s="229"/>
      <c r="D25" s="229"/>
      <c r="E25" s="229"/>
      <c r="F25" s="229"/>
      <c r="G25" s="229"/>
      <c r="H25" s="229"/>
      <c r="I25" s="229"/>
      <c r="J25" s="229"/>
      <c r="K25" s="229"/>
      <c r="L25" s="229"/>
      <c r="M25" s="230"/>
    </row>
    <row r="26" spans="1:13" x14ac:dyDescent="0.25">
      <c r="A26" s="61"/>
      <c r="B26" s="33">
        <v>2014</v>
      </c>
      <c r="C26" s="33">
        <v>2015</v>
      </c>
      <c r="D26" s="33">
        <v>2016</v>
      </c>
      <c r="E26" s="33">
        <v>2017</v>
      </c>
      <c r="F26" s="33">
        <v>2018</v>
      </c>
      <c r="G26" s="33">
        <v>2019</v>
      </c>
      <c r="H26" s="57">
        <v>2020</v>
      </c>
      <c r="I26" s="54">
        <v>2021</v>
      </c>
      <c r="J26" s="33">
        <v>2022</v>
      </c>
      <c r="K26" s="33">
        <v>2023</v>
      </c>
      <c r="L26" s="33">
        <v>2024</v>
      </c>
      <c r="M26" s="33">
        <v>2025</v>
      </c>
    </row>
    <row r="27" spans="1:13" x14ac:dyDescent="0.25">
      <c r="A27" s="34" t="s">
        <v>54</v>
      </c>
      <c r="B27" s="35">
        <v>35.802126299999998</v>
      </c>
      <c r="C27" s="35">
        <v>35.646427799999998</v>
      </c>
      <c r="D27" s="35">
        <v>34.764881099999997</v>
      </c>
      <c r="E27" s="35">
        <v>35.6726691</v>
      </c>
      <c r="F27" s="35">
        <v>35.316402799999999</v>
      </c>
      <c r="G27" s="35">
        <v>34.921835899999998</v>
      </c>
      <c r="H27" s="58">
        <v>36.8446608</v>
      </c>
      <c r="I27" s="38">
        <v>40.023835099999999</v>
      </c>
      <c r="J27" s="35">
        <v>38.505080300000003</v>
      </c>
      <c r="K27" s="35">
        <v>37.302660699999997</v>
      </c>
      <c r="L27" s="35">
        <v>36.686245300000003</v>
      </c>
      <c r="M27" s="35">
        <v>37.205466100000002</v>
      </c>
    </row>
    <row r="28" spans="1:13" x14ac:dyDescent="0.25">
      <c r="A28" s="34" t="s">
        <v>55</v>
      </c>
      <c r="B28" s="35">
        <v>47.270349299999999</v>
      </c>
      <c r="C28" s="35">
        <v>47.4690218</v>
      </c>
      <c r="D28" s="35">
        <v>48.932470100000003</v>
      </c>
      <c r="E28" s="35">
        <v>47.2881663</v>
      </c>
      <c r="F28" s="35">
        <v>47.776237899999998</v>
      </c>
      <c r="G28" s="35">
        <v>46.533489000000003</v>
      </c>
      <c r="H28" s="58">
        <v>46.797877499999998</v>
      </c>
      <c r="I28" s="38">
        <v>41.683379299999999</v>
      </c>
      <c r="J28" s="35">
        <v>43.742096699999998</v>
      </c>
      <c r="K28" s="35">
        <v>44.525578500000002</v>
      </c>
      <c r="L28" s="35">
        <v>44.817773500000001</v>
      </c>
      <c r="M28" s="35">
        <v>42.605006400000001</v>
      </c>
    </row>
    <row r="29" spans="1:13" x14ac:dyDescent="0.25">
      <c r="A29" s="34" t="s">
        <v>56</v>
      </c>
      <c r="B29" s="35">
        <v>13.9393838</v>
      </c>
      <c r="C29" s="35">
        <v>13.6665422</v>
      </c>
      <c r="D29" s="35">
        <v>13.457598600000001</v>
      </c>
      <c r="E29" s="35">
        <v>13.7091876</v>
      </c>
      <c r="F29" s="35">
        <v>13.848858399999999</v>
      </c>
      <c r="G29" s="35">
        <v>15.2400591</v>
      </c>
      <c r="H29" s="58">
        <v>13.574354700000001</v>
      </c>
      <c r="I29" s="38">
        <v>14.9724643</v>
      </c>
      <c r="J29" s="35">
        <v>14.102195800000001</v>
      </c>
      <c r="K29" s="35">
        <v>14.4312796</v>
      </c>
      <c r="L29" s="35">
        <v>14.784122099999999</v>
      </c>
      <c r="M29" s="35">
        <v>15.088340199999999</v>
      </c>
    </row>
    <row r="30" spans="1:13" x14ac:dyDescent="0.25">
      <c r="A30" s="34" t="s">
        <v>57</v>
      </c>
      <c r="B30" s="35">
        <v>2.9881405299999999</v>
      </c>
      <c r="C30" s="35">
        <v>3.2180080900000001</v>
      </c>
      <c r="D30" s="35">
        <v>2.8450502000000002</v>
      </c>
      <c r="E30" s="35">
        <v>3.32997699</v>
      </c>
      <c r="F30" s="35">
        <v>3.0585008199999999</v>
      </c>
      <c r="G30" s="35">
        <v>3.30461596</v>
      </c>
      <c r="H30" s="58">
        <v>2.7831069300000002</v>
      </c>
      <c r="I30" s="38">
        <v>3.32032127</v>
      </c>
      <c r="J30" s="35">
        <v>3.6506271799999999</v>
      </c>
      <c r="K30" s="35">
        <v>3.7404812500000002</v>
      </c>
      <c r="L30" s="35">
        <v>3.7118592000000001</v>
      </c>
      <c r="M30" s="35">
        <v>5.1011872699999996</v>
      </c>
    </row>
    <row r="31" spans="1:13" x14ac:dyDescent="0.25">
      <c r="A31" s="36"/>
      <c r="B31" s="36"/>
      <c r="C31" s="36"/>
      <c r="D31" s="36"/>
      <c r="E31" s="36"/>
      <c r="F31" s="36"/>
      <c r="G31" s="36"/>
      <c r="H31" s="36"/>
      <c r="I31" s="37"/>
      <c r="J31" s="37"/>
      <c r="K31" s="37"/>
      <c r="L31" s="37"/>
      <c r="M31" s="37"/>
    </row>
    <row r="32" spans="1:13" x14ac:dyDescent="0.25">
      <c r="A32" s="62"/>
      <c r="B32" s="228" t="s">
        <v>59</v>
      </c>
      <c r="C32" s="229"/>
      <c r="D32" s="229"/>
      <c r="E32" s="229"/>
      <c r="F32" s="229"/>
      <c r="G32" s="229"/>
      <c r="H32" s="229"/>
      <c r="I32" s="229"/>
      <c r="J32" s="229"/>
      <c r="K32" s="229"/>
      <c r="L32" s="229"/>
      <c r="M32" s="230"/>
    </row>
    <row r="33" spans="1:13" x14ac:dyDescent="0.25">
      <c r="A33" s="64"/>
      <c r="B33" s="33">
        <v>2014</v>
      </c>
      <c r="C33" s="33">
        <v>2015</v>
      </c>
      <c r="D33" s="33">
        <v>2016</v>
      </c>
      <c r="E33" s="33">
        <v>2017</v>
      </c>
      <c r="F33" s="33">
        <v>2018</v>
      </c>
      <c r="G33" s="33">
        <v>2019</v>
      </c>
      <c r="H33" s="57">
        <v>2020</v>
      </c>
      <c r="I33" s="54">
        <v>2021</v>
      </c>
      <c r="J33" s="33">
        <v>2022</v>
      </c>
      <c r="K33" s="33">
        <v>2023</v>
      </c>
      <c r="L33" s="33">
        <v>2024</v>
      </c>
      <c r="M33" s="33">
        <v>2025</v>
      </c>
    </row>
    <row r="34" spans="1:13" x14ac:dyDescent="0.25">
      <c r="A34" s="34" t="s">
        <v>54</v>
      </c>
      <c r="B34" s="35">
        <v>35.945142599999997</v>
      </c>
      <c r="C34" s="35">
        <v>36.591220100000001</v>
      </c>
      <c r="D34" s="35">
        <v>35.668673900000002</v>
      </c>
      <c r="E34" s="35">
        <v>35.930822800000001</v>
      </c>
      <c r="F34" s="35">
        <v>35.977415299999997</v>
      </c>
      <c r="G34" s="35">
        <v>35.625582799999997</v>
      </c>
      <c r="H34" s="58">
        <v>38.256141499999998</v>
      </c>
      <c r="I34" s="38">
        <v>41.988232099999998</v>
      </c>
      <c r="J34" s="35">
        <v>40.652601500000003</v>
      </c>
      <c r="K34" s="35">
        <v>38.922263700000002</v>
      </c>
      <c r="L34" s="35">
        <v>39.307259899999998</v>
      </c>
      <c r="M34" s="35">
        <v>37.655785999999999</v>
      </c>
    </row>
    <row r="35" spans="1:13" x14ac:dyDescent="0.25">
      <c r="A35" s="34" t="s">
        <v>55</v>
      </c>
      <c r="B35" s="35">
        <v>47.377697400000002</v>
      </c>
      <c r="C35" s="35">
        <v>46.680814900000001</v>
      </c>
      <c r="D35" s="35">
        <v>47.758862800000003</v>
      </c>
      <c r="E35" s="35">
        <v>47.165885899999999</v>
      </c>
      <c r="F35" s="35">
        <v>46.850532800000003</v>
      </c>
      <c r="G35" s="35">
        <v>46.400555300000001</v>
      </c>
      <c r="H35" s="58">
        <v>45.8793164</v>
      </c>
      <c r="I35" s="38">
        <v>41.7090934</v>
      </c>
      <c r="J35" s="35">
        <v>40.880101600000003</v>
      </c>
      <c r="K35" s="35">
        <v>43.527135399999999</v>
      </c>
      <c r="L35" s="35">
        <v>43.269864200000001</v>
      </c>
      <c r="M35" s="35">
        <v>43.418245499999998</v>
      </c>
    </row>
    <row r="36" spans="1:13" x14ac:dyDescent="0.25">
      <c r="A36" s="34" t="s">
        <v>56</v>
      </c>
      <c r="B36" s="35">
        <v>13.6099695</v>
      </c>
      <c r="C36" s="35">
        <v>13.8599724</v>
      </c>
      <c r="D36" s="35">
        <v>13.477447</v>
      </c>
      <c r="E36" s="35">
        <v>13.552964599999999</v>
      </c>
      <c r="F36" s="35">
        <v>13.962064</v>
      </c>
      <c r="G36" s="35">
        <v>14.439009</v>
      </c>
      <c r="H36" s="58">
        <v>13.1472949</v>
      </c>
      <c r="I36" s="38">
        <v>13.165241399999999</v>
      </c>
      <c r="J36" s="35">
        <v>14.9846536</v>
      </c>
      <c r="K36" s="35">
        <v>13.650953700000001</v>
      </c>
      <c r="L36" s="35">
        <v>13.6326579</v>
      </c>
      <c r="M36" s="35">
        <v>14.7228165</v>
      </c>
    </row>
    <row r="37" spans="1:13" x14ac:dyDescent="0.25">
      <c r="A37" s="34" t="s">
        <v>57</v>
      </c>
      <c r="B37" s="35">
        <v>3.06719052</v>
      </c>
      <c r="C37" s="35">
        <v>2.8679926600000001</v>
      </c>
      <c r="D37" s="35">
        <v>3.0950163100000001</v>
      </c>
      <c r="E37" s="35">
        <v>3.35032665</v>
      </c>
      <c r="F37" s="35">
        <v>3.20998786</v>
      </c>
      <c r="G37" s="35">
        <v>3.5348529700000002</v>
      </c>
      <c r="H37" s="58">
        <v>2.7172471699999998</v>
      </c>
      <c r="I37" s="38">
        <v>3.1374330600000002</v>
      </c>
      <c r="J37" s="35">
        <v>3.4826432899999999</v>
      </c>
      <c r="K37" s="35">
        <v>3.89964713</v>
      </c>
      <c r="L37" s="35">
        <v>3.7902178900000001</v>
      </c>
      <c r="M37" s="35">
        <v>4.2031519399999997</v>
      </c>
    </row>
    <row r="38" spans="1:13" ht="18" customHeight="1" x14ac:dyDescent="0.25">
      <c r="A38" s="39" t="s">
        <v>67</v>
      </c>
    </row>
    <row r="39" spans="1:13" ht="28.5" customHeight="1" x14ac:dyDescent="0.25">
      <c r="A39" s="224" t="s">
        <v>60</v>
      </c>
      <c r="B39" s="224"/>
      <c r="C39" s="224"/>
      <c r="D39" s="224"/>
      <c r="E39" s="224"/>
      <c r="F39" s="224"/>
      <c r="G39" s="224"/>
      <c r="H39" s="224"/>
      <c r="I39" s="224"/>
      <c r="J39" s="224"/>
      <c r="K39" s="224"/>
      <c r="L39" s="224"/>
      <c r="M39" s="224"/>
    </row>
    <row r="40" spans="1:13" ht="15.6" customHeight="1" x14ac:dyDescent="0.25">
      <c r="A40" s="52" t="s">
        <v>68</v>
      </c>
    </row>
  </sheetData>
  <mergeCells count="6">
    <mergeCell ref="A39:M39"/>
    <mergeCell ref="B4:M4"/>
    <mergeCell ref="B11:M11"/>
    <mergeCell ref="B18:M18"/>
    <mergeCell ref="B25:M25"/>
    <mergeCell ref="B32:M3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13FF-7339-4B35-B00E-403D606EF35D}">
  <dimension ref="A1:M30"/>
  <sheetViews>
    <sheetView zoomScaleNormal="100" workbookViewId="0"/>
  </sheetViews>
  <sheetFormatPr baseColWidth="10" defaultColWidth="11.44140625" defaultRowHeight="13.2" x14ac:dyDescent="0.25"/>
  <cols>
    <col min="1" max="1" width="50.33203125" style="40" customWidth="1"/>
    <col min="2" max="8" width="8.33203125" style="40" customWidth="1"/>
    <col min="9" max="13" width="8.33203125" style="14" customWidth="1"/>
    <col min="14" max="14" width="8.44140625" style="14" customWidth="1"/>
    <col min="15" max="16384" width="11.44140625" style="14"/>
  </cols>
  <sheetData>
    <row r="1" spans="1:13" x14ac:dyDescent="0.25">
      <c r="A1" s="32" t="s">
        <v>89</v>
      </c>
    </row>
    <row r="2" spans="1:13" x14ac:dyDescent="0.25">
      <c r="A2" s="32"/>
    </row>
    <row r="3" spans="1:13" x14ac:dyDescent="0.25">
      <c r="A3" s="14" t="s">
        <v>53</v>
      </c>
    </row>
    <row r="4" spans="1:13" x14ac:dyDescent="0.25">
      <c r="A4" s="234"/>
      <c r="B4" s="233" t="s">
        <v>1</v>
      </c>
      <c r="C4" s="233"/>
      <c r="D4" s="233"/>
      <c r="E4" s="233"/>
      <c r="F4" s="233"/>
      <c r="G4" s="233"/>
      <c r="H4" s="233"/>
      <c r="I4" s="233"/>
      <c r="J4" s="233"/>
      <c r="K4" s="233"/>
      <c r="L4" s="233"/>
      <c r="M4" s="233"/>
    </row>
    <row r="5" spans="1:13" x14ac:dyDescent="0.25">
      <c r="A5" s="235"/>
      <c r="B5" s="33">
        <v>2014</v>
      </c>
      <c r="C5" s="33">
        <v>2015</v>
      </c>
      <c r="D5" s="33">
        <v>2016</v>
      </c>
      <c r="E5" s="33">
        <v>2017</v>
      </c>
      <c r="F5" s="33">
        <v>2018</v>
      </c>
      <c r="G5" s="33">
        <v>2019</v>
      </c>
      <c r="H5" s="57">
        <v>2020</v>
      </c>
      <c r="I5" s="54">
        <v>2021</v>
      </c>
      <c r="J5" s="33">
        <v>2022</v>
      </c>
      <c r="K5" s="33">
        <v>2023</v>
      </c>
      <c r="L5" s="33">
        <v>2024</v>
      </c>
      <c r="M5" s="33">
        <v>2025</v>
      </c>
    </row>
    <row r="6" spans="1:13" x14ac:dyDescent="0.25">
      <c r="A6" s="41" t="s">
        <v>61</v>
      </c>
      <c r="B6" s="35">
        <v>19.577410400000002</v>
      </c>
      <c r="C6" s="35">
        <v>19.854077400000001</v>
      </c>
      <c r="D6" s="35">
        <v>18.879825700000001</v>
      </c>
      <c r="E6" s="35">
        <v>19.8617323</v>
      </c>
      <c r="F6" s="35">
        <v>19.8724566</v>
      </c>
      <c r="G6" s="35">
        <v>20.3511077</v>
      </c>
      <c r="H6" s="58">
        <v>22.4198345</v>
      </c>
      <c r="I6" s="38">
        <v>22.372807900000002</v>
      </c>
      <c r="J6" s="35">
        <v>22.969891000000001</v>
      </c>
      <c r="K6" s="35">
        <v>24.033332699999999</v>
      </c>
      <c r="L6" s="35">
        <v>24.873859400000001</v>
      </c>
      <c r="M6" s="35">
        <v>26.779371000000001</v>
      </c>
    </row>
    <row r="7" spans="1:13" x14ac:dyDescent="0.25">
      <c r="A7" s="41" t="s">
        <v>62</v>
      </c>
      <c r="B7" s="35">
        <v>80.422589599999995</v>
      </c>
      <c r="C7" s="35">
        <v>80.145922600000006</v>
      </c>
      <c r="D7" s="35">
        <v>81.120174300000002</v>
      </c>
      <c r="E7" s="35">
        <v>80.1382677</v>
      </c>
      <c r="F7" s="35">
        <v>80.127543399999993</v>
      </c>
      <c r="G7" s="35">
        <v>79.6488923</v>
      </c>
      <c r="H7" s="58">
        <v>77.580165500000007</v>
      </c>
      <c r="I7" s="38">
        <v>77.627192100000002</v>
      </c>
      <c r="J7" s="35">
        <v>77.030108999999996</v>
      </c>
      <c r="K7" s="35">
        <v>75.966667299999997</v>
      </c>
      <c r="L7" s="35">
        <v>75.126140599999999</v>
      </c>
      <c r="M7" s="35">
        <v>73.220629000000002</v>
      </c>
    </row>
    <row r="8" spans="1:13" ht="12.6" customHeight="1" x14ac:dyDescent="0.25">
      <c r="A8" s="42"/>
      <c r="B8" s="42"/>
      <c r="C8" s="42"/>
      <c r="D8" s="42"/>
      <c r="E8" s="42"/>
      <c r="F8" s="42"/>
      <c r="G8" s="42"/>
      <c r="H8" s="42"/>
      <c r="I8" s="37"/>
      <c r="J8" s="37"/>
      <c r="K8" s="37"/>
      <c r="L8" s="37"/>
      <c r="M8" s="37"/>
    </row>
    <row r="9" spans="1:13" x14ac:dyDescent="0.25">
      <c r="A9" s="231"/>
      <c r="B9" s="233" t="s">
        <v>2</v>
      </c>
      <c r="C9" s="233"/>
      <c r="D9" s="233"/>
      <c r="E9" s="233"/>
      <c r="F9" s="233"/>
      <c r="G9" s="233"/>
      <c r="H9" s="233"/>
      <c r="I9" s="233"/>
      <c r="J9" s="233"/>
      <c r="K9" s="233"/>
      <c r="L9" s="233"/>
      <c r="M9" s="233"/>
    </row>
    <row r="10" spans="1:13" x14ac:dyDescent="0.25">
      <c r="A10" s="232"/>
      <c r="B10" s="33">
        <v>2014</v>
      </c>
      <c r="C10" s="33">
        <v>2015</v>
      </c>
      <c r="D10" s="33">
        <v>2016</v>
      </c>
      <c r="E10" s="33">
        <v>2017</v>
      </c>
      <c r="F10" s="33">
        <v>2018</v>
      </c>
      <c r="G10" s="33">
        <v>2019</v>
      </c>
      <c r="H10" s="57">
        <v>2020</v>
      </c>
      <c r="I10" s="54">
        <v>2021</v>
      </c>
      <c r="J10" s="33">
        <v>2022</v>
      </c>
      <c r="K10" s="33">
        <v>2023</v>
      </c>
      <c r="L10" s="33">
        <v>2024</v>
      </c>
      <c r="M10" s="33">
        <v>2025</v>
      </c>
    </row>
    <row r="11" spans="1:13" x14ac:dyDescent="0.25">
      <c r="A11" s="41" t="s">
        <v>61</v>
      </c>
      <c r="B11" s="35">
        <v>23.361961999999998</v>
      </c>
      <c r="C11" s="35">
        <v>24.521408699999999</v>
      </c>
      <c r="D11" s="35">
        <v>24.3833275</v>
      </c>
      <c r="E11" s="35">
        <v>24.847190399999999</v>
      </c>
      <c r="F11" s="35">
        <v>23.5819379</v>
      </c>
      <c r="G11" s="35">
        <v>25.709599399999998</v>
      </c>
      <c r="H11" s="58">
        <v>26.606178400000001</v>
      </c>
      <c r="I11" s="38">
        <v>28.738852699999999</v>
      </c>
      <c r="J11" s="35">
        <v>29.283272</v>
      </c>
      <c r="K11" s="35">
        <v>30.416860499999999</v>
      </c>
      <c r="L11" s="35">
        <v>29.6654354</v>
      </c>
      <c r="M11" s="35">
        <v>34.210398599999998</v>
      </c>
    </row>
    <row r="12" spans="1:13" x14ac:dyDescent="0.25">
      <c r="A12" s="41" t="s">
        <v>62</v>
      </c>
      <c r="B12" s="35">
        <v>76.638037999999995</v>
      </c>
      <c r="C12" s="35">
        <v>75.478591300000005</v>
      </c>
      <c r="D12" s="35">
        <v>75.616672500000007</v>
      </c>
      <c r="E12" s="35">
        <v>75.152809599999998</v>
      </c>
      <c r="F12" s="35">
        <v>76.4180621</v>
      </c>
      <c r="G12" s="35">
        <v>74.290400599999998</v>
      </c>
      <c r="H12" s="58">
        <v>73.393821599999995</v>
      </c>
      <c r="I12" s="38">
        <v>71.261147300000005</v>
      </c>
      <c r="J12" s="35">
        <v>70.716728000000003</v>
      </c>
      <c r="K12" s="35">
        <v>69.583139500000001</v>
      </c>
      <c r="L12" s="35">
        <v>70.334564599999993</v>
      </c>
      <c r="M12" s="35">
        <v>65.789601399999995</v>
      </c>
    </row>
    <row r="14" spans="1:13" x14ac:dyDescent="0.25">
      <c r="A14" s="234"/>
      <c r="B14" s="233" t="s">
        <v>3</v>
      </c>
      <c r="C14" s="233"/>
      <c r="D14" s="233"/>
      <c r="E14" s="233"/>
      <c r="F14" s="233"/>
      <c r="G14" s="233"/>
      <c r="H14" s="233"/>
      <c r="I14" s="233"/>
      <c r="J14" s="233"/>
      <c r="K14" s="233"/>
      <c r="L14" s="233"/>
      <c r="M14" s="233"/>
    </row>
    <row r="15" spans="1:13" x14ac:dyDescent="0.25">
      <c r="A15" s="235"/>
      <c r="B15" s="33">
        <v>2014</v>
      </c>
      <c r="C15" s="33">
        <v>2015</v>
      </c>
      <c r="D15" s="33">
        <v>2016</v>
      </c>
      <c r="E15" s="33">
        <v>2017</v>
      </c>
      <c r="F15" s="33">
        <v>2018</v>
      </c>
      <c r="G15" s="33">
        <v>2019</v>
      </c>
      <c r="H15" s="57">
        <v>2020</v>
      </c>
      <c r="I15" s="54">
        <v>2021</v>
      </c>
      <c r="J15" s="33">
        <v>2022</v>
      </c>
      <c r="K15" s="33">
        <v>2023</v>
      </c>
      <c r="L15" s="33">
        <v>2024</v>
      </c>
      <c r="M15" s="33">
        <v>2025</v>
      </c>
    </row>
    <row r="16" spans="1:13" x14ac:dyDescent="0.25">
      <c r="A16" s="41" t="s">
        <v>61</v>
      </c>
      <c r="B16" s="35">
        <v>21.3482029</v>
      </c>
      <c r="C16" s="35">
        <v>21.192139900000001</v>
      </c>
      <c r="D16" s="35">
        <v>21.071396400000001</v>
      </c>
      <c r="E16" s="35">
        <v>22.027409500000001</v>
      </c>
      <c r="F16" s="35">
        <v>24.035425</v>
      </c>
      <c r="G16" s="35">
        <v>23.813922999999999</v>
      </c>
      <c r="H16" s="58">
        <v>22.267343199999999</v>
      </c>
      <c r="I16" s="38">
        <v>24.050386400000001</v>
      </c>
      <c r="J16" s="35">
        <v>26.9380892</v>
      </c>
      <c r="K16" s="35">
        <v>25.946964399999999</v>
      </c>
      <c r="L16" s="35">
        <v>28.667586499999999</v>
      </c>
      <c r="M16" s="35">
        <v>32.048349799999997</v>
      </c>
    </row>
    <row r="17" spans="1:13" x14ac:dyDescent="0.25">
      <c r="A17" s="41" t="s">
        <v>62</v>
      </c>
      <c r="B17" s="35">
        <v>78.651797099999996</v>
      </c>
      <c r="C17" s="35">
        <v>78.807860099999999</v>
      </c>
      <c r="D17" s="35">
        <v>78.928603600000002</v>
      </c>
      <c r="E17" s="35">
        <v>77.972590499999995</v>
      </c>
      <c r="F17" s="35">
        <v>75.964574999999996</v>
      </c>
      <c r="G17" s="35">
        <v>76.186076999999997</v>
      </c>
      <c r="H17" s="58">
        <v>77.732656800000001</v>
      </c>
      <c r="I17" s="38">
        <v>75.949613600000006</v>
      </c>
      <c r="J17" s="35">
        <v>73.061910800000007</v>
      </c>
      <c r="K17" s="35">
        <v>74.053035600000001</v>
      </c>
      <c r="L17" s="35">
        <v>71.332413500000001</v>
      </c>
      <c r="M17" s="35">
        <v>67.951650200000003</v>
      </c>
    </row>
    <row r="19" spans="1:13" x14ac:dyDescent="0.25">
      <c r="A19" s="231"/>
      <c r="B19" s="233" t="s">
        <v>58</v>
      </c>
      <c r="C19" s="233"/>
      <c r="D19" s="233"/>
      <c r="E19" s="233"/>
      <c r="F19" s="233"/>
      <c r="G19" s="233"/>
      <c r="H19" s="233"/>
      <c r="I19" s="233"/>
      <c r="J19" s="233"/>
      <c r="K19" s="233"/>
      <c r="L19" s="233"/>
      <c r="M19" s="233"/>
    </row>
    <row r="20" spans="1:13" x14ac:dyDescent="0.25">
      <c r="A20" s="232"/>
      <c r="B20" s="33">
        <v>2014</v>
      </c>
      <c r="C20" s="33">
        <v>2015</v>
      </c>
      <c r="D20" s="33">
        <v>2016</v>
      </c>
      <c r="E20" s="33">
        <v>2017</v>
      </c>
      <c r="F20" s="33">
        <v>2018</v>
      </c>
      <c r="G20" s="33">
        <v>2019</v>
      </c>
      <c r="H20" s="57">
        <v>2020</v>
      </c>
      <c r="I20" s="54">
        <v>2021</v>
      </c>
      <c r="J20" s="33">
        <v>2022</v>
      </c>
      <c r="K20" s="33">
        <v>2023</v>
      </c>
      <c r="L20" s="33">
        <v>2024</v>
      </c>
      <c r="M20" s="33">
        <v>2025</v>
      </c>
    </row>
    <row r="21" spans="1:13" x14ac:dyDescent="0.25">
      <c r="A21" s="41" t="s">
        <v>61</v>
      </c>
      <c r="B21" s="35">
        <v>21.253318100000001</v>
      </c>
      <c r="C21" s="35">
        <v>21.740275</v>
      </c>
      <c r="D21" s="35">
        <v>21.206409900000001</v>
      </c>
      <c r="E21" s="35">
        <v>22.021076399999998</v>
      </c>
      <c r="F21" s="35">
        <v>22.011055299999999</v>
      </c>
      <c r="G21" s="35">
        <v>22.8486671</v>
      </c>
      <c r="H21" s="58">
        <v>23.819362900000002</v>
      </c>
      <c r="I21" s="38">
        <v>24.844895900000001</v>
      </c>
      <c r="J21" s="35">
        <v>25.866963999999999</v>
      </c>
      <c r="K21" s="35">
        <v>26.671848499999999</v>
      </c>
      <c r="L21" s="35">
        <v>27.187477300000001</v>
      </c>
      <c r="M21" s="35">
        <v>30.287848199999999</v>
      </c>
    </row>
    <row r="22" spans="1:13" x14ac:dyDescent="0.25">
      <c r="A22" s="41" t="s">
        <v>62</v>
      </c>
      <c r="B22" s="35">
        <v>78.746681899999999</v>
      </c>
      <c r="C22" s="35">
        <v>78.259725000000003</v>
      </c>
      <c r="D22" s="35">
        <v>78.793590100000003</v>
      </c>
      <c r="E22" s="35">
        <v>77.978923600000002</v>
      </c>
      <c r="F22" s="35">
        <v>77.988944700000005</v>
      </c>
      <c r="G22" s="35">
        <v>77.1513329</v>
      </c>
      <c r="H22" s="58">
        <v>76.180637099999998</v>
      </c>
      <c r="I22" s="38">
        <v>75.155104100000003</v>
      </c>
      <c r="J22" s="35">
        <v>74.133036000000004</v>
      </c>
      <c r="K22" s="35">
        <v>73.328151500000004</v>
      </c>
      <c r="L22" s="35">
        <v>72.812522700000002</v>
      </c>
      <c r="M22" s="35">
        <v>69.712151800000001</v>
      </c>
    </row>
    <row r="23" spans="1:13" x14ac:dyDescent="0.25">
      <c r="I23" s="43"/>
      <c r="J23" s="43"/>
      <c r="K23" s="43"/>
      <c r="L23" s="43"/>
      <c r="M23" s="43"/>
    </row>
    <row r="24" spans="1:13" x14ac:dyDescent="0.25">
      <c r="A24" s="234"/>
      <c r="B24" s="233" t="s">
        <v>44</v>
      </c>
      <c r="C24" s="233"/>
      <c r="D24" s="233"/>
      <c r="E24" s="233"/>
      <c r="F24" s="233"/>
      <c r="G24" s="233"/>
      <c r="H24" s="233"/>
      <c r="I24" s="233"/>
      <c r="J24" s="233"/>
      <c r="K24" s="233"/>
      <c r="L24" s="233"/>
      <c r="M24" s="233"/>
    </row>
    <row r="25" spans="1:13" x14ac:dyDescent="0.25">
      <c r="A25" s="235"/>
      <c r="B25" s="33">
        <v>2014</v>
      </c>
      <c r="C25" s="33">
        <v>2015</v>
      </c>
      <c r="D25" s="33">
        <v>2016</v>
      </c>
      <c r="E25" s="33">
        <v>2017</v>
      </c>
      <c r="F25" s="33">
        <v>2018</v>
      </c>
      <c r="G25" s="33">
        <v>2019</v>
      </c>
      <c r="H25" s="57">
        <v>2020</v>
      </c>
      <c r="I25" s="54">
        <v>2021</v>
      </c>
      <c r="J25" s="33">
        <v>2022</v>
      </c>
      <c r="K25" s="33">
        <v>2023</v>
      </c>
      <c r="L25" s="33">
        <v>2024</v>
      </c>
      <c r="M25" s="33">
        <v>2025</v>
      </c>
    </row>
    <row r="26" spans="1:13" x14ac:dyDescent="0.25">
      <c r="A26" s="41" t="s">
        <v>61</v>
      </c>
      <c r="B26" s="35">
        <v>20.104653200000001</v>
      </c>
      <c r="C26" s="35">
        <v>19.849843</v>
      </c>
      <c r="D26" s="35">
        <v>19.901852600000002</v>
      </c>
      <c r="E26" s="35">
        <v>19.757712399999999</v>
      </c>
      <c r="F26" s="35">
        <v>19.818193300000001</v>
      </c>
      <c r="G26" s="35">
        <v>20.0720828</v>
      </c>
      <c r="H26" s="58">
        <v>20.065719300000001</v>
      </c>
      <c r="I26" s="38">
        <v>22.291617599999999</v>
      </c>
      <c r="J26" s="35">
        <v>24.1938976</v>
      </c>
      <c r="K26" s="35">
        <v>24.1430483</v>
      </c>
      <c r="L26" s="35">
        <v>25.3731996</v>
      </c>
      <c r="M26" s="35">
        <v>25.738998500000001</v>
      </c>
    </row>
    <row r="27" spans="1:13" x14ac:dyDescent="0.25">
      <c r="A27" s="41" t="s">
        <v>62</v>
      </c>
      <c r="B27" s="35">
        <v>79.895346799999999</v>
      </c>
      <c r="C27" s="35">
        <v>80.150156999999993</v>
      </c>
      <c r="D27" s="35">
        <v>80.098147400000002</v>
      </c>
      <c r="E27" s="35">
        <v>80.242287599999997</v>
      </c>
      <c r="F27" s="35">
        <v>80.181806699999996</v>
      </c>
      <c r="G27" s="35">
        <v>79.927917199999996</v>
      </c>
      <c r="H27" s="58">
        <v>79.934280700000002</v>
      </c>
      <c r="I27" s="38">
        <v>77.708382400000005</v>
      </c>
      <c r="J27" s="35">
        <v>75.8061024</v>
      </c>
      <c r="K27" s="35">
        <v>75.856951699999996</v>
      </c>
      <c r="L27" s="35">
        <v>74.626800399999993</v>
      </c>
      <c r="M27" s="35">
        <v>74.261001500000006</v>
      </c>
    </row>
    <row r="28" spans="1:13" ht="19.2" customHeight="1" x14ac:dyDescent="0.25">
      <c r="A28" s="39" t="s">
        <v>67</v>
      </c>
      <c r="H28" s="14"/>
    </row>
    <row r="29" spans="1:13" ht="30.75" customHeight="1" x14ac:dyDescent="0.25">
      <c r="A29" s="224" t="s">
        <v>60</v>
      </c>
      <c r="B29" s="224"/>
      <c r="C29" s="224"/>
      <c r="D29" s="224"/>
      <c r="E29" s="224"/>
      <c r="F29" s="224"/>
      <c r="G29" s="224"/>
      <c r="H29" s="224"/>
      <c r="I29" s="224"/>
      <c r="J29" s="224"/>
      <c r="K29" s="224"/>
      <c r="L29" s="224"/>
      <c r="M29" s="224"/>
    </row>
    <row r="30" spans="1:13" ht="16.95" customHeight="1" x14ac:dyDescent="0.25">
      <c r="A30" s="52" t="s">
        <v>69</v>
      </c>
    </row>
  </sheetData>
  <mergeCells count="11">
    <mergeCell ref="A4:A5"/>
    <mergeCell ref="B4:M4"/>
    <mergeCell ref="A9:A10"/>
    <mergeCell ref="B9:M9"/>
    <mergeCell ref="A14:A15"/>
    <mergeCell ref="B14:M14"/>
    <mergeCell ref="A19:A20"/>
    <mergeCell ref="B19:M19"/>
    <mergeCell ref="A24:A25"/>
    <mergeCell ref="B24:M24"/>
    <mergeCell ref="A29:M2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5F23-6405-48A5-B934-A48141D702ED}">
  <dimension ref="A1:N34"/>
  <sheetViews>
    <sheetView zoomScaleNormal="100" workbookViewId="0"/>
  </sheetViews>
  <sheetFormatPr baseColWidth="10" defaultColWidth="11.44140625" defaultRowHeight="13.2" x14ac:dyDescent="0.25"/>
  <cols>
    <col min="1" max="1" width="27.109375" style="44" customWidth="1"/>
    <col min="2" max="13" width="8.44140625" style="44" customWidth="1"/>
    <col min="14" max="16384" width="11.44140625" style="44"/>
  </cols>
  <sheetData>
    <row r="1" spans="1:14" x14ac:dyDescent="0.25">
      <c r="A1" s="45" t="s">
        <v>90</v>
      </c>
    </row>
    <row r="2" spans="1:14" x14ac:dyDescent="0.25">
      <c r="A2" s="46" t="s">
        <v>53</v>
      </c>
      <c r="B2" s="46"/>
      <c r="C2" s="46"/>
      <c r="D2" s="46"/>
      <c r="E2" s="46"/>
      <c r="F2" s="46"/>
      <c r="G2" s="46"/>
      <c r="H2" s="46"/>
      <c r="I2" s="46"/>
      <c r="J2" s="46"/>
      <c r="K2" s="46"/>
      <c r="L2" s="46"/>
      <c r="M2" s="46"/>
    </row>
    <row r="3" spans="1:14" x14ac:dyDescent="0.25">
      <c r="A3" s="62"/>
      <c r="B3" s="233" t="s">
        <v>1</v>
      </c>
      <c r="C3" s="233"/>
      <c r="D3" s="233"/>
      <c r="E3" s="233"/>
      <c r="F3" s="233"/>
      <c r="G3" s="233"/>
      <c r="H3" s="233"/>
      <c r="I3" s="233"/>
      <c r="J3" s="233"/>
      <c r="K3" s="233"/>
      <c r="L3" s="233"/>
      <c r="M3" s="233"/>
      <c r="N3" s="47"/>
    </row>
    <row r="4" spans="1:14" x14ac:dyDescent="0.25">
      <c r="A4" s="63"/>
      <c r="B4" s="33">
        <v>2014</v>
      </c>
      <c r="C4" s="33">
        <v>2015</v>
      </c>
      <c r="D4" s="33">
        <v>2016</v>
      </c>
      <c r="E4" s="33">
        <v>2017</v>
      </c>
      <c r="F4" s="33">
        <v>2018</v>
      </c>
      <c r="G4" s="33">
        <v>2019</v>
      </c>
      <c r="H4" s="57">
        <v>2020</v>
      </c>
      <c r="I4" s="54">
        <v>2021</v>
      </c>
      <c r="J4" s="33">
        <v>2022</v>
      </c>
      <c r="K4" s="33">
        <v>2023</v>
      </c>
      <c r="L4" s="33">
        <v>2024</v>
      </c>
      <c r="M4" s="33">
        <v>2025</v>
      </c>
      <c r="N4" s="47"/>
    </row>
    <row r="5" spans="1:14" x14ac:dyDescent="0.25">
      <c r="A5" s="48" t="s">
        <v>63</v>
      </c>
      <c r="B5" s="49">
        <v>2.0854051</v>
      </c>
      <c r="C5" s="49">
        <v>2.4312219399999999</v>
      </c>
      <c r="D5" s="49">
        <v>2.4421159800000001</v>
      </c>
      <c r="E5" s="49">
        <v>2.0854749799999999</v>
      </c>
      <c r="F5" s="49">
        <v>2.3706730899999999</v>
      </c>
      <c r="G5" s="49">
        <v>2.5925717800000001</v>
      </c>
      <c r="H5" s="66">
        <v>2.51042042</v>
      </c>
      <c r="I5" s="65">
        <v>2.8498473999999998</v>
      </c>
      <c r="J5" s="49">
        <v>3.7258906000000001</v>
      </c>
      <c r="K5" s="49">
        <v>3.45264959</v>
      </c>
      <c r="L5" s="49">
        <v>3.2965817400000001</v>
      </c>
      <c r="M5" s="49">
        <v>4.06883339</v>
      </c>
      <c r="N5" s="47"/>
    </row>
    <row r="6" spans="1:14" x14ac:dyDescent="0.25">
      <c r="A6" s="48" t="s">
        <v>64</v>
      </c>
      <c r="B6" s="49">
        <v>8.2717422700000007</v>
      </c>
      <c r="C6" s="49">
        <v>7.25984053</v>
      </c>
      <c r="D6" s="49">
        <v>7.3379524199999997</v>
      </c>
      <c r="E6" s="49">
        <v>7.82971898</v>
      </c>
      <c r="F6" s="49">
        <v>7.3955163500000003</v>
      </c>
      <c r="G6" s="49">
        <v>8.3112175399999995</v>
      </c>
      <c r="H6" s="66">
        <v>8.0089821299999997</v>
      </c>
      <c r="I6" s="65">
        <v>8.6728396399999994</v>
      </c>
      <c r="J6" s="49">
        <v>9.9830121199999997</v>
      </c>
      <c r="K6" s="49">
        <v>9.88094246</v>
      </c>
      <c r="L6" s="49">
        <v>11.2470126</v>
      </c>
      <c r="M6" s="49">
        <v>10.2045706</v>
      </c>
      <c r="N6" s="47"/>
    </row>
    <row r="7" spans="1:14" x14ac:dyDescent="0.25">
      <c r="A7" s="48" t="s">
        <v>65</v>
      </c>
      <c r="B7" s="49">
        <v>89.642852599999998</v>
      </c>
      <c r="C7" s="49">
        <v>90.308937499999999</v>
      </c>
      <c r="D7" s="49">
        <v>90.219931599999995</v>
      </c>
      <c r="E7" s="49">
        <v>90.084806</v>
      </c>
      <c r="F7" s="49">
        <v>90.233810599999998</v>
      </c>
      <c r="G7" s="49">
        <v>89.0962107</v>
      </c>
      <c r="H7" s="66">
        <v>89.480597500000002</v>
      </c>
      <c r="I7" s="65">
        <v>88.477312999999995</v>
      </c>
      <c r="J7" s="49">
        <v>86.291097300000004</v>
      </c>
      <c r="K7" s="49">
        <v>86.666408000000004</v>
      </c>
      <c r="L7" s="49">
        <v>85.456405700000005</v>
      </c>
      <c r="M7" s="49">
        <v>85.726596000000001</v>
      </c>
      <c r="N7" s="47"/>
    </row>
    <row r="9" spans="1:14" x14ac:dyDescent="0.25">
      <c r="A9" s="62"/>
      <c r="B9" s="233" t="s">
        <v>2</v>
      </c>
      <c r="C9" s="233"/>
      <c r="D9" s="233"/>
      <c r="E9" s="233"/>
      <c r="F9" s="233"/>
      <c r="G9" s="233"/>
      <c r="H9" s="233"/>
      <c r="I9" s="233"/>
      <c r="J9" s="233"/>
      <c r="K9" s="233"/>
      <c r="L9" s="233"/>
      <c r="M9" s="233"/>
    </row>
    <row r="10" spans="1:14" x14ac:dyDescent="0.25">
      <c r="A10" s="63"/>
      <c r="B10" s="33">
        <v>2014</v>
      </c>
      <c r="C10" s="33">
        <v>2015</v>
      </c>
      <c r="D10" s="33">
        <v>2016</v>
      </c>
      <c r="E10" s="33">
        <v>2017</v>
      </c>
      <c r="F10" s="33">
        <v>2018</v>
      </c>
      <c r="G10" s="33">
        <v>2019</v>
      </c>
      <c r="H10" s="57">
        <v>2020</v>
      </c>
      <c r="I10" s="54">
        <v>2021</v>
      </c>
      <c r="J10" s="33">
        <v>2022</v>
      </c>
      <c r="K10" s="33">
        <v>2023</v>
      </c>
      <c r="L10" s="33">
        <v>2024</v>
      </c>
      <c r="M10" s="33">
        <v>2025</v>
      </c>
    </row>
    <row r="11" spans="1:14" x14ac:dyDescent="0.25">
      <c r="A11" s="48" t="s">
        <v>63</v>
      </c>
      <c r="B11" s="49">
        <v>3.6597392000000002</v>
      </c>
      <c r="C11" s="49">
        <v>3.7019659800000002</v>
      </c>
      <c r="D11" s="49">
        <v>4.0778523900000003</v>
      </c>
      <c r="E11" s="49">
        <v>3.6903580100000002</v>
      </c>
      <c r="F11" s="49">
        <v>3.22279334</v>
      </c>
      <c r="G11" s="49">
        <v>4.8654308899999998</v>
      </c>
      <c r="H11" s="66">
        <v>3.74508047</v>
      </c>
      <c r="I11" s="65">
        <v>4.8876114199999998</v>
      </c>
      <c r="J11" s="49">
        <v>4.6043907600000002</v>
      </c>
      <c r="K11" s="49">
        <v>4.8020063300000002</v>
      </c>
      <c r="L11" s="49">
        <v>4.7355600400000002</v>
      </c>
      <c r="M11" s="49">
        <v>5.64057458</v>
      </c>
    </row>
    <row r="12" spans="1:14" x14ac:dyDescent="0.25">
      <c r="A12" s="48" t="s">
        <v>64</v>
      </c>
      <c r="B12" s="49">
        <v>10.5905159</v>
      </c>
      <c r="C12" s="49">
        <v>11.155965699999999</v>
      </c>
      <c r="D12" s="49">
        <v>10.1514015</v>
      </c>
      <c r="E12" s="49">
        <v>11.524426500000001</v>
      </c>
      <c r="F12" s="49">
        <v>10.3433989</v>
      </c>
      <c r="G12" s="49">
        <v>10.8671083</v>
      </c>
      <c r="H12" s="66">
        <v>10.678321199999999</v>
      </c>
      <c r="I12" s="65">
        <v>11.2704991</v>
      </c>
      <c r="J12" s="49">
        <v>12.3850973</v>
      </c>
      <c r="K12" s="49">
        <v>14.853602199999999</v>
      </c>
      <c r="L12" s="49">
        <v>12.424664</v>
      </c>
      <c r="M12" s="49">
        <v>15.233405599999999</v>
      </c>
    </row>
    <row r="13" spans="1:14" x14ac:dyDescent="0.25">
      <c r="A13" s="48" t="s">
        <v>65</v>
      </c>
      <c r="B13" s="49">
        <v>85.749744899999996</v>
      </c>
      <c r="C13" s="49">
        <v>85.142068399999999</v>
      </c>
      <c r="D13" s="49">
        <v>85.770746200000005</v>
      </c>
      <c r="E13" s="49">
        <v>84.785215500000007</v>
      </c>
      <c r="F13" s="49">
        <v>86.433807799999997</v>
      </c>
      <c r="G13" s="49">
        <v>84.267460799999995</v>
      </c>
      <c r="H13" s="66">
        <v>85.576598399999995</v>
      </c>
      <c r="I13" s="65">
        <v>83.841889499999994</v>
      </c>
      <c r="J13" s="49">
        <v>83.010512000000006</v>
      </c>
      <c r="K13" s="49">
        <v>80.3443915</v>
      </c>
      <c r="L13" s="49">
        <v>82.839776000000001</v>
      </c>
      <c r="M13" s="49">
        <v>79.126019799999995</v>
      </c>
    </row>
    <row r="15" spans="1:14" x14ac:dyDescent="0.25">
      <c r="A15" s="62"/>
      <c r="B15" s="233" t="s">
        <v>3</v>
      </c>
      <c r="C15" s="233"/>
      <c r="D15" s="233"/>
      <c r="E15" s="233"/>
      <c r="F15" s="233"/>
      <c r="G15" s="233"/>
      <c r="H15" s="233"/>
      <c r="I15" s="233"/>
      <c r="J15" s="233"/>
      <c r="K15" s="233"/>
      <c r="L15" s="233"/>
      <c r="M15" s="233"/>
    </row>
    <row r="16" spans="1:14" x14ac:dyDescent="0.25">
      <c r="A16" s="63"/>
      <c r="B16" s="33">
        <v>2014</v>
      </c>
      <c r="C16" s="33">
        <v>2015</v>
      </c>
      <c r="D16" s="33">
        <v>2016</v>
      </c>
      <c r="E16" s="33">
        <v>2017</v>
      </c>
      <c r="F16" s="33">
        <v>2018</v>
      </c>
      <c r="G16" s="33">
        <v>2019</v>
      </c>
      <c r="H16" s="57">
        <v>2020</v>
      </c>
      <c r="I16" s="54">
        <v>2021</v>
      </c>
      <c r="J16" s="33">
        <v>2022</v>
      </c>
      <c r="K16" s="33">
        <v>2023</v>
      </c>
      <c r="L16" s="33">
        <v>2024</v>
      </c>
      <c r="M16" s="33">
        <v>2025</v>
      </c>
    </row>
    <row r="17" spans="1:14" x14ac:dyDescent="0.25">
      <c r="A17" s="48" t="s">
        <v>63</v>
      </c>
      <c r="B17" s="49">
        <v>3.0286609499999999</v>
      </c>
      <c r="C17" s="49">
        <v>2.54332527</v>
      </c>
      <c r="D17" s="49">
        <v>2.8080996200000001</v>
      </c>
      <c r="E17" s="49">
        <v>3.9657220999999998</v>
      </c>
      <c r="F17" s="49">
        <v>4.0258314100000003</v>
      </c>
      <c r="G17" s="49">
        <v>3.2848816699999999</v>
      </c>
      <c r="H17" s="66">
        <v>2.34228536</v>
      </c>
      <c r="I17" s="65">
        <v>3.3862223</v>
      </c>
      <c r="J17" s="49">
        <v>4.5458227200000003</v>
      </c>
      <c r="K17" s="49">
        <v>4.1890482200000001</v>
      </c>
      <c r="L17" s="49">
        <v>4.0771940600000001</v>
      </c>
      <c r="M17" s="49">
        <v>4.9177035199999999</v>
      </c>
    </row>
    <row r="18" spans="1:14" x14ac:dyDescent="0.25">
      <c r="A18" s="48" t="s">
        <v>64</v>
      </c>
      <c r="B18" s="49">
        <v>8.3076786499999997</v>
      </c>
      <c r="C18" s="49">
        <v>8.1998544800000008</v>
      </c>
      <c r="D18" s="49">
        <v>8.2255692299999996</v>
      </c>
      <c r="E18" s="49">
        <v>10.0690785</v>
      </c>
      <c r="F18" s="49">
        <v>8.7024326399999996</v>
      </c>
      <c r="G18" s="49">
        <v>9.4287079400000007</v>
      </c>
      <c r="H18" s="66">
        <v>8.8033443699999996</v>
      </c>
      <c r="I18" s="65">
        <v>9.6735843500000005</v>
      </c>
      <c r="J18" s="49">
        <v>10.247514799999999</v>
      </c>
      <c r="K18" s="49">
        <v>11.302380899999999</v>
      </c>
      <c r="L18" s="49">
        <v>11.6859605</v>
      </c>
      <c r="M18" s="49">
        <v>12.5673122</v>
      </c>
    </row>
    <row r="19" spans="1:14" x14ac:dyDescent="0.25">
      <c r="A19" s="48" t="s">
        <v>65</v>
      </c>
      <c r="B19" s="49">
        <v>88.663660399999998</v>
      </c>
      <c r="C19" s="49">
        <v>89.256820300000001</v>
      </c>
      <c r="D19" s="49">
        <v>88.966331100000005</v>
      </c>
      <c r="E19" s="49">
        <v>85.965199400000003</v>
      </c>
      <c r="F19" s="49">
        <v>87.271736000000004</v>
      </c>
      <c r="G19" s="49">
        <v>87.286410399999994</v>
      </c>
      <c r="H19" s="66">
        <v>88.854370299999999</v>
      </c>
      <c r="I19" s="65">
        <v>86.940193300000004</v>
      </c>
      <c r="J19" s="49">
        <v>85.206662399999999</v>
      </c>
      <c r="K19" s="49">
        <v>84.508570899999995</v>
      </c>
      <c r="L19" s="49">
        <v>84.236845400000007</v>
      </c>
      <c r="M19" s="49">
        <v>82.514984299999995</v>
      </c>
    </row>
    <row r="21" spans="1:14" x14ac:dyDescent="0.25">
      <c r="A21" s="62"/>
      <c r="B21" s="233" t="s">
        <v>58</v>
      </c>
      <c r="C21" s="233"/>
      <c r="D21" s="233"/>
      <c r="E21" s="233"/>
      <c r="F21" s="233"/>
      <c r="G21" s="233"/>
      <c r="H21" s="233"/>
      <c r="I21" s="233"/>
      <c r="J21" s="233"/>
      <c r="K21" s="233"/>
      <c r="L21" s="233"/>
      <c r="M21" s="233"/>
    </row>
    <row r="22" spans="1:14" x14ac:dyDescent="0.25">
      <c r="A22" s="63"/>
      <c r="B22" s="33">
        <v>2014</v>
      </c>
      <c r="C22" s="33">
        <v>2015</v>
      </c>
      <c r="D22" s="33">
        <v>2016</v>
      </c>
      <c r="E22" s="33">
        <v>2017</v>
      </c>
      <c r="F22" s="33">
        <v>2018</v>
      </c>
      <c r="G22" s="33">
        <v>2019</v>
      </c>
      <c r="H22" s="57">
        <v>2020</v>
      </c>
      <c r="I22" s="54">
        <v>2021</v>
      </c>
      <c r="J22" s="33">
        <v>2022</v>
      </c>
      <c r="K22" s="33">
        <v>2023</v>
      </c>
      <c r="L22" s="33">
        <v>2024</v>
      </c>
      <c r="M22" s="33">
        <v>2025</v>
      </c>
    </row>
    <row r="23" spans="1:14" x14ac:dyDescent="0.25">
      <c r="A23" s="48" t="s">
        <v>63</v>
      </c>
      <c r="B23" s="49">
        <v>2.82341065</v>
      </c>
      <c r="C23" s="49">
        <v>2.8961708499999999</v>
      </c>
      <c r="D23" s="49">
        <v>3.0785788699999999</v>
      </c>
      <c r="E23" s="49">
        <v>3.01861304</v>
      </c>
      <c r="F23" s="49">
        <v>2.9986332899999999</v>
      </c>
      <c r="G23" s="49">
        <v>3.5013801400000002</v>
      </c>
      <c r="H23" s="66">
        <v>2.8993849300000001</v>
      </c>
      <c r="I23" s="65">
        <v>3.6405958200000001</v>
      </c>
      <c r="J23" s="49">
        <v>4.1844825099999996</v>
      </c>
      <c r="K23" s="49">
        <v>4.0788976699999999</v>
      </c>
      <c r="L23" s="49">
        <v>3.9230904999999998</v>
      </c>
      <c r="M23" s="49">
        <v>4.7596144499999999</v>
      </c>
    </row>
    <row r="24" spans="1:14" x14ac:dyDescent="0.25">
      <c r="A24" s="48" t="s">
        <v>64</v>
      </c>
      <c r="B24" s="49">
        <v>9.0900132300000003</v>
      </c>
      <c r="C24" s="49">
        <v>8.7999606999999997</v>
      </c>
      <c r="D24" s="49">
        <v>8.4823552800000002</v>
      </c>
      <c r="E24" s="49">
        <v>9.5575862800000007</v>
      </c>
      <c r="F24" s="49">
        <v>8.7003626900000004</v>
      </c>
      <c r="G24" s="49">
        <v>9.3991513500000003</v>
      </c>
      <c r="H24" s="66">
        <v>9.0742346900000008</v>
      </c>
      <c r="I24" s="65">
        <v>9.7453563699999997</v>
      </c>
      <c r="J24" s="49">
        <v>10.826253700000001</v>
      </c>
      <c r="K24" s="49">
        <v>11.9212027</v>
      </c>
      <c r="L24" s="49">
        <v>11.721920000000001</v>
      </c>
      <c r="M24" s="49">
        <v>12.3466018</v>
      </c>
      <c r="N24" s="50"/>
    </row>
    <row r="25" spans="1:14" x14ac:dyDescent="0.25">
      <c r="A25" s="48" t="s">
        <v>65</v>
      </c>
      <c r="B25" s="49">
        <v>88.086576100000002</v>
      </c>
      <c r="C25" s="49">
        <v>88.303868399999999</v>
      </c>
      <c r="D25" s="49">
        <v>88.439065799999995</v>
      </c>
      <c r="E25" s="49">
        <v>87.423800700000001</v>
      </c>
      <c r="F25" s="49">
        <v>88.301004000000006</v>
      </c>
      <c r="G25" s="49">
        <v>87.0994685</v>
      </c>
      <c r="H25" s="66">
        <v>88.026380399999994</v>
      </c>
      <c r="I25" s="65">
        <v>86.614047799999994</v>
      </c>
      <c r="J25" s="49">
        <v>84.989263800000003</v>
      </c>
      <c r="K25" s="49">
        <v>83.9998997</v>
      </c>
      <c r="L25" s="49">
        <v>84.354989500000002</v>
      </c>
      <c r="M25" s="49">
        <v>82.893783799999994</v>
      </c>
    </row>
    <row r="27" spans="1:14" x14ac:dyDescent="0.25">
      <c r="A27" s="62"/>
      <c r="B27" s="233" t="s">
        <v>66</v>
      </c>
      <c r="C27" s="233"/>
      <c r="D27" s="233"/>
      <c r="E27" s="233"/>
      <c r="F27" s="233"/>
      <c r="G27" s="233"/>
      <c r="H27" s="233"/>
      <c r="I27" s="233"/>
      <c r="J27" s="233"/>
      <c r="K27" s="233"/>
      <c r="L27" s="233"/>
      <c r="M27" s="233"/>
    </row>
    <row r="28" spans="1:14" x14ac:dyDescent="0.25">
      <c r="A28" s="63"/>
      <c r="B28" s="33">
        <v>2014</v>
      </c>
      <c r="C28" s="33">
        <v>2015</v>
      </c>
      <c r="D28" s="33">
        <v>2016</v>
      </c>
      <c r="E28" s="33">
        <v>2017</v>
      </c>
      <c r="F28" s="33">
        <v>2018</v>
      </c>
      <c r="G28" s="33">
        <v>2019</v>
      </c>
      <c r="H28" s="57">
        <v>2020</v>
      </c>
      <c r="I28" s="33">
        <v>2021</v>
      </c>
      <c r="J28" s="33">
        <v>2022</v>
      </c>
      <c r="K28" s="33">
        <v>2023</v>
      </c>
      <c r="L28" s="33">
        <v>2024</v>
      </c>
      <c r="M28" s="33">
        <v>2025</v>
      </c>
    </row>
    <row r="29" spans="1:14" x14ac:dyDescent="0.25">
      <c r="A29" s="48" t="s">
        <v>63</v>
      </c>
      <c r="B29" s="49">
        <v>2.9446481900000001</v>
      </c>
      <c r="C29" s="49">
        <v>2.58825504</v>
      </c>
      <c r="D29" s="49">
        <v>2.8930287200000002</v>
      </c>
      <c r="E29" s="49">
        <v>2.8076083399999998</v>
      </c>
      <c r="F29" s="49">
        <v>2.7356355200000002</v>
      </c>
      <c r="G29" s="49">
        <v>2.8026656299999999</v>
      </c>
      <c r="H29" s="66">
        <v>2.5683299499999999</v>
      </c>
      <c r="I29" s="49">
        <v>2.7549083699999999</v>
      </c>
      <c r="J29" s="49">
        <v>3.73253228</v>
      </c>
      <c r="K29" s="49">
        <v>3.6083297700000001</v>
      </c>
      <c r="L29" s="49">
        <v>3.9166590399999999</v>
      </c>
      <c r="M29" s="49">
        <v>3.97111035</v>
      </c>
      <c r="N29" s="50"/>
    </row>
    <row r="30" spans="1:14" x14ac:dyDescent="0.25">
      <c r="A30" s="48" t="s">
        <v>64</v>
      </c>
      <c r="B30" s="49">
        <v>8.4664018799999994</v>
      </c>
      <c r="C30" s="49">
        <v>8.2572486699999992</v>
      </c>
      <c r="D30" s="49">
        <v>8.1058398700000005</v>
      </c>
      <c r="E30" s="49">
        <v>8.5018043900000002</v>
      </c>
      <c r="F30" s="49">
        <v>8.4356243600000003</v>
      </c>
      <c r="G30" s="49">
        <v>8.7886781200000001</v>
      </c>
      <c r="H30" s="66">
        <v>7.8966042700000001</v>
      </c>
      <c r="I30" s="49">
        <v>8.4968339499999992</v>
      </c>
      <c r="J30" s="49">
        <v>9.2150685800000005</v>
      </c>
      <c r="K30" s="49">
        <v>9.9288604399999993</v>
      </c>
      <c r="L30" s="49">
        <v>10.2200352</v>
      </c>
      <c r="M30" s="49">
        <v>9.8447953300000002</v>
      </c>
      <c r="N30" s="50"/>
    </row>
    <row r="31" spans="1:14" x14ac:dyDescent="0.25">
      <c r="A31" s="48" t="s">
        <v>65</v>
      </c>
      <c r="B31" s="49">
        <v>88.588949900000003</v>
      </c>
      <c r="C31" s="49">
        <v>89.154496300000005</v>
      </c>
      <c r="D31" s="49">
        <v>89.001131400000006</v>
      </c>
      <c r="E31" s="49">
        <v>88.690587300000004</v>
      </c>
      <c r="F31" s="49">
        <v>88.828740100000005</v>
      </c>
      <c r="G31" s="49">
        <v>88.408656199999996</v>
      </c>
      <c r="H31" s="66">
        <v>89.535065799999998</v>
      </c>
      <c r="I31" s="49">
        <v>88.748257699999996</v>
      </c>
      <c r="J31" s="49">
        <v>87.052399100000002</v>
      </c>
      <c r="K31" s="49">
        <v>86.462809800000002</v>
      </c>
      <c r="L31" s="49">
        <v>85.863305800000006</v>
      </c>
      <c r="M31" s="49">
        <v>86.184094299999998</v>
      </c>
      <c r="N31" s="50"/>
    </row>
    <row r="32" spans="1:14" ht="22.2" customHeight="1" x14ac:dyDescent="0.25">
      <c r="A32" s="51" t="s">
        <v>67</v>
      </c>
    </row>
    <row r="33" spans="1:13" ht="28.2" customHeight="1" x14ac:dyDescent="0.25">
      <c r="A33" s="236" t="s">
        <v>60</v>
      </c>
      <c r="B33" s="237"/>
      <c r="C33" s="237"/>
      <c r="D33" s="237"/>
      <c r="E33" s="237"/>
      <c r="F33" s="237"/>
      <c r="G33" s="237"/>
      <c r="H33" s="237"/>
      <c r="I33" s="237"/>
      <c r="J33" s="237"/>
      <c r="K33" s="237"/>
      <c r="L33" s="237"/>
      <c r="M33" s="238"/>
    </row>
    <row r="34" spans="1:13" ht="15.6" customHeight="1" x14ac:dyDescent="0.25">
      <c r="A34" s="52" t="s">
        <v>70</v>
      </c>
    </row>
  </sheetData>
  <mergeCells count="6">
    <mergeCell ref="A33:M33"/>
    <mergeCell ref="B3:M3"/>
    <mergeCell ref="B9:M9"/>
    <mergeCell ref="B15:M15"/>
    <mergeCell ref="B21:M21"/>
    <mergeCell ref="B27:M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Sommaire</vt:lpstr>
      <vt:lpstr>Figure 1</vt:lpstr>
      <vt:lpstr>Figure 2</vt:lpstr>
      <vt:lpstr>Figure 3</vt:lpstr>
      <vt:lpstr>Figure 4</vt:lpstr>
      <vt:lpstr>Figure 5</vt:lpstr>
      <vt:lpstr>Figure 6</vt:lpstr>
      <vt:lpstr>Figure 7</vt:lpstr>
      <vt:lpstr>Figure 8</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CHEDORGE Daphne</dc:creator>
  <cp:lastModifiedBy>OMALEK Laure</cp:lastModifiedBy>
  <dcterms:created xsi:type="dcterms:W3CDTF">2022-07-20T08:35:01Z</dcterms:created>
  <dcterms:modified xsi:type="dcterms:W3CDTF">2026-10-06T09:21:35Z</dcterms:modified>
</cp:coreProperties>
</file>