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24226"/>
  <mc:AlternateContent xmlns:mc="http://schemas.openxmlformats.org/markup-compatibility/2006">
    <mc:Choice Requires="x15">
      <x15ac:absPath xmlns:x15ac="http://schemas.microsoft.com/office/spreadsheetml/2010/11/ac" url="Z:\Travaux B3 par thèmes\01 Emploi public\02 - Rapport annuel\RA 2025-2026\03 - Données complémentaires\2_Postes\4 - Final\"/>
    </mc:Choice>
  </mc:AlternateContent>
  <xr:revisionPtr revIDLastSave="0" documentId="13_ncr:1_{E024E698-85E4-4FE7-ABD4-704CBE2928AE}" xr6:coauthVersionLast="47" xr6:coauthVersionMax="47" xr10:uidLastSave="{00000000-0000-0000-0000-000000000000}"/>
  <bookViews>
    <workbookView xWindow="28680" yWindow="-120" windowWidth="29040" windowHeight="15720" tabRatio="827" xr2:uid="{00000000-000D-0000-FFFF-FFFF00000000}"/>
  </bookViews>
  <sheets>
    <sheet name="SOMMAIRE" sheetId="16" r:id="rId1"/>
    <sheet name="AVERTISSEMENT" sheetId="28" r:id="rId2"/>
    <sheet name="Figure 1 statut" sheetId="27" r:id="rId3"/>
    <sheet name="Figure 2 statut" sheetId="25" r:id="rId4"/>
    <sheet name="Figure 3 statut" sheetId="18" r:id="rId5"/>
    <sheet name="Figure 4 statut" sheetId="17" r:id="rId6"/>
    <sheet name="Figure 5 statut" sheetId="30" r:id="rId7"/>
    <sheet name="Figure 1 catégorie" sheetId="24" r:id="rId8"/>
    <sheet name="Figure 2 catégorie" sheetId="19" r:id="rId9"/>
    <sheet name="Figure 1 loc" sheetId="20" r:id="rId10"/>
    <sheet name="Figure 2 loc" sheetId="22" r:id="rId11"/>
    <sheet name="Figure 3 loc" sheetId="21" r:id="rId12"/>
  </sheets>
  <definedNames>
    <definedName name="_bdd2" localSheetId="2" hidden="1">{TRUE;FALSE}</definedName>
    <definedName name="_bdd2" localSheetId="8" hidden="1">{TRUE;FALSE}</definedName>
    <definedName name="_bdd2" localSheetId="3" hidden="1">{TRUE;FALSE}</definedName>
    <definedName name="_bdd2" hidden="1">{TRUE;FALSE}</definedName>
    <definedName name="_bdd2_1" localSheetId="2" hidden="1">{TRUE;FALSE}</definedName>
    <definedName name="_bdd2_1" localSheetId="8" hidden="1">{TRUE;FALSE}</definedName>
    <definedName name="_bdd2_1" localSheetId="3" hidden="1">{TRUE;FALSE}</definedName>
    <definedName name="_bdd2_1" hidden="1">{TRUE;FALSE}</definedName>
    <definedName name="bbb" localSheetId="7" hidden="1">{TRUE;FALSE}</definedName>
    <definedName name="bbb" localSheetId="2" hidden="1">{TRUE;FALSE}</definedName>
    <definedName name="bbb" localSheetId="8" hidden="1">{TRUE;FALSE}</definedName>
    <definedName name="bbb" localSheetId="3" hidden="1">{TRUE;FALSE}</definedName>
    <definedName name="bbb" hidden="1">{TRUE;FALSE}</definedName>
    <definedName name="bbb_1" localSheetId="2" hidden="1">{TRUE;FALSE}</definedName>
    <definedName name="bbb_1" localSheetId="8" hidden="1">{TRUE;FALSE}</definedName>
    <definedName name="bbb_1" localSheetId="3" hidden="1">{TRUE;FALSE}</definedName>
    <definedName name="bbb_1" hidden="1">{TRUE;FALSE}</definedName>
    <definedName name="bbbbbb" localSheetId="7" hidden="1">{"SELECT res_ens.sum_nb_ins, res_ens.sum_nb_vot, res_ens.pct_vot, res_ens.sum_nb_voi_x000D_
FROM c:\cap_dbf\res_ens res_ens"}</definedName>
    <definedName name="bbbbbb" localSheetId="2" hidden="1">{"SELECT res_ens.sum_nb_ins, res_ens.sum_nb_vot, res_ens.pct_vot, res_ens.sum_nb_voi_x000D_
FROM c:\cap_dbf\res_ens res_ens"}</definedName>
    <definedName name="bbbbbb" localSheetId="8" hidden="1">{"SELECT res_ens.sum_nb_ins, res_ens.sum_nb_vot, res_ens.pct_vot, res_ens.sum_nb_voi_x000D_
FROM c:\cap_dbf\res_ens res_ens"}</definedName>
    <definedName name="bbbbbb" localSheetId="3" hidden="1">{"SELECT res_ens.sum_nb_ins, res_ens.sum_nb_vot, res_ens.pct_vot, res_ens.sum_nb_voi_x000D_
FROM c:\cap_dbf\res_ens res_ens"}</definedName>
    <definedName name="bbbbbb" hidden="1">{"SELECT res_ens.sum_nb_ins, res_ens.sum_nb_vot, res_ens.pct_vot, res_ens.sum_nb_voi_x000D_
FROM c:\cap_dbf\res_ens res_ens"}</definedName>
    <definedName name="bbbbbb_1" localSheetId="2" hidden="1">{"SELECT res_ens.sum_nb_ins, res_ens.sum_nb_vot, res_ens.pct_vot, res_ens.sum_nb_voi_x000D_
FROM c:\cap_dbf\res_ens res_ens"}</definedName>
    <definedName name="bbbbbb_1" localSheetId="8" hidden="1">{"SELECT res_ens.sum_nb_ins, res_ens.sum_nb_vot, res_ens.pct_vot, res_ens.sum_nb_voi_x000D_
FROM c:\cap_dbf\res_ens res_ens"}</definedName>
    <definedName name="bbbbbb_1" localSheetId="3" hidden="1">{"SELECT res_ens.sum_nb_ins, res_ens.sum_nb_vot, res_ens.pct_vot, res_ens.sum_nb_voi_x000D_
FROM c:\cap_dbf\res_ens res_ens"}</definedName>
    <definedName name="bbbbbb_1" hidden="1">{"SELECT res_ens.sum_nb_ins, res_ens.sum_nb_vot, res_ens.pct_vot, res_ens.sum_nb_voi_x000D_
FROM c:\cap_dbf\res_ens res_ens"}</definedName>
    <definedName name="bis" localSheetId="7" hidden="1">{TRUE;FALSE}</definedName>
    <definedName name="bis" localSheetId="2" hidden="1">{TRUE;FALSE}</definedName>
    <definedName name="bis" localSheetId="8" hidden="1">{TRUE;FALSE}</definedName>
    <definedName name="bis" localSheetId="3" hidden="1">{TRUE;FALSE}</definedName>
    <definedName name="bis" hidden="1">{TRUE;FALSE}</definedName>
    <definedName name="bis_1" localSheetId="2" hidden="1">{TRUE;FALSE}</definedName>
    <definedName name="bis_1" localSheetId="8" hidden="1">{TRUE;FALSE}</definedName>
    <definedName name="bis_1" localSheetId="3" hidden="1">{TRUE;FALSE}</definedName>
    <definedName name="bis_1" hidden="1">{TRUE;FALSE}</definedName>
    <definedName name="ensemble" localSheetId="7" hidden="1">{"Visual FoxPro Tables"}</definedName>
    <definedName name="ensemble" localSheetId="2" hidden="1">{"Visual FoxPro Tables"}</definedName>
    <definedName name="ensemble" localSheetId="8" hidden="1">{"Visual FoxPro Tables"}</definedName>
    <definedName name="ensemble" localSheetId="3" hidden="1">{"Visual FoxPro Tables"}</definedName>
    <definedName name="ensemble" hidden="1">{"Visual FoxPro Tables"}</definedName>
    <definedName name="ensemble_1" localSheetId="2" hidden="1">{"Visual FoxPro Tables"}</definedName>
    <definedName name="ensemble_1" localSheetId="8" hidden="1">{"Visual FoxPro Tables"}</definedName>
    <definedName name="ensemble_1" localSheetId="3" hidden="1">{"Visual FoxPro Tables"}</definedName>
    <definedName name="ensemble_1" hidden="1">{"Visual FoxPro Tables"}</definedName>
    <definedName name="evolution" localSheetId="7" hidden="1">{"SELECT res_ens.sum_nb_ins, res_ens.sum_nb_vot, res_ens.pct_vot, res_ens.sum_nb_voi_x000D_
FROM c:\cap_dbf\res_ens res_ens"}</definedName>
    <definedName name="evolution" localSheetId="2" hidden="1">{"SELECT res_ens.sum_nb_ins, res_ens.sum_nb_vot, res_ens.pct_vot, res_ens.sum_nb_voi_x000D_
FROM c:\cap_dbf\res_ens res_ens"}</definedName>
    <definedName name="evolution" localSheetId="8" hidden="1">{"SELECT res_ens.sum_nb_ins, res_ens.sum_nb_vot, res_ens.pct_vot, res_ens.sum_nb_voi_x000D_
FROM c:\cap_dbf\res_ens res_ens"}</definedName>
    <definedName name="evolution" localSheetId="3" hidden="1">{"SELECT res_ens.sum_nb_ins, res_ens.sum_nb_vot, res_ens.pct_vot, res_ens.sum_nb_voi_x000D_
FROM c:\cap_dbf\res_ens res_ens"}</definedName>
    <definedName name="evolution" hidden="1">{"SELECT res_ens.sum_nb_ins, res_ens.sum_nb_vot, res_ens.pct_vot, res_ens.sum_nb_voi_x000D_
FROM c:\cap_dbf\res_ens res_ens"}</definedName>
    <definedName name="evolution_1" localSheetId="2" hidden="1">{"SELECT res_ens.sum_nb_ins, res_ens.sum_nb_vot, res_ens.pct_vot, res_ens.sum_nb_voi_x000D_
FROM c:\cap_dbf\res_ens res_ens"}</definedName>
    <definedName name="evolution_1" localSheetId="8" hidden="1">{"SELECT res_ens.sum_nb_ins, res_ens.sum_nb_vot, res_ens.pct_vot, res_ens.sum_nb_voi_x000D_
FROM c:\cap_dbf\res_ens res_ens"}</definedName>
    <definedName name="evolution_1" localSheetId="3" hidden="1">{"SELECT res_ens.sum_nb_ins, res_ens.sum_nb_vot, res_ens.pct_vot, res_ens.sum_nb_voi_x000D_
FROM c:\cap_dbf\res_ens res_ens"}</definedName>
    <definedName name="evolution_1" hidden="1">{"SELECT res_ens.sum_nb_ins, res_ens.sum_nb_vot, res_ens.pct_vot, res_ens.sum_nb_voi_x000D_
FROM c:\cap_dbf\res_ens res_ens"}</definedName>
    <definedName name="iuh" hidden="1">{TRUE;FALSE}</definedName>
    <definedName name="ll" localSheetId="7" hidden="1">{#N/A,#N/A,FALSE,"Feuil1"}</definedName>
    <definedName name="ll" localSheetId="2" hidden="1">{#N/A,#N/A,FALSE,"Feuil1"}</definedName>
    <definedName name="ll" localSheetId="8" hidden="1">{#N/A,#N/A,FALSE,"Feuil1"}</definedName>
    <definedName name="ll" localSheetId="3" hidden="1">{#N/A,#N/A,FALSE,"Feuil1"}</definedName>
    <definedName name="ll" hidden="1">{#N/A,#N/A,FALSE,"Feuil1"}</definedName>
    <definedName name="ll_1" localSheetId="2" hidden="1">{#N/A,#N/A,FALSE,"Feuil1"}</definedName>
    <definedName name="ll_1" localSheetId="8" hidden="1">{#N/A,#N/A,FALSE,"Feuil1"}</definedName>
    <definedName name="ll_1" localSheetId="3" hidden="1">{#N/A,#N/A,FALSE,"Feuil1"}</definedName>
    <definedName name="ll_1" hidden="1">{#N/A,#N/A,FALSE,"Feuil1"}</definedName>
    <definedName name="nnn" localSheetId="7" hidden="1">{TRUE;FALSE}</definedName>
    <definedName name="nnn" localSheetId="2" hidden="1">{TRUE;FALSE}</definedName>
    <definedName name="nnn" localSheetId="8" hidden="1">{TRUE;FALSE}</definedName>
    <definedName name="nnn" localSheetId="3" hidden="1">{TRUE;FALSE}</definedName>
    <definedName name="nnn" hidden="1">{TRUE;FALSE}</definedName>
    <definedName name="nnn_1" localSheetId="2" hidden="1">{TRUE;FALSE}</definedName>
    <definedName name="nnn_1" localSheetId="8" hidden="1">{TRUE;FALSE}</definedName>
    <definedName name="nnn_1" localSheetId="3" hidden="1">{TRUE;FALSE}</definedName>
    <definedName name="nnn_1" hidden="1">{TRUE;FALSE}</definedName>
    <definedName name="nouveau" localSheetId="7" hidden="1">{"SELECT res_ens.sum_nb_ins, res_ens.sum_nb_vot, res_ens.pct_vot, res_ens.sum_nb_voi_x000D_
FROM c:\cap_dbf\res_ens res_ens"}</definedName>
    <definedName name="nouveau" localSheetId="2" hidden="1">{"SELECT res_ens.sum_nb_ins, res_ens.sum_nb_vot, res_ens.pct_vot, res_ens.sum_nb_voi_x000D_
FROM c:\cap_dbf\res_ens res_ens"}</definedName>
    <definedName name="nouveau" localSheetId="8" hidden="1">{"SELECT res_ens.sum_nb_ins, res_ens.sum_nb_vot, res_ens.pct_vot, res_ens.sum_nb_voi_x000D_
FROM c:\cap_dbf\res_ens res_ens"}</definedName>
    <definedName name="nouveau" localSheetId="3" hidden="1">{"SELECT res_ens.sum_nb_ins, res_ens.sum_nb_vot, res_ens.pct_vot, res_ens.sum_nb_voi_x000D_
FROM c:\cap_dbf\res_ens res_ens"}</definedName>
    <definedName name="nouveau" hidden="1">{"SELECT res_ens.sum_nb_ins, res_ens.sum_nb_vot, res_ens.pct_vot, res_ens.sum_nb_voi_x000D_
FROM c:\cap_dbf\res_ens res_ens"}</definedName>
    <definedName name="nouveau_1" localSheetId="2" hidden="1">{"SELECT res_ens.sum_nb_ins, res_ens.sum_nb_vot, res_ens.pct_vot, res_ens.sum_nb_voi_x000D_
FROM c:\cap_dbf\res_ens res_ens"}</definedName>
    <definedName name="nouveau_1" localSheetId="8" hidden="1">{"SELECT res_ens.sum_nb_ins, res_ens.sum_nb_vot, res_ens.pct_vot, res_ens.sum_nb_voi_x000D_
FROM c:\cap_dbf\res_ens res_ens"}</definedName>
    <definedName name="nouveau_1" localSheetId="3" hidden="1">{"SELECT res_ens.sum_nb_ins, res_ens.sum_nb_vot, res_ens.pct_vot, res_ens.sum_nb_voi_x000D_
FROM c:\cap_dbf\res_ens res_ens"}</definedName>
    <definedName name="nouveau_1" hidden="1">{"SELECT res_ens.sum_nb_ins, res_ens.sum_nb_vot, res_ens.pct_vot, res_ens.sum_nb_voi_x000D_
FROM c:\cap_dbf\res_ens res_ens"}</definedName>
    <definedName name="T" localSheetId="7" hidden="1">{"SELECT res_ens.sum_nb_ins, res_ens.sum_nb_vot, res_ens.pct_vot, res_ens.sum_nb_voi_x000D_
FROM c:\cap_dbf\res_ens res_ens"}</definedName>
    <definedName name="T" localSheetId="2" hidden="1">{"SELECT res_ens.sum_nb_ins, res_ens.sum_nb_vot, res_ens.pct_vot, res_ens.sum_nb_voi_x000D_
FROM c:\cap_dbf\res_ens res_ens"}</definedName>
    <definedName name="T" localSheetId="8" hidden="1">{"SELECT res_ens.sum_nb_ins, res_ens.sum_nb_vot, res_ens.pct_vot, res_ens.sum_nb_voi_x000D_
FROM c:\cap_dbf\res_ens res_ens"}</definedName>
    <definedName name="T" localSheetId="3" hidden="1">{"SELECT res_ens.sum_nb_ins, res_ens.sum_nb_vot, res_ens.pct_vot, res_ens.sum_nb_voi_x000D_
FROM c:\cap_dbf\res_ens res_ens"}</definedName>
    <definedName name="T" hidden="1">{"SELECT res_ens.sum_nb_ins, res_ens.sum_nb_vot, res_ens.pct_vot, res_ens.sum_nb_voi_x000D_
FROM c:\cap_dbf\res_ens res_ens"}</definedName>
    <definedName name="T_1" localSheetId="2" hidden="1">{"SELECT res_ens.sum_nb_ins, res_ens.sum_nb_vot, res_ens.pct_vot, res_ens.sum_nb_voi_x000D_
FROM c:\cap_dbf\res_ens res_ens"}</definedName>
    <definedName name="T_1" localSheetId="8" hidden="1">{"SELECT res_ens.sum_nb_ins, res_ens.sum_nb_vot, res_ens.pct_vot, res_ens.sum_nb_voi_x000D_
FROM c:\cap_dbf\res_ens res_ens"}</definedName>
    <definedName name="T_1" localSheetId="3" hidden="1">{"SELECT res_ens.sum_nb_ins, res_ens.sum_nb_vot, res_ens.pct_vot, res_ens.sum_nb_voi_x000D_
FROM c:\cap_dbf\res_ens res_ens"}</definedName>
    <definedName name="T_1" hidden="1">{"SELECT res_ens.sum_nb_ins, res_ens.sum_nb_vot, res_ens.pct_vot, res_ens.sum_nb_voi_x000D_
FROM c:\cap_dbf\res_ens res_ens"}</definedName>
    <definedName name="tab" localSheetId="7" hidden="1">{"Visual FoxPro Tables"}</definedName>
    <definedName name="tab" localSheetId="2" hidden="1">{"Visual FoxPro Tables"}</definedName>
    <definedName name="tab" localSheetId="8" hidden="1">{"Visual FoxPro Tables"}</definedName>
    <definedName name="tab" localSheetId="3" hidden="1">{"Visual FoxPro Tables"}</definedName>
    <definedName name="tab" hidden="1">{"Visual FoxPro Tables"}</definedName>
    <definedName name="tab_1" localSheetId="2" hidden="1">{"Visual FoxPro Tables"}</definedName>
    <definedName name="tab_1" localSheetId="8" hidden="1">{"Visual FoxPro Tables"}</definedName>
    <definedName name="tab_1" localSheetId="3" hidden="1">{"Visual FoxPro Tables"}</definedName>
    <definedName name="tab_1" hidden="1">{"Visual FoxPro Tables"}</definedName>
    <definedName name="Tableau" localSheetId="7" hidden="1">{"Visual FoxPro Tables"}</definedName>
    <definedName name="Tableau" localSheetId="2" hidden="1">{"Visual FoxPro Tables"}</definedName>
    <definedName name="Tableau" localSheetId="8" hidden="1">{"Visual FoxPro Tables"}</definedName>
    <definedName name="Tableau" localSheetId="3" hidden="1">{"Visual FoxPro Tables"}</definedName>
    <definedName name="Tableau" hidden="1">{"Visual FoxPro Tables"}</definedName>
    <definedName name="Tableau_1" localSheetId="2" hidden="1">{"Visual FoxPro Tables"}</definedName>
    <definedName name="Tableau_1" localSheetId="8" hidden="1">{"Visual FoxPro Tables"}</definedName>
    <definedName name="Tableau_1" localSheetId="3" hidden="1">{"Visual FoxPro Tables"}</definedName>
    <definedName name="Tableau_1" hidden="1">{"Visual FoxPro Tables"}</definedName>
    <definedName name="ter" localSheetId="7" hidden="1">{TRUE;FALSE}</definedName>
    <definedName name="ter" localSheetId="2" hidden="1">{TRUE;FALSE}</definedName>
    <definedName name="ter" localSheetId="8" hidden="1">{TRUE;FALSE}</definedName>
    <definedName name="ter" localSheetId="3" hidden="1">{TRUE;FALSE}</definedName>
    <definedName name="ter" hidden="1">{TRUE;FALSE}</definedName>
    <definedName name="ter_1" localSheetId="2" hidden="1">{TRUE;FALSE}</definedName>
    <definedName name="ter_1" localSheetId="8" hidden="1">{TRUE;FALSE}</definedName>
    <definedName name="ter_1" localSheetId="3" hidden="1">{TRUE;FALSE}</definedName>
    <definedName name="ter_1" hidden="1">{TRUE;FALSE}</definedName>
    <definedName name="tera" localSheetId="7" hidden="1">{TRUE;FALSE}</definedName>
    <definedName name="tera" localSheetId="2" hidden="1">{TRUE;FALSE}</definedName>
    <definedName name="tera" localSheetId="8" hidden="1">{TRUE;FALSE}</definedName>
    <definedName name="tera" localSheetId="3" hidden="1">{TRUE;FALSE}</definedName>
    <definedName name="tera" hidden="1">{TRUE;FALSE}</definedName>
    <definedName name="tera_1" localSheetId="2" hidden="1">{TRUE;FALSE}</definedName>
    <definedName name="tera_1" localSheetId="8" hidden="1">{TRUE;FALSE}</definedName>
    <definedName name="tera_1" localSheetId="3" hidden="1">{TRUE;FALSE}</definedName>
    <definedName name="tera_1" hidden="1">{TRUE;FALSE}</definedName>
    <definedName name="TT" localSheetId="7" hidden="1">{"SELECT res_ens.sum_nb_ins, res_ens.sum_nb_vot, res_ens.pct_vot, res_ens.sum_nb_voi_x000D_
FROM c:\cap_dbf\res_ens res_ens"}</definedName>
    <definedName name="TT" localSheetId="2" hidden="1">{"SELECT res_ens.sum_nb_ins, res_ens.sum_nb_vot, res_ens.pct_vot, res_ens.sum_nb_voi_x000D_
FROM c:\cap_dbf\res_ens res_ens"}</definedName>
    <definedName name="TT" localSheetId="8" hidden="1">{"SELECT res_ens.sum_nb_ins, res_ens.sum_nb_vot, res_ens.pct_vot, res_ens.sum_nb_voi_x000D_
FROM c:\cap_dbf\res_ens res_ens"}</definedName>
    <definedName name="TT" localSheetId="3" hidden="1">{"SELECT res_ens.sum_nb_ins, res_ens.sum_nb_vot, res_ens.pct_vot, res_ens.sum_nb_voi_x000D_
FROM c:\cap_dbf\res_ens res_ens"}</definedName>
    <definedName name="TT" hidden="1">{"SELECT res_ens.sum_nb_ins, res_ens.sum_nb_vot, res_ens.pct_vot, res_ens.sum_nb_voi_x000D_
FROM c:\cap_dbf\res_ens res_ens"}</definedName>
    <definedName name="TT_1" localSheetId="2" hidden="1">{"SELECT res_ens.sum_nb_ins, res_ens.sum_nb_vot, res_ens.pct_vot, res_ens.sum_nb_voi_x000D_
FROM c:\cap_dbf\res_ens res_ens"}</definedName>
    <definedName name="TT_1" localSheetId="8" hidden="1">{"SELECT res_ens.sum_nb_ins, res_ens.sum_nb_vot, res_ens.pct_vot, res_ens.sum_nb_voi_x000D_
FROM c:\cap_dbf\res_ens res_ens"}</definedName>
    <definedName name="TT_1" localSheetId="3" hidden="1">{"SELECT res_ens.sum_nb_ins, res_ens.sum_nb_vot, res_ens.pct_vot, res_ens.sum_nb_voi_x000D_
FROM c:\cap_dbf\res_ens res_ens"}</definedName>
    <definedName name="TT_1" hidden="1">{"SELECT res_ens.sum_nb_ins, res_ens.sum_nb_vot, res_ens.pct_vot, res_ens.sum_nb_voi_x000D_
FROM c:\cap_dbf\res_ens res_ens"}</definedName>
    <definedName name="vp" localSheetId="7" hidden="1">{"SELECT res_ens.sum_nb_ins, res_ens.sum_nb_vot, res_ens.pct_vot, res_ens.sum_nb_voi_x000D_
FROM c:\cap_dbf\res_ens res_ens"}</definedName>
    <definedName name="vp" localSheetId="2" hidden="1">{"SELECT res_ens.sum_nb_ins, res_ens.sum_nb_vot, res_ens.pct_vot, res_ens.sum_nb_voi_x000D_
FROM c:\cap_dbf\res_ens res_ens"}</definedName>
    <definedName name="vp" localSheetId="8" hidden="1">{"SELECT res_ens.sum_nb_ins, res_ens.sum_nb_vot, res_ens.pct_vot, res_ens.sum_nb_voi_x000D_
FROM c:\cap_dbf\res_ens res_ens"}</definedName>
    <definedName name="vp" localSheetId="3" hidden="1">{"SELECT res_ens.sum_nb_ins, res_ens.sum_nb_vot, res_ens.pct_vot, res_ens.sum_nb_voi_x000D_
FROM c:\cap_dbf\res_ens res_ens"}</definedName>
    <definedName name="vp" hidden="1">{"SELECT res_ens.sum_nb_ins, res_ens.sum_nb_vot, res_ens.pct_vot, res_ens.sum_nb_voi_x000D_
FROM c:\cap_dbf\res_ens res_ens"}</definedName>
    <definedName name="vp_1" localSheetId="2" hidden="1">{"SELECT res_ens.sum_nb_ins, res_ens.sum_nb_vot, res_ens.pct_vot, res_ens.sum_nb_voi_x000D_
FROM c:\cap_dbf\res_ens res_ens"}</definedName>
    <definedName name="vp_1" localSheetId="8" hidden="1">{"SELECT res_ens.sum_nb_ins, res_ens.sum_nb_vot, res_ens.pct_vot, res_ens.sum_nb_voi_x000D_
FROM c:\cap_dbf\res_ens res_ens"}</definedName>
    <definedName name="vp_1" localSheetId="3" hidden="1">{"SELECT res_ens.sum_nb_ins, res_ens.sum_nb_vot, res_ens.pct_vot, res_ens.sum_nb_voi_x000D_
FROM c:\cap_dbf\res_ens res_ens"}</definedName>
    <definedName name="vp_1" hidden="1">{"SELECT res_ens.sum_nb_ins, res_ens.sum_nb_vot, res_ens.pct_vot, res_ens.sum_nb_voi_x000D_
FROM c:\cap_dbf\res_ens res_ens"}</definedName>
    <definedName name="vvvv" localSheetId="7" hidden="1">{TRUE;FALSE}</definedName>
    <definedName name="vvvv" localSheetId="2" hidden="1">{TRUE;FALSE}</definedName>
    <definedName name="vvvv" localSheetId="8" hidden="1">{TRUE;FALSE}</definedName>
    <definedName name="vvvv" localSheetId="3" hidden="1">{TRUE;FALSE}</definedName>
    <definedName name="vvvv" hidden="1">{TRUE;FALSE}</definedName>
    <definedName name="vvvv_1" localSheetId="2" hidden="1">{TRUE;FALSE}</definedName>
    <definedName name="vvvv_1" localSheetId="8" hidden="1">{TRUE;FALSE}</definedName>
    <definedName name="vvvv_1" localSheetId="3" hidden="1">{TRUE;FALSE}</definedName>
    <definedName name="vvvv_1" hidden="1">{TRUE;FALSE}</definedName>
    <definedName name="vvvvv" localSheetId="7" hidden="1">{"SELECT res_ens.sum_nb_ins, res_ens.sum_nb_vot, res_ens.pct_vot, res_ens.sum_nb_voi_x000D_
FROM c:\cap_dbf\res_ens res_ens"}</definedName>
    <definedName name="vvvvv" localSheetId="2" hidden="1">{"SELECT res_ens.sum_nb_ins, res_ens.sum_nb_vot, res_ens.pct_vot, res_ens.sum_nb_voi_x000D_
FROM c:\cap_dbf\res_ens res_ens"}</definedName>
    <definedName name="vvvvv" localSheetId="8" hidden="1">{"SELECT res_ens.sum_nb_ins, res_ens.sum_nb_vot, res_ens.pct_vot, res_ens.sum_nb_voi_x000D_
FROM c:\cap_dbf\res_ens res_ens"}</definedName>
    <definedName name="vvvvv" localSheetId="3" hidden="1">{"SELECT res_ens.sum_nb_ins, res_ens.sum_nb_vot, res_ens.pct_vot, res_ens.sum_nb_voi_x000D_
FROM c:\cap_dbf\res_ens res_ens"}</definedName>
    <definedName name="vvvvv" hidden="1">{"SELECT res_ens.sum_nb_ins, res_ens.sum_nb_vot, res_ens.pct_vot, res_ens.sum_nb_voi_x000D_
FROM c:\cap_dbf\res_ens res_ens"}</definedName>
    <definedName name="vvvvv_1" localSheetId="2" hidden="1">{"SELECT res_ens.sum_nb_ins, res_ens.sum_nb_vot, res_ens.pct_vot, res_ens.sum_nb_voi_x000D_
FROM c:\cap_dbf\res_ens res_ens"}</definedName>
    <definedName name="vvvvv_1" localSheetId="8" hidden="1">{"SELECT res_ens.sum_nb_ins, res_ens.sum_nb_vot, res_ens.pct_vot, res_ens.sum_nb_voi_x000D_
FROM c:\cap_dbf\res_ens res_ens"}</definedName>
    <definedName name="vvvvv_1" localSheetId="3" hidden="1">{"SELECT res_ens.sum_nb_ins, res_ens.sum_nb_vot, res_ens.pct_vot, res_ens.sum_nb_voi_x000D_
FROM c:\cap_dbf\res_ens res_ens"}</definedName>
    <definedName name="vvvvv_1" hidden="1">{"SELECT res_ens.sum_nb_ins, res_ens.sum_nb_vot, res_ens.pct_vot, res_ens.sum_nb_voi_x000D_
FROM c:\cap_dbf\res_ens res_ens"}</definedName>
    <definedName name="wrn.rap05" localSheetId="7" hidden="1">{#N/A,#N/A,FALSE,"Feuil1"}</definedName>
    <definedName name="wrn.rap05" localSheetId="2" hidden="1">{#N/A,#N/A,FALSE,"Feuil1"}</definedName>
    <definedName name="wrn.rap05" localSheetId="8" hidden="1">{#N/A,#N/A,FALSE,"Feuil1"}</definedName>
    <definedName name="wrn.rap05" localSheetId="3" hidden="1">{#N/A,#N/A,FALSE,"Feuil1"}</definedName>
    <definedName name="wrn.rap05" hidden="1">{#N/A,#N/A,FALSE,"Feuil1"}</definedName>
    <definedName name="wrn.rap05_1" localSheetId="2" hidden="1">{#N/A,#N/A,FALSE,"Feuil1"}</definedName>
    <definedName name="wrn.rap05_1" localSheetId="8" hidden="1">{#N/A,#N/A,FALSE,"Feuil1"}</definedName>
    <definedName name="wrn.rap05_1" localSheetId="3" hidden="1">{#N/A,#N/A,FALSE,"Feuil1"}</definedName>
    <definedName name="wrn.rap05_1" hidden="1">{#N/A,#N/A,FALSE,"Feuil1"}</definedName>
    <definedName name="wrn.rap95." localSheetId="7" hidden="1">{#N/A,#N/A,FALSE,"Feuil1"}</definedName>
    <definedName name="wrn.rap95." localSheetId="2" hidden="1">{#N/A,#N/A,FALSE,"Feuil1"}</definedName>
    <definedName name="wrn.rap95." localSheetId="8" hidden="1">{#N/A,#N/A,FALSE,"Feuil1"}</definedName>
    <definedName name="wrn.rap95." localSheetId="3" hidden="1">{#N/A,#N/A,FALSE,"Feuil1"}</definedName>
    <definedName name="wrn.rap95." hidden="1">{#N/A,#N/A,FALSE,"Feuil1"}</definedName>
    <definedName name="wrn.rap95._1" localSheetId="2" hidden="1">{#N/A,#N/A,FALSE,"Feuil1"}</definedName>
    <definedName name="wrn.rap95._1" localSheetId="8" hidden="1">{#N/A,#N/A,FALSE,"Feuil1"}</definedName>
    <definedName name="wrn.rap95._1" localSheetId="3" hidden="1">{#N/A,#N/A,FALSE,"Feuil1"}</definedName>
    <definedName name="wrn.rap95._1" hidden="1">{#N/A,#N/A,FALSE,"Feuil1"}</definedName>
    <definedName name="xxxxx" localSheetId="7" hidden="1">{#N/A,#N/A,FALSE,"Feuil1"}</definedName>
    <definedName name="xxxxx" localSheetId="2" hidden="1">{#N/A,#N/A,FALSE,"Feuil1"}</definedName>
    <definedName name="xxxxx" localSheetId="8" hidden="1">{#N/A,#N/A,FALSE,"Feuil1"}</definedName>
    <definedName name="xxxxx" localSheetId="3" hidden="1">{#N/A,#N/A,FALSE,"Feuil1"}</definedName>
    <definedName name="xxxxx" hidden="1">{#N/A,#N/A,FALSE,"Feuil1"}</definedName>
    <definedName name="xxxxx_1" localSheetId="2" hidden="1">{#N/A,#N/A,FALSE,"Feuil1"}</definedName>
    <definedName name="xxxxx_1" localSheetId="8" hidden="1">{#N/A,#N/A,FALSE,"Feuil1"}</definedName>
    <definedName name="xxxxx_1" localSheetId="3" hidden="1">{#N/A,#N/A,FALSE,"Feuil1"}</definedName>
    <definedName name="xxxxx_1" hidden="1">{#N/A,#N/A,FALSE,"Feuil1"}</definedName>
    <definedName name="xxxy" localSheetId="7" hidden="1">{TRUE;FALSE}</definedName>
    <definedName name="xxxy" localSheetId="2" hidden="1">{TRUE;FALSE}</definedName>
    <definedName name="xxxy" localSheetId="8" hidden="1">{TRUE;FALSE}</definedName>
    <definedName name="xxxy" localSheetId="3" hidden="1">{TRUE;FALSE}</definedName>
    <definedName name="xxxy" hidden="1">{TRUE;FALSE}</definedName>
    <definedName name="xxxy_1" localSheetId="2" hidden="1">{TRUE;FALSE}</definedName>
    <definedName name="xxxy_1" localSheetId="8" hidden="1">{TRUE;FALSE}</definedName>
    <definedName name="xxxy_1" localSheetId="3" hidden="1">{TRUE;FALSE}</definedName>
    <definedName name="xxxy_1" hidden="1">{TRUE;FALSE}</definedName>
    <definedName name="xxyz" localSheetId="7" hidden="1">{"Visual FoxPro Tables"}</definedName>
    <definedName name="xxyz" localSheetId="2" hidden="1">{"Visual FoxPro Tables"}</definedName>
    <definedName name="xxyz" localSheetId="8" hidden="1">{"Visual FoxPro Tables"}</definedName>
    <definedName name="xxyz" localSheetId="3" hidden="1">{"Visual FoxPro Tables"}</definedName>
    <definedName name="xxyz" hidden="1">{"Visual FoxPro Tables"}</definedName>
    <definedName name="xxyz_1" localSheetId="2" hidden="1">{"Visual FoxPro Tables"}</definedName>
    <definedName name="xxyz_1" localSheetId="8" hidden="1">{"Visual FoxPro Tables"}</definedName>
    <definedName name="xxyz_1" localSheetId="3" hidden="1">{"Visual FoxPro Tables"}</definedName>
    <definedName name="xxyz_1" hidden="1">{"Visual FoxPro Tables"}</definedName>
    <definedName name="xyza9" localSheetId="7" hidden="1">{"SELECT res_ens.sum_nb_ins, res_ens.sum_nb_vot, res_ens.pct_vot, res_ens.sum_nb_voi_x000D_
FROM c:\cap_dbf\res_ens res_ens"}</definedName>
    <definedName name="xyza9" localSheetId="2" hidden="1">{"SELECT res_ens.sum_nb_ins, res_ens.sum_nb_vot, res_ens.pct_vot, res_ens.sum_nb_voi_x000D_
FROM c:\cap_dbf\res_ens res_ens"}</definedName>
    <definedName name="xyza9" localSheetId="8" hidden="1">{"SELECT res_ens.sum_nb_ins, res_ens.sum_nb_vot, res_ens.pct_vot, res_ens.sum_nb_voi_x000D_
FROM c:\cap_dbf\res_ens res_ens"}</definedName>
    <definedName name="xyza9" localSheetId="3" hidden="1">{"SELECT res_ens.sum_nb_ins, res_ens.sum_nb_vot, res_ens.pct_vot, res_ens.sum_nb_voi_x000D_
FROM c:\cap_dbf\res_ens res_ens"}</definedName>
    <definedName name="xyza9" hidden="1">{"SELECT res_ens.sum_nb_ins, res_ens.sum_nb_vot, res_ens.pct_vot, res_ens.sum_nb_voi_x000D_
FROM c:\cap_dbf\res_ens res_ens"}</definedName>
    <definedName name="xyza9_1" localSheetId="2" hidden="1">{"SELECT res_ens.sum_nb_ins, res_ens.sum_nb_vot, res_ens.pct_vot, res_ens.sum_nb_voi_x000D_
FROM c:\cap_dbf\res_ens res_ens"}</definedName>
    <definedName name="xyza9_1" localSheetId="8" hidden="1">{"SELECT res_ens.sum_nb_ins, res_ens.sum_nb_vot, res_ens.pct_vot, res_ens.sum_nb_voi_x000D_
FROM c:\cap_dbf\res_ens res_ens"}</definedName>
    <definedName name="xyza9_1" localSheetId="3" hidden="1">{"SELECT res_ens.sum_nb_ins, res_ens.sum_nb_vot, res_ens.pct_vot, res_ens.sum_nb_voi_x000D_
FROM c:\cap_dbf\res_ens res_ens"}</definedName>
    <definedName name="xyza9_1" hidden="1">{"SELECT res_ens.sum_nb_ins, res_ens.sum_nb_vot, res_ens.pct_vot, res_ens.sum_nb_voi_x000D_
FROM c:\cap_dbf\res_ens res_ens"}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5" i="19" l="1"/>
  <c r="G5" i="19"/>
  <c r="G42" i="19" l="1"/>
  <c r="F42" i="19"/>
  <c r="F41" i="19"/>
  <c r="G40" i="19"/>
  <c r="F40" i="19"/>
  <c r="G39" i="19"/>
  <c r="F39" i="19"/>
  <c r="G38" i="19"/>
  <c r="F38" i="19"/>
  <c r="G37" i="19"/>
  <c r="F37" i="19"/>
  <c r="G36" i="19"/>
  <c r="F36" i="19"/>
  <c r="G35" i="19"/>
  <c r="F35" i="19"/>
  <c r="G33" i="19"/>
  <c r="F33" i="19"/>
  <c r="G32" i="19"/>
  <c r="F32" i="19"/>
  <c r="G31" i="19"/>
  <c r="F31" i="19"/>
  <c r="G30" i="19"/>
  <c r="F30" i="19"/>
  <c r="G29" i="19"/>
  <c r="F29" i="19"/>
  <c r="G28" i="19"/>
  <c r="F28" i="19"/>
  <c r="G27" i="19"/>
  <c r="F27" i="19"/>
  <c r="G26" i="19"/>
  <c r="F26" i="19"/>
  <c r="G25" i="19"/>
  <c r="F25" i="19"/>
  <c r="G24" i="19"/>
  <c r="F24" i="19"/>
  <c r="G23" i="19"/>
  <c r="F23" i="19"/>
  <c r="G21" i="19"/>
  <c r="F21" i="19"/>
  <c r="G20" i="19"/>
  <c r="F20" i="19"/>
  <c r="G19" i="19"/>
  <c r="F19" i="19"/>
  <c r="G18" i="19"/>
  <c r="F18" i="19"/>
  <c r="G17" i="19"/>
  <c r="F17" i="19"/>
  <c r="G16" i="19"/>
  <c r="F16" i="19"/>
  <c r="G15" i="19"/>
  <c r="F15" i="19"/>
  <c r="G14" i="19"/>
  <c r="F14" i="19"/>
  <c r="G13" i="19"/>
  <c r="F13" i="19"/>
  <c r="G12" i="19"/>
  <c r="F12" i="19"/>
  <c r="G11" i="19"/>
  <c r="F11" i="19"/>
  <c r="G10" i="19"/>
  <c r="F10" i="19"/>
  <c r="G9" i="19"/>
  <c r="F9" i="19"/>
  <c r="G8" i="19"/>
  <c r="F8" i="19"/>
  <c r="G7" i="19"/>
  <c r="F7" i="19"/>
  <c r="G6" i="19"/>
  <c r="F6" i="19"/>
</calcChain>
</file>

<file path=xl/sharedStrings.xml><?xml version="1.0" encoding="utf-8"?>
<sst xmlns="http://schemas.openxmlformats.org/spreadsheetml/2006/main" count="586" uniqueCount="306">
  <si>
    <t/>
  </si>
  <si>
    <t>Total</t>
  </si>
  <si>
    <t>Effectifs</t>
  </si>
  <si>
    <t>Catégorie A</t>
  </si>
  <si>
    <t>Catégorie B</t>
  </si>
  <si>
    <t>Catégorie C</t>
  </si>
  <si>
    <t>Militaires et militaires volontaires</t>
  </si>
  <si>
    <t>Effectifs physiques</t>
  </si>
  <si>
    <t>Fonctionnaires</t>
  </si>
  <si>
    <t>Contractuels</t>
  </si>
  <si>
    <t>Source : Siasp, Insee. Traitement DGAFP - SDessi.</t>
  </si>
  <si>
    <t>dont Travail</t>
  </si>
  <si>
    <t>Ministères économiques et financiers</t>
  </si>
  <si>
    <t>Agriculture et Alimentation</t>
  </si>
  <si>
    <t>Armées</t>
  </si>
  <si>
    <t>Culture</t>
  </si>
  <si>
    <t>Intérieur et Outre-Mer</t>
  </si>
  <si>
    <t>Justice</t>
  </si>
  <si>
    <t>Services du Premier ministre</t>
  </si>
  <si>
    <t>Note : L'appellation des ministères renvoie à la nomenclature d'exécution de la loi de finance initiale de l'année. Les effectifs du budget annexe des publications officielles et de l'information administrative sont décomptés avec ceux des services du Premier ministre. Les effectifs du budget annexe de contrôle et exploitation aériens sont décomptés avec ceux du ministère de la Transition écologique et solidaire, du Logement et de l'Habitat durable.</t>
  </si>
  <si>
    <t>Champ : Emplois principaux, tous statuts, situés en France (hors Mayotte). Hors bénéficiaires de contrats aidés.</t>
  </si>
  <si>
    <t>Champ : Emplois principaux, fonctionnaires des ministères, situés en France (hors Mayotte). Hors bénéficiaires de contrats aidés.</t>
  </si>
  <si>
    <r>
      <t>Autres catégories et statuts</t>
    </r>
    <r>
      <rPr>
        <vertAlign val="superscript"/>
        <sz val="10"/>
        <rFont val="Arial"/>
        <family val="2"/>
      </rPr>
      <t>(1)</t>
    </r>
  </si>
  <si>
    <t>(4) À partir de l'année 2016, la prise en compte des élèves militaires a été modifiée dans la source de données (environ 1 700 postes ont été ajoutés, dont 1 300 au sein des ministères).</t>
  </si>
  <si>
    <t>(3) Les militaires volontaires sont comptabilisés dans les effectifs de l'État à partir de 2004.</t>
  </si>
  <si>
    <t>Total ministères</t>
  </si>
  <si>
    <t>(3) Enseignants : Y compris élèves enseignants ; hors chercheurs, directeurs d'établissement, inspecteurs, personnels d'orientation et de surveillance.</t>
  </si>
  <si>
    <r>
      <t>Total hors enseignants</t>
    </r>
    <r>
      <rPr>
        <b/>
        <vertAlign val="superscript"/>
        <sz val="10"/>
        <rFont val="Arial"/>
        <family val="2"/>
      </rPr>
      <t>(3)</t>
    </r>
  </si>
  <si>
    <t>en milliers</t>
  </si>
  <si>
    <t>Effectifs des fonctionnaires des ministères au 31 décembre</t>
  </si>
  <si>
    <t>Effectifs physiques au 31 décembre des agents des ministères par statut</t>
  </si>
  <si>
    <t>Adjoints administratifs et adjoints techniques</t>
  </si>
  <si>
    <t>Employés et ouvriers de catégorie C dont :</t>
  </si>
  <si>
    <t>Gardiens de la paix</t>
  </si>
  <si>
    <t>Brigadiers (yc chefs et majors)</t>
  </si>
  <si>
    <t>Employés et ouvriers de catégorie B dont :</t>
  </si>
  <si>
    <t>PCS employés et ouvriers dont :</t>
  </si>
  <si>
    <t>Personnels administratifs et techniques (secrétaires administratifs, contrôleurs et techniciens)</t>
  </si>
  <si>
    <t>Greffiers</t>
  </si>
  <si>
    <t xml:space="preserve">Professions intermédiaires de catégorie B dont : </t>
  </si>
  <si>
    <t>Police (capitaine et lieutenant)</t>
  </si>
  <si>
    <t>Professeurs de lycée professionnel</t>
  </si>
  <si>
    <t>Professeurs des écoles</t>
  </si>
  <si>
    <t>Professions intermédiaires de catégorie A dont :</t>
  </si>
  <si>
    <t>PCS de professions intermédiaires dont :</t>
  </si>
  <si>
    <t>Police (commandants)</t>
  </si>
  <si>
    <t>Professeurs certifiés et agrégés</t>
  </si>
  <si>
    <t>Attachés et inspecteurs</t>
  </si>
  <si>
    <t>Enseignement supérieur, recherche et assimilés</t>
  </si>
  <si>
    <r>
      <t>Inspection, contrôle et expertise</t>
    </r>
    <r>
      <rPr>
        <vertAlign val="superscript"/>
        <sz val="10"/>
        <color indexed="8"/>
        <rFont val="Arial"/>
        <family val="2"/>
      </rPr>
      <t xml:space="preserve"> </t>
    </r>
  </si>
  <si>
    <t>Encadrement et direction</t>
  </si>
  <si>
    <t>Cadres de catégorie A+</t>
  </si>
  <si>
    <t>PCS cadres et professions intellectuelles supérieures dont :</t>
  </si>
  <si>
    <t>Part des femmes
 (en point
 de %)</t>
  </si>
  <si>
    <t>Part des femmes
 (en %)</t>
  </si>
  <si>
    <t>Champ : Emplois principaux, fonctionnaires des ministères et des EPA, situés en France (hors Mayotte). Hors bénéficiaires de contrats aidés.</t>
  </si>
  <si>
    <t>Auvergne-Rhône-Alpes</t>
  </si>
  <si>
    <t>Allier</t>
  </si>
  <si>
    <t>Cantal</t>
  </si>
  <si>
    <t>Haute-Loire</t>
  </si>
  <si>
    <t>Puy-de-Dôme</t>
  </si>
  <si>
    <t>Ain</t>
  </si>
  <si>
    <t>Ardèche</t>
  </si>
  <si>
    <t>Drôme</t>
  </si>
  <si>
    <t>Haute-Savoie</t>
  </si>
  <si>
    <t>Isère</t>
  </si>
  <si>
    <t>Loire</t>
  </si>
  <si>
    <t>Rhône</t>
  </si>
  <si>
    <t>Savoie</t>
  </si>
  <si>
    <t>Bourgogne-Franche-Comté</t>
  </si>
  <si>
    <t>Côte-d'Or</t>
  </si>
  <si>
    <t>Nièvre</t>
  </si>
  <si>
    <t>Saône-et-Loire</t>
  </si>
  <si>
    <t>Yonne</t>
  </si>
  <si>
    <t>Doubs</t>
  </si>
  <si>
    <t>Haute-Saône</t>
  </si>
  <si>
    <t>Jura</t>
  </si>
  <si>
    <t>Territoire de Belfort</t>
  </si>
  <si>
    <t>Bretagne</t>
  </si>
  <si>
    <t>Côtes-d'Armor</t>
  </si>
  <si>
    <t>Finistère</t>
  </si>
  <si>
    <t>Ille-et-Vilaine</t>
  </si>
  <si>
    <t>Morbihan</t>
  </si>
  <si>
    <t>Centre-Val de Loire</t>
  </si>
  <si>
    <t>Cher</t>
  </si>
  <si>
    <t>Eure-et-Loir</t>
  </si>
  <si>
    <t>Indre</t>
  </si>
  <si>
    <t>Indre-et-Loire</t>
  </si>
  <si>
    <t>Loiret</t>
  </si>
  <si>
    <t>Loir-et-Cher</t>
  </si>
  <si>
    <t>Corse</t>
  </si>
  <si>
    <t>Corse-du-Sud</t>
  </si>
  <si>
    <t>Haute-Corse</t>
  </si>
  <si>
    <t>Grand-Est</t>
  </si>
  <si>
    <t>Bas-Rhin</t>
  </si>
  <si>
    <t>Haut-Rhin</t>
  </si>
  <si>
    <t>Ardennes</t>
  </si>
  <si>
    <t>Aube</t>
  </si>
  <si>
    <t>Haute-Marne</t>
  </si>
  <si>
    <t>Marne</t>
  </si>
  <si>
    <t>Meurthe-et-Moselle</t>
  </si>
  <si>
    <t>Meuse</t>
  </si>
  <si>
    <t>Moselle</t>
  </si>
  <si>
    <t>Vosges</t>
  </si>
  <si>
    <t>Hauts-de-France</t>
  </si>
  <si>
    <t>Nord</t>
  </si>
  <si>
    <t>Pas-de-Calais</t>
  </si>
  <si>
    <t>Aisne</t>
  </si>
  <si>
    <t>Oise</t>
  </si>
  <si>
    <t>Somme</t>
  </si>
  <si>
    <t>Île-de-France</t>
  </si>
  <si>
    <t>Essonne</t>
  </si>
  <si>
    <t>Hauts-de-Seine</t>
  </si>
  <si>
    <t>Paris</t>
  </si>
  <si>
    <t>Seine-et-Marne</t>
  </si>
  <si>
    <t>Seine-Saint-Denis</t>
  </si>
  <si>
    <t>Val-de-Marne</t>
  </si>
  <si>
    <t>Val-d'Oise</t>
  </si>
  <si>
    <t>Yvelines</t>
  </si>
  <si>
    <t>Normandie</t>
  </si>
  <si>
    <t>Calvados</t>
  </si>
  <si>
    <t>Manche</t>
  </si>
  <si>
    <t>Orne</t>
  </si>
  <si>
    <t>Eure</t>
  </si>
  <si>
    <t>Seine-Maritime</t>
  </si>
  <si>
    <t>Nouvelle-Aquitaine</t>
  </si>
  <si>
    <t>Dordogne</t>
  </si>
  <si>
    <t>Gironde</t>
  </si>
  <si>
    <t>Landes</t>
  </si>
  <si>
    <t>Lot-et-Garonne</t>
  </si>
  <si>
    <t>Pyrénées-Atlantiques</t>
  </si>
  <si>
    <t>Corrèze</t>
  </si>
  <si>
    <t>Creuse</t>
  </si>
  <si>
    <t>Haute-Vienne</t>
  </si>
  <si>
    <t>Charente</t>
  </si>
  <si>
    <t>Charente-Maritime</t>
  </si>
  <si>
    <t>Deux-Sèvres</t>
  </si>
  <si>
    <t>Vienne</t>
  </si>
  <si>
    <t>Occitanie</t>
  </si>
  <si>
    <t>Aude</t>
  </si>
  <si>
    <t>Gard</t>
  </si>
  <si>
    <t>Hérault</t>
  </si>
  <si>
    <t>Lozère</t>
  </si>
  <si>
    <t>Pyrénées-Orientales</t>
  </si>
  <si>
    <t>Ariège</t>
  </si>
  <si>
    <t>Aveyron</t>
  </si>
  <si>
    <t>Gers</t>
  </si>
  <si>
    <t>Haute-Garonne</t>
  </si>
  <si>
    <t>Hautes-Pyrénées</t>
  </si>
  <si>
    <t>Lot</t>
  </si>
  <si>
    <t>Tarn</t>
  </si>
  <si>
    <t>Tarn-et-Garonne</t>
  </si>
  <si>
    <t>Pays de la Loire</t>
  </si>
  <si>
    <t>Loire-Atlantique</t>
  </si>
  <si>
    <t>Maine-et-Loire</t>
  </si>
  <si>
    <t>Mayenne</t>
  </si>
  <si>
    <t>Sarthe</t>
  </si>
  <si>
    <t>Vendée</t>
  </si>
  <si>
    <t>Provence-Alpes-Côte d'Azur</t>
  </si>
  <si>
    <t>Alpes-de-Haute-Provence</t>
  </si>
  <si>
    <t>Alpes-Maritimes</t>
  </si>
  <si>
    <t>Bouches-du-Rhône</t>
  </si>
  <si>
    <t>Hautes-Alpes</t>
  </si>
  <si>
    <t>Var</t>
  </si>
  <si>
    <t>Vaucluse</t>
  </si>
  <si>
    <t>Total métropole</t>
  </si>
  <si>
    <t>DOM</t>
  </si>
  <si>
    <t>Guadeloupe</t>
  </si>
  <si>
    <t>Martinique</t>
  </si>
  <si>
    <t>Guyane</t>
  </si>
  <si>
    <t>La Réunion</t>
  </si>
  <si>
    <r>
      <t>Total France entière, agents civils</t>
    </r>
    <r>
      <rPr>
        <b/>
        <vertAlign val="superscript"/>
        <sz val="10"/>
        <color indexed="8"/>
        <rFont val="Arial"/>
        <family val="2"/>
      </rPr>
      <t>(1)</t>
    </r>
  </si>
  <si>
    <t>(1) Les effectifs des militaires ne sont pas localisables.</t>
  </si>
  <si>
    <t>Éducation nationale, Jeunesse, Sports, Enseignement supérieur, Recherche et Innovation</t>
  </si>
  <si>
    <t>Intérieur et Outre-mer</t>
  </si>
  <si>
    <t xml:space="preserve">Ministères économiques et financiers </t>
  </si>
  <si>
    <t>Transition écologique et solidaire, logement et habitat durable et Cohésion des Territoires</t>
  </si>
  <si>
    <t>Agriculture, Alimentation</t>
  </si>
  <si>
    <r>
      <t>Autres ministères</t>
    </r>
    <r>
      <rPr>
        <b/>
        <vertAlign val="superscript"/>
        <sz val="10"/>
        <rFont val="Arial"/>
        <family val="2"/>
      </rPr>
      <t>(1)</t>
    </r>
  </si>
  <si>
    <t>Total, agents civils</t>
  </si>
  <si>
    <t>Source : Siasp, Insee. Traitement DGAFP -SDessi</t>
  </si>
  <si>
    <t>(1) Les autres ministères regroupent les ministères suivants : Europe et Affaires étrangères, Culture, Solidarités et Santé, Travail et Services du Premier ministre.</t>
  </si>
  <si>
    <r>
      <rPr>
        <b/>
        <sz val="10"/>
        <color indexed="8"/>
        <rFont val="Calibri"/>
        <family val="2"/>
      </rPr>
      <t>Î</t>
    </r>
    <r>
      <rPr>
        <b/>
        <sz val="10"/>
        <color indexed="8"/>
        <rFont val="Arial"/>
        <family val="2"/>
      </rPr>
      <t>le-de-France</t>
    </r>
  </si>
  <si>
    <t>Figure 1 statut</t>
  </si>
  <si>
    <t>Figure 2 statut</t>
  </si>
  <si>
    <t>Figure 3 statut</t>
  </si>
  <si>
    <t>Figure 1 catégorie</t>
  </si>
  <si>
    <t>Figure 1 loc</t>
  </si>
  <si>
    <t>Figure 2 loc</t>
  </si>
  <si>
    <t>Figure 3 loc</t>
  </si>
  <si>
    <t>dont Solidarités et Santé</t>
  </si>
  <si>
    <t>Figure 4 statut</t>
  </si>
  <si>
    <t>Champ : Emplois principaux des ministères, situés en France (hors Mayotte). Hors bénéficiaires de contrats aidés.</t>
  </si>
  <si>
    <t>Ministères sociaux</t>
  </si>
  <si>
    <t>Figure 2 catégorie</t>
  </si>
  <si>
    <t>Cadres de catégorie A (à l'exception des A+) dont :</t>
  </si>
  <si>
    <t>Statut</t>
  </si>
  <si>
    <t>Catégories</t>
  </si>
  <si>
    <t>Localisation</t>
  </si>
  <si>
    <t>Agriculture et alimentation</t>
  </si>
  <si>
    <t>Solidarités et santé</t>
  </si>
  <si>
    <t>Travail</t>
  </si>
  <si>
    <t>Nom de l'onglet</t>
  </si>
  <si>
    <t>En ETP pour 1000 habitants</t>
  </si>
  <si>
    <t>Ensemble FPE</t>
  </si>
  <si>
    <t>Ministères</t>
  </si>
  <si>
    <t>EPA</t>
  </si>
  <si>
    <t>Militaires</t>
  </si>
  <si>
    <t>Autres catégories et statuts</t>
  </si>
  <si>
    <t>Ensemble</t>
  </si>
  <si>
    <t>Effectifs par statut et par catégorie selon la nature de l'employeur au 31 décembre</t>
  </si>
  <si>
    <t>En %</t>
  </si>
  <si>
    <t>En milliers</t>
  </si>
  <si>
    <t>Figure 5 statut</t>
  </si>
  <si>
    <r>
      <t>2004</t>
    </r>
    <r>
      <rPr>
        <b/>
        <vertAlign val="superscript"/>
        <sz val="10"/>
        <rFont val="Arial"/>
        <family val="2"/>
      </rPr>
      <t>(3)</t>
    </r>
  </si>
  <si>
    <r>
      <t>2016</t>
    </r>
    <r>
      <rPr>
        <b/>
        <vertAlign val="superscript"/>
        <sz val="10"/>
        <rFont val="Arial"/>
        <family val="2"/>
      </rPr>
      <t>(4)</t>
    </r>
  </si>
  <si>
    <t xml:space="preserve">Contient des données sur l'égalité professionnelle entre les femmes et les hommes </t>
  </si>
  <si>
    <t>oui</t>
  </si>
  <si>
    <t>Effectifs physiques par catégorie socioprofessionnelle (PCS-Insee) et catégorie hiérarchique parmi les fonctionnaires de l'État</t>
  </si>
  <si>
    <t>(2) Une part des agents du ministère des Affaires étrangères est située en dehors du territoire du champ (environ 80 % des EQTP).</t>
  </si>
  <si>
    <t xml:space="preserve">Avertissement </t>
  </si>
  <si>
    <t>Indéterminé</t>
  </si>
  <si>
    <t>Effectifs des ministères par statut au 31 décembre</t>
  </si>
  <si>
    <t>Transition écologique et Cohésion des territoires</t>
  </si>
  <si>
    <t>Note : L’appellation des ministères renvoie à la nomenclature d’exécution de la loi de finances initiale de l’année. Les effectifs du budget annexe des publications officielles et de l’information administrative sont décomptés avec ceux des services du Premier ministre. Les effectifs du budget annexe de contrôle et exploitation aériens sont décomptés avec ceux du ministère de la Transition écologique et solidaire, Logement et Habitat durable et Cohésion des territoires.</t>
  </si>
  <si>
    <r>
      <t>Militaires</t>
    </r>
    <r>
      <rPr>
        <vertAlign val="superscript"/>
        <sz val="10"/>
        <rFont val="Arial"/>
        <family val="2"/>
      </rPr>
      <t>(1)</t>
    </r>
  </si>
  <si>
    <t>Effectifs des départements ministériels par statut et par ministère de tutelle au 31 décembre</t>
  </si>
  <si>
    <t>Autres catégories A</t>
  </si>
  <si>
    <t>Autres catégories B</t>
  </si>
  <si>
    <t>Autres catégories C</t>
  </si>
  <si>
    <t xml:space="preserve">Employés et ouvriers de catégorie A ou inconnue </t>
  </si>
  <si>
    <t>PCS inconnue</t>
  </si>
  <si>
    <t>ns</t>
  </si>
  <si>
    <t>Cadres de catégories B, C ou  inconnue</t>
  </si>
  <si>
    <t xml:space="preserve">Professions intermédiaires de catégorie C ou inconnue </t>
  </si>
  <si>
    <t>Note : Les effectifs des militaires ne sont pas localisables.</t>
  </si>
  <si>
    <r>
      <t>Taux d'administration civile par département de fonction dans la fonction publique de l'</t>
    </r>
    <r>
      <rPr>
        <b/>
        <sz val="10"/>
        <color indexed="8"/>
        <rFont val="Calibri"/>
        <family val="2"/>
      </rPr>
      <t>É</t>
    </r>
    <r>
      <rPr>
        <b/>
        <sz val="10"/>
        <color indexed="8"/>
        <rFont val="Arial"/>
        <family val="2"/>
      </rPr>
      <t>tat au 31 décembre</t>
    </r>
  </si>
  <si>
    <t>Taux d'administration civile par département de fonction dans la fonction publique de l'État au 31 décembre</t>
  </si>
  <si>
    <t>Effectifs physiques civils par département de fonction dans la fonction publique de l'État au 31 décembre</t>
  </si>
  <si>
    <t>Champ : Emplois principaux, agents civils, situés en France (hors Mayotte). Hors bénéficiaires de contrats aidés. Hors emplois non localisés.</t>
  </si>
  <si>
    <t>Situation au 31 décembre 2023</t>
  </si>
  <si>
    <t xml:space="preserve">Contient des données rétropolées </t>
  </si>
  <si>
    <t>(1) Dans la FPE, la catégorie "Autres catégories et statuts" recouvre principalement les enseignants et documentalistes des établissements privés sous contrat, les ouvriers d'État et les apprentis.</t>
  </si>
  <si>
    <t>2021 Classique</t>
  </si>
  <si>
    <t>2021 Moderne</t>
  </si>
  <si>
    <t>2022 millésime 2022</t>
  </si>
  <si>
    <t>2022 millésime 2023</t>
  </si>
  <si>
    <t>(2) Dans la FPE, la catégorie "Autres catégories et statuts" recouvre principalement les enseignants et documentalistes des établissements privés sous contrat, les ouvriers d'État et les apprentis.</t>
  </si>
  <si>
    <t>(2) La mesure du volume de travail a été particulièrement impactée par le passage de la DSN. Des expertises sont toujours en cours pour finaliser la nouvelle méthodologie.</t>
  </si>
  <si>
    <r>
      <t>Autres catégories et statuts</t>
    </r>
    <r>
      <rPr>
        <vertAlign val="superscript"/>
        <sz val="10"/>
        <rFont val="Arial"/>
        <family val="2"/>
      </rPr>
      <t>(2)</t>
    </r>
  </si>
  <si>
    <r>
      <t>Europe et Affaires étrangères</t>
    </r>
    <r>
      <rPr>
        <vertAlign val="superscript"/>
        <sz val="10"/>
        <rFont val="Arial"/>
        <family val="2"/>
      </rPr>
      <t>(1)</t>
    </r>
  </si>
  <si>
    <t>(1) Une part des agents du ministère des Affaires étrangères est située en dehors du territoire du champ</t>
  </si>
  <si>
    <r>
      <t>Total hors enseignants</t>
    </r>
    <r>
      <rPr>
        <b/>
        <vertAlign val="superscript"/>
        <sz val="10"/>
        <rFont val="Arial"/>
        <family val="2"/>
      </rPr>
      <t>(2)</t>
    </r>
  </si>
  <si>
    <t>(2) Enseignants : Y compris élèves enseignants ; hors chercheurs, directeurs d'établissement, inspecteurs, personnels d'orientation et de surveillance.</t>
  </si>
  <si>
    <t>(3) Dans quelques rares cas, les agents sont considérés comme étant dans une catégorie indéterminée</t>
  </si>
  <si>
    <r>
      <t>Ingénieurs de l'</t>
    </r>
    <r>
      <rPr>
        <sz val="10"/>
        <color indexed="8"/>
        <rFont val="Arial"/>
        <family val="2"/>
      </rPr>
      <t>État (sauf militaires)</t>
    </r>
  </si>
  <si>
    <r>
      <t>Contractuels</t>
    </r>
    <r>
      <rPr>
        <vertAlign val="superscript"/>
        <sz val="10"/>
        <rFont val="Arial"/>
        <family val="2"/>
      </rPr>
      <t>(1)</t>
    </r>
  </si>
  <si>
    <t xml:space="preserve">(1) La forte hausse des effectifs de contractuels dans les ministères et la forte baisse dans les EPA s’explique en grande partie parce que, conformément à la loi de finances pour 2023, les déclarations sociales des accompagnants des élèves en situation de handicap (AESH), sur lesquelles s’appuient les données relatives aux effectifs présentées ici, basculent progressivement des lycées mutualisateurs, considérés comme des EPA, vers les Directions des services départementaux de l’Éducation nationale (DSDEN), qui sont rattachées aux services du ministère. </t>
  </si>
  <si>
    <r>
      <t>Europe et Affaires étrangères</t>
    </r>
    <r>
      <rPr>
        <vertAlign val="superscript"/>
        <sz val="10"/>
        <rFont val="Arial"/>
        <family val="2"/>
      </rPr>
      <t>(2)</t>
    </r>
  </si>
  <si>
    <r>
      <t>Indéterminée</t>
    </r>
    <r>
      <rPr>
        <vertAlign val="superscript"/>
        <sz val="10"/>
        <rFont val="Arial"/>
        <family val="2"/>
      </rPr>
      <t>(3)</t>
    </r>
  </si>
  <si>
    <t>(1) Les estimations sur les effectifs de militaires sont fragiles. Elles sont notamment très sensibles à la bonne identification des agents à l'étranger.</t>
  </si>
  <si>
    <t>Les séries rétropolées sont indiquées dans l’onglet « Sommaire ». La rétropolation consiste à recalculer les effectifs (en "niveau") à partir des évolutions calculées chaque année à méthodologie constante.</t>
  </si>
  <si>
    <t>Évolution 2023 - 2024</t>
  </si>
  <si>
    <t>Lecture : En 2024, la FPE compte 1 410 500 agents de catégorie A, dont 1 158 100 au sein des ministères.</t>
  </si>
  <si>
    <t>Évolution 2023-2024
(en %)</t>
  </si>
  <si>
    <t>Lecture : En 2024, il y a 22 100 fonctionnaires au sein du ministère (y compris EPA) de l'Agriculture et de l'Alimentation.</t>
  </si>
  <si>
    <t>en % (base 100 = 2011)</t>
  </si>
  <si>
    <t>2023 millésime 2024</t>
  </si>
  <si>
    <t>2023 millésime 2023</t>
  </si>
  <si>
    <t>Lecture : En 2024, il y a 1 301 200 fonctionnaires au sein des ministères de la FPE.</t>
  </si>
  <si>
    <t>Lecture : En 2024, il y a 19 100 fonctionnaires au sein du ministère (hors EPA) de l'Agriculture et de l'Alimentation.</t>
  </si>
  <si>
    <t>Lecture : En 2024, il y a 11 100 fonctionnaires de catégorie A au sein du ministère (hors EPA) de l'Agriculture et de l'Alimentation.</t>
  </si>
  <si>
    <t>Effectifs physiques des ministères par ministère et catégories au 31 décembre 2024</t>
  </si>
  <si>
    <t>Évolution 2024/2023 (en %)</t>
  </si>
  <si>
    <t>(1) La hausse des effectifs de catégorie C au ministère de l'Éducation nationale s’explique en grande partie par le transfert progressif des déclarations sociales des accompagnants des élèves en situation de handicap (AESH), des lycées mutualisateurs (EPA) vers les Directions des services départementaux de l’Éducation nationale (DSDEN), rattachées au ministère, conformément à la loi de finances pour 2023.</t>
  </si>
  <si>
    <t>(2) Une part des agents du ministère des Affaires étrangères est située en dehors du territoire du champ</t>
  </si>
  <si>
    <t>(3) Les mouvements entre catégories au sein du ministère de la Justice s’expliquent en partie par le reclassement des officiers de l’administration pénitentiaire (B vers A) et des personnels surveillants (C vers B).</t>
  </si>
  <si>
    <t>(4) Enseignants : Y compris élèves enseignants ; hors chercheurs, directeurs d'établissement, inspecteurs, personnels d'orientation et de surveillance.</t>
  </si>
  <si>
    <r>
      <t>Total hors enseignants</t>
    </r>
    <r>
      <rPr>
        <b/>
        <vertAlign val="superscript"/>
        <sz val="10"/>
        <rFont val="Arial"/>
        <family val="2"/>
      </rPr>
      <t>(4)</t>
    </r>
  </si>
  <si>
    <r>
      <t>Indéterminée</t>
    </r>
    <r>
      <rPr>
        <vertAlign val="superscript"/>
        <sz val="10"/>
        <rFont val="Arial"/>
        <family val="2"/>
      </rPr>
      <t>(5)</t>
    </r>
  </si>
  <si>
    <t>Effectifs physiques des agents civils des ministères par région et ministère au 31 décembre 2024</t>
  </si>
  <si>
    <t>Lecture : En 2024, 175 800 agents de la FPE sont présents en Provence-Alpes-Côte d'Azur, dont 82 600 dans les Bouches-du-Rhône.</t>
  </si>
  <si>
    <t>Lecture : En 2024, la région Auvergne-Rhône-Alpes compte 9 000 agents civils au sein du ministère de la Justice.</t>
  </si>
  <si>
    <t>Lecture : En 2024, la région Provence-Alpes-Côte d'Azur compte 32 ETP dans la FPE pour 1 000 habitants.</t>
  </si>
  <si>
    <r>
      <t>2022</t>
    </r>
    <r>
      <rPr>
        <b/>
        <vertAlign val="superscript"/>
        <sz val="10"/>
        <color rgb="FF000000"/>
        <rFont val="Arial"/>
        <family val="2"/>
      </rPr>
      <t>(2)</t>
    </r>
  </si>
  <si>
    <r>
      <t>2023</t>
    </r>
    <r>
      <rPr>
        <b/>
        <vertAlign val="superscript"/>
        <sz val="10"/>
        <color rgb="FF000000"/>
        <rFont val="Arial"/>
        <family val="2"/>
      </rPr>
      <t>(2)</t>
    </r>
  </si>
  <si>
    <t>Lecture : En 2024, il y a 17 500 agents de catégories A au sein du ministère (hors EPA) de l'Agriculture et de l'Alimentation</t>
  </si>
  <si>
    <r>
      <t>2024</t>
    </r>
    <r>
      <rPr>
        <b/>
        <vertAlign val="superscript"/>
        <sz val="10"/>
        <color rgb="FF000000"/>
        <rFont val="Arial"/>
        <family val="2"/>
      </rPr>
      <t>(2)</t>
    </r>
  </si>
  <si>
    <t>Caractéristiques des postes de la fonction publique d'État</t>
  </si>
  <si>
    <t>Depuis 2022, conformément au décret 2016-611 du 18 mai 2016, les employeurs de la fonction publique ont basculé leur système de déclaration en déclarations sociales nominatives (DSN). Les données du Système d’information sur les agents du service public (Siasp), la base statistique qui est la source de cette publication, sont désormais issues de ces déclarations sociales.</t>
  </si>
  <si>
    <t>Du fait d’ajustements méthodologiques, les effectifs 2023 dans cette publication sont différents de ceux du Rapport annuel sur l’état de la fonction publique - Édition 2025 (DGAFP-SDessi), en particulier en raison de la prise en compte d'éléments de rémunération de 2023 déclarés en retard en 2024, qui augmentent les effectifs comptabilisés au 31 décembre 2023. Par ailleurs, les agents qui n’ont perçu qu’une indemnité au titre des années 2023 et/ou 2024, par exemple de jury de concours, sont désormais exclus des décomptes, ces postes sont désormais assimilés à des postes annexes. Sur l’ensemble de la fonction publique la révision sur l’emploi au 31 décembre 2023 est de 7 400.</t>
  </si>
  <si>
    <t>Ces données 2023 du millésime 2024 permettent de mesurer des évolutions annuelles cohérentes et homogènes entre 2023 et 2024. En revanche, ce sont les anciens niveaux 2023 (dénommés 2023 millésime 2023) qui sont à utiliser pour mesurer les évolutions entre 2022 et 2023 à méthodologie constante.</t>
  </si>
  <si>
    <t>Quand les séries ne sont pas rétropolées, les deux niveaux pour 2021 (2021 Classique ou Moderne), 2022 (millésime 2022 ou 2023) et 2023 (millésime 2023 ou 2024) sont diffusés et les niveaux des années antérieures sont de fait différents de ceux des séries rétropolées.</t>
  </si>
  <si>
    <t>Situation au 31 décembre 2024</t>
  </si>
  <si>
    <t>Évolution 2023-2024</t>
  </si>
  <si>
    <t>Lecture : En 2024, il y a 89 200 cadres de catégorie A+ parmi les fonctionnaires de la FPE, dont 13 500 agents au sein des professions d'inspection, contrôle et expertise.</t>
  </si>
  <si>
    <t>nc</t>
  </si>
  <si>
    <t>Note : Les corps et les cadres d’emploi composant la catégorie A+ sont détaillés dans le fichier Caracteristiques_postes_donnees_comp_Liste_Aplus mis à disposition avec le rapport annuel sur l’état de la fonction publique, avec les fichiers de données associées à la vue Caractéristiques et localisation des postes de la fonction publique en 2024.</t>
  </si>
  <si>
    <r>
      <t>Corps d'encadrement de l'administration pénitentiaire (commandants, capitaines et lieutenants pénitentiaires)</t>
    </r>
    <r>
      <rPr>
        <vertAlign val="superscript"/>
        <sz val="10"/>
        <color rgb="FF000000"/>
        <rFont val="Arial"/>
        <family val="2"/>
      </rPr>
      <t>(1)</t>
    </r>
  </si>
  <si>
    <r>
      <t>Personnel surveillant de l'administration pénitentiaire</t>
    </r>
    <r>
      <rPr>
        <vertAlign val="superscript"/>
        <sz val="10"/>
        <color rgb="FF000000"/>
        <rFont val="Arial"/>
        <family val="2"/>
      </rPr>
      <t>(1)</t>
    </r>
  </si>
  <si>
    <t>Évolution  2023-2024
(en %)</t>
  </si>
  <si>
    <r>
      <t>Éducation nationale, Jeunesse, Sports, Enseignement supérieur, Recherche et Innovation</t>
    </r>
    <r>
      <rPr>
        <vertAlign val="superscript"/>
        <sz val="10"/>
        <rFont val="Arial"/>
        <family val="2"/>
      </rPr>
      <t>(1)</t>
    </r>
  </si>
  <si>
    <r>
      <t>Justice</t>
    </r>
    <r>
      <rPr>
        <vertAlign val="superscript"/>
        <sz val="10"/>
        <rFont val="Arial"/>
        <family val="2"/>
      </rPr>
      <t>(3)</t>
    </r>
  </si>
  <si>
    <t xml:space="preserve">(5) Dans quelques rares cas (1,7%), les agents sont considérés comme étant dans une catégorie indéterminée. Cette situation a fortement progressé en 2024 (+ 31%).  Les conditions d'attribution de la catégorie ont été durcies pour les contractuels. En l'absence d'information fiable la catégorie est désormais systématiquement non codée.  </t>
  </si>
  <si>
    <t>(1) En 2024, les officiers de l'administration pénitentiaire ont été reclassés de B en A et les personnels de surveillance de C en B.</t>
  </si>
  <si>
    <t>nc : non concerné.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</si>
</sst>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 _€_-;\-* #,##0.00\ _€_-;_-* &quot;-&quot;??\ _€_-;_-@_-"/>
    <numFmt numFmtId="165" formatCode="#,##0.0"/>
    <numFmt numFmtId="166" formatCode="0.0"/>
    <numFmt numFmtId="167" formatCode="#,##0_ ;\-#,##0\ "/>
    <numFmt numFmtId="168" formatCode="#,##0.0_ ;\-#,##0.0\ "/>
    <numFmt numFmtId="169" formatCode="_-* #,##0.00\ _F_-;\-* #,##0.00\ _F_-;_-* &quot;-&quot;??\ _F_-;_-@_-"/>
    <numFmt numFmtId="170" formatCode="_-* #,##0.0\ _€_-;\-* #,##0.0\ _€_-;_-* &quot;-&quot;??\ _€_-;_-@_-"/>
    <numFmt numFmtId="171" formatCode="0.0%"/>
  </numFmts>
  <fonts count="38" x14ac:knownFonts="1">
    <font>
      <sz val="10"/>
      <name val="Arial"/>
    </font>
    <font>
      <sz val="11"/>
      <color theme="1"/>
      <name val="Calibri"/>
      <family val="2"/>
      <scheme val="minor"/>
    </font>
    <font>
      <sz val="11"/>
      <color theme="1"/>
      <name val="Calibri"/>
      <family val="2"/>
      <scheme val="minor"/>
    </font>
    <font>
      <sz val="8"/>
      <name val="Arial"/>
      <family val="2"/>
    </font>
    <font>
      <b/>
      <sz val="10"/>
      <color indexed="8"/>
      <name val="Arial"/>
      <family val="2"/>
    </font>
    <font>
      <b/>
      <sz val="10"/>
      <name val="Arial"/>
      <family val="2"/>
    </font>
    <font>
      <sz val="10"/>
      <name val="Arial"/>
      <family val="2"/>
    </font>
    <font>
      <i/>
      <sz val="10"/>
      <name val="Arial"/>
      <family val="2"/>
    </font>
    <font>
      <sz val="11"/>
      <color indexed="8"/>
      <name val="Calibri"/>
      <family val="2"/>
    </font>
    <font>
      <u/>
      <sz val="10"/>
      <color theme="10"/>
      <name val="Arial"/>
      <family val="2"/>
    </font>
    <font>
      <sz val="10"/>
      <color theme="1"/>
      <name val="Arial"/>
      <family val="2"/>
    </font>
    <font>
      <b/>
      <vertAlign val="superscript"/>
      <sz val="10"/>
      <name val="Arial"/>
      <family val="2"/>
    </font>
    <font>
      <sz val="10"/>
      <color indexed="56"/>
      <name val="Arial"/>
      <family val="2"/>
    </font>
    <font>
      <sz val="10"/>
      <color indexed="8"/>
      <name val="Arial"/>
      <family val="2"/>
    </font>
    <font>
      <vertAlign val="superscript"/>
      <sz val="10"/>
      <name val="Arial"/>
      <family val="2"/>
    </font>
    <font>
      <i/>
      <sz val="10"/>
      <color indexed="8"/>
      <name val="Arial"/>
      <family val="2"/>
    </font>
    <font>
      <b/>
      <sz val="10"/>
      <color rgb="FF000000"/>
      <name val="Arial"/>
      <family val="2"/>
    </font>
    <font>
      <sz val="10"/>
      <color rgb="FF000000"/>
      <name val="Arial"/>
      <family val="2"/>
    </font>
    <font>
      <i/>
      <sz val="10"/>
      <color theme="1"/>
      <name val="Arial"/>
      <family val="2"/>
    </font>
    <font>
      <b/>
      <sz val="10"/>
      <color theme="1"/>
      <name val="Arial"/>
      <family val="2"/>
    </font>
    <font>
      <sz val="10"/>
      <color indexed="18"/>
      <name val="Arial"/>
      <family val="2"/>
    </font>
    <font>
      <vertAlign val="superscript"/>
      <sz val="10"/>
      <color indexed="8"/>
      <name val="Arial"/>
      <family val="2"/>
    </font>
    <font>
      <b/>
      <vertAlign val="superscript"/>
      <sz val="10"/>
      <color indexed="8"/>
      <name val="Arial"/>
      <family val="2"/>
    </font>
    <font>
      <b/>
      <sz val="10"/>
      <color indexed="8"/>
      <name val="Calibri"/>
      <family val="2"/>
    </font>
    <font>
      <i/>
      <sz val="8"/>
      <name val="Arial"/>
      <family val="2"/>
    </font>
    <font>
      <sz val="8"/>
      <color indexed="8"/>
      <name val="Arial"/>
      <family val="2"/>
    </font>
    <font>
      <sz val="8"/>
      <color theme="1"/>
      <name val="Arial"/>
      <family val="2"/>
    </font>
    <font>
      <i/>
      <sz val="8"/>
      <color indexed="8"/>
      <name val="Arial"/>
      <family val="2"/>
    </font>
    <font>
      <b/>
      <vertAlign val="superscript"/>
      <sz val="10"/>
      <color rgb="FF000000"/>
      <name val="Arial"/>
      <family val="2"/>
    </font>
    <font>
      <sz val="9"/>
      <name val="Arial"/>
      <family val="2"/>
    </font>
    <font>
      <b/>
      <sz val="14"/>
      <color indexed="8"/>
      <name val="Arial Narrow"/>
      <family val="2"/>
    </font>
    <font>
      <b/>
      <sz val="10"/>
      <color rgb="FFFF0000"/>
      <name val="Arial"/>
      <family val="2"/>
    </font>
    <font>
      <sz val="10"/>
      <color rgb="FFFF0000"/>
      <name val="Arial"/>
      <family val="2"/>
    </font>
    <font>
      <b/>
      <sz val="10"/>
      <color theme="3"/>
      <name val="Arial"/>
      <family val="2"/>
    </font>
    <font>
      <sz val="10"/>
      <color theme="4"/>
      <name val="Arial"/>
      <family val="2"/>
    </font>
    <font>
      <sz val="11"/>
      <name val="Calibri"/>
      <family val="2"/>
    </font>
    <font>
      <sz val="10"/>
      <name val="Arial"/>
      <family val="2"/>
    </font>
    <font>
      <vertAlign val="superscript"/>
      <sz val="10"/>
      <color rgb="FF000000"/>
      <name val="Arial"/>
      <family val="2"/>
    </font>
  </fonts>
  <fills count="3">
    <fill>
      <patternFill patternType="none"/>
    </fill>
    <fill>
      <patternFill patternType="gray125"/>
    </fill>
    <fill>
      <patternFill patternType="solid">
        <fgColor theme="0"/>
        <bgColor indexed="64"/>
      </patternFill>
    </fill>
  </fills>
  <borders count="60">
    <border>
      <left/>
      <right/>
      <top/>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style="thin">
        <color auto="1"/>
      </left>
      <right/>
      <top style="thin">
        <color auto="1"/>
      </top>
      <bottom/>
      <diagonal/>
    </border>
    <border>
      <left style="thin">
        <color auto="1"/>
      </left>
      <right style="thin">
        <color auto="1"/>
      </right>
      <top style="thin">
        <color auto="1"/>
      </top>
      <bottom/>
      <diagonal/>
    </border>
    <border>
      <left/>
      <right style="thin">
        <color auto="1"/>
      </right>
      <top style="thin">
        <color auto="1"/>
      </top>
      <bottom/>
      <diagonal/>
    </border>
    <border>
      <left/>
      <right style="thin">
        <color auto="1"/>
      </right>
      <top/>
      <bottom style="thin">
        <color auto="1"/>
      </bottom>
      <diagonal/>
    </border>
    <border>
      <left style="thin">
        <color auto="1"/>
      </left>
      <right/>
      <top/>
      <bottom style="thin">
        <color auto="1"/>
      </bottom>
      <diagonal/>
    </border>
    <border>
      <left style="thin">
        <color auto="1"/>
      </left>
      <right style="thin">
        <color auto="1"/>
      </right>
      <top/>
      <bottom style="thin">
        <color auto="1"/>
      </bottom>
      <diagonal/>
    </border>
    <border>
      <left style="thin">
        <color rgb="FF000000"/>
      </left>
      <right/>
      <top/>
      <bottom/>
      <diagonal/>
    </border>
    <border>
      <left style="thin">
        <color rgb="FF000000"/>
      </left>
      <right/>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9"/>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9"/>
      </right>
      <top style="thin">
        <color indexed="64"/>
      </top>
      <bottom style="thin">
        <color indexed="64"/>
      </bottom>
      <diagonal/>
    </border>
    <border>
      <left/>
      <right/>
      <top style="thin">
        <color indexed="64"/>
      </top>
      <bottom style="thin">
        <color indexed="64"/>
      </bottom>
      <diagonal/>
    </border>
    <border>
      <left style="thin">
        <color indexed="9"/>
      </left>
      <right style="thin">
        <color indexed="64"/>
      </right>
      <top style="thin">
        <color indexed="64"/>
      </top>
      <bottom style="thin">
        <color indexed="64"/>
      </bottom>
      <diagonal/>
    </border>
    <border>
      <left/>
      <right/>
      <top style="thin">
        <color indexed="9"/>
      </top>
      <bottom style="thin">
        <color indexed="9"/>
      </bottom>
      <diagonal/>
    </border>
    <border>
      <left style="thin">
        <color indexed="64"/>
      </left>
      <right style="thin">
        <color indexed="9"/>
      </right>
      <top style="thin">
        <color indexed="64"/>
      </top>
      <bottom style="thin">
        <color indexed="9"/>
      </bottom>
      <diagonal/>
    </border>
    <border>
      <left style="thin">
        <color indexed="64"/>
      </left>
      <right style="thin">
        <color indexed="64"/>
      </right>
      <top style="thin">
        <color indexed="64"/>
      </top>
      <bottom/>
      <diagonal/>
    </border>
    <border>
      <left style="thin">
        <color indexed="64"/>
      </left>
      <right style="thin">
        <color indexed="9"/>
      </right>
      <top style="thin">
        <color indexed="9"/>
      </top>
      <bottom style="thin">
        <color indexed="9"/>
      </bottom>
      <diagonal/>
    </border>
    <border>
      <left style="thin">
        <color indexed="64"/>
      </left>
      <right/>
      <top style="thin">
        <color indexed="9"/>
      </top>
      <bottom style="thin">
        <color indexed="9"/>
      </bottom>
      <diagonal/>
    </border>
    <border>
      <left style="thin">
        <color indexed="64"/>
      </left>
      <right/>
      <top style="thin">
        <color auto="1"/>
      </top>
      <bottom/>
      <diagonal/>
    </border>
    <border>
      <left style="thin">
        <color auto="1"/>
      </left>
      <right style="thin">
        <color auto="1"/>
      </right>
      <top style="thin">
        <color auto="1"/>
      </top>
      <bottom/>
      <diagonal/>
    </border>
    <border>
      <left style="thin">
        <color indexed="64"/>
      </left>
      <right style="thin">
        <color auto="1"/>
      </right>
      <top/>
      <bottom style="thin">
        <color auto="1"/>
      </bottom>
      <diagonal/>
    </border>
    <border>
      <left style="thin">
        <color indexed="64"/>
      </left>
      <right style="thin">
        <color auto="1"/>
      </right>
      <top style="thin">
        <color auto="1"/>
      </top>
      <bottom style="thin">
        <color indexed="64"/>
      </bottom>
      <diagonal/>
    </border>
    <border>
      <left/>
      <right/>
      <top style="thin">
        <color indexed="64"/>
      </top>
      <bottom/>
      <diagonal/>
    </border>
    <border>
      <left/>
      <right style="thin">
        <color indexed="64"/>
      </right>
      <top style="thin">
        <color indexed="64"/>
      </top>
      <bottom style="thin">
        <color auto="1"/>
      </bottom>
      <diagonal/>
    </border>
    <border>
      <left/>
      <right style="thin">
        <color indexed="64"/>
      </right>
      <top style="thin">
        <color indexed="64"/>
      </top>
      <bottom/>
      <diagonal/>
    </border>
    <border>
      <left style="thin">
        <color auto="1"/>
      </left>
      <right/>
      <top style="thin">
        <color auto="1"/>
      </top>
      <bottom/>
      <diagonal/>
    </border>
    <border>
      <left/>
      <right/>
      <top style="thin">
        <color indexed="64"/>
      </top>
      <bottom style="thin">
        <color indexed="64"/>
      </bottom>
      <diagonal/>
    </border>
    <border>
      <left style="thin">
        <color indexed="64"/>
      </left>
      <right style="thin">
        <color indexed="9"/>
      </right>
      <top style="thin">
        <color indexed="9"/>
      </top>
      <bottom/>
      <diagonal/>
    </border>
    <border>
      <left/>
      <right/>
      <top style="thin">
        <color indexed="9"/>
      </top>
      <bottom/>
      <diagonal/>
    </border>
    <border>
      <left style="thin">
        <color indexed="64"/>
      </left>
      <right/>
      <top style="thin">
        <color indexed="64"/>
      </top>
      <bottom style="thin">
        <color indexed="64"/>
      </bottom>
      <diagonal/>
    </border>
    <border>
      <left style="thin">
        <color indexed="64"/>
      </left>
      <right style="thin">
        <color indexed="9"/>
      </right>
      <top style="thin">
        <color indexed="64"/>
      </top>
      <bottom style="thin">
        <color indexed="9"/>
      </bottom>
      <diagonal/>
    </border>
    <border>
      <left/>
      <right style="thin">
        <color indexed="64"/>
      </right>
      <top style="thin">
        <color indexed="64"/>
      </top>
      <bottom style="thin">
        <color indexed="9"/>
      </bottom>
      <diagonal/>
    </border>
    <border>
      <left style="thin">
        <color indexed="64"/>
      </left>
      <right style="thin">
        <color indexed="9"/>
      </right>
      <top style="thin">
        <color indexed="9"/>
      </top>
      <bottom style="thin">
        <color indexed="9"/>
      </bottom>
      <diagonal/>
    </border>
    <border>
      <left/>
      <right style="thin">
        <color indexed="64"/>
      </right>
      <top style="thin">
        <color indexed="9"/>
      </top>
      <bottom style="thin">
        <color indexed="9"/>
      </bottom>
      <diagonal/>
    </border>
    <border>
      <left style="thin">
        <color indexed="64"/>
      </left>
      <right/>
      <top style="thin">
        <color indexed="9"/>
      </top>
      <bottom style="thin">
        <color indexed="9"/>
      </bottom>
      <diagonal/>
    </border>
    <border>
      <left style="thin">
        <color indexed="64"/>
      </left>
      <right style="thin">
        <color indexed="9"/>
      </right>
      <top style="thin">
        <color indexed="9"/>
      </top>
      <bottom/>
      <diagonal/>
    </border>
    <border>
      <left/>
      <right style="thin">
        <color indexed="64"/>
      </right>
      <top style="thin">
        <color indexed="9"/>
      </top>
      <bottom/>
      <diagonal/>
    </border>
    <border>
      <left style="thin">
        <color indexed="9"/>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indexed="64"/>
      </bottom>
      <diagonal/>
    </border>
  </borders>
  <cellStyleXfs count="15">
    <xf numFmtId="0" fontId="0" fillId="0" borderId="0"/>
    <xf numFmtId="0" fontId="2" fillId="0" borderId="0"/>
    <xf numFmtId="164" fontId="2" fillId="0" borderId="0" applyFont="0" applyFill="0" applyBorder="0" applyAlignment="0" applyProtection="0"/>
    <xf numFmtId="0" fontId="8" fillId="0" borderId="0"/>
    <xf numFmtId="0" fontId="9" fillId="0" borderId="0" applyNumberFormat="0" applyFill="0" applyBorder="0" applyAlignment="0" applyProtection="0"/>
    <xf numFmtId="164" fontId="8" fillId="0" borderId="0" applyFont="0" applyFill="0" applyBorder="0" applyAlignment="0" applyProtection="0"/>
    <xf numFmtId="9" fontId="8" fillId="0" borderId="0" applyFont="0" applyFill="0" applyBorder="0" applyAlignment="0" applyProtection="0"/>
    <xf numFmtId="169" fontId="6" fillId="0" borderId="0" applyFont="0" applyFill="0" applyBorder="0" applyAlignment="0" applyProtection="0"/>
    <xf numFmtId="0" fontId="6" fillId="0" borderId="0"/>
    <xf numFmtId="0" fontId="6" fillId="0" borderId="0"/>
    <xf numFmtId="0" fontId="1" fillId="0" borderId="0"/>
    <xf numFmtId="0" fontId="3" fillId="0" borderId="0"/>
    <xf numFmtId="9" fontId="6" fillId="0" borderId="0" applyFont="0" applyFill="0" applyBorder="0" applyAlignment="0" applyProtection="0"/>
    <xf numFmtId="0" fontId="6" fillId="0" borderId="0"/>
    <xf numFmtId="9" fontId="36" fillId="0" borderId="0" applyFont="0" applyFill="0" applyBorder="0" applyAlignment="0" applyProtection="0"/>
  </cellStyleXfs>
  <cellXfs count="456">
    <xf numFmtId="0" fontId="0" fillId="0" borderId="0" xfId="0"/>
    <xf numFmtId="0" fontId="5" fillId="2" borderId="0" xfId="0" applyNumberFormat="1" applyFont="1" applyFill="1" applyBorder="1" applyAlignment="1" applyProtection="1"/>
    <xf numFmtId="0" fontId="13" fillId="2" borderId="0" xfId="3" applyFont="1" applyFill="1"/>
    <xf numFmtId="0" fontId="6" fillId="2" borderId="0" xfId="3" applyFont="1" applyFill="1"/>
    <xf numFmtId="167" fontId="6" fillId="2" borderId="0" xfId="3" applyNumberFormat="1" applyFont="1" applyFill="1"/>
    <xf numFmtId="0" fontId="7" fillId="2" borderId="4" xfId="3" applyNumberFormat="1" applyFont="1" applyFill="1" applyBorder="1" applyAlignment="1" applyProtection="1">
      <alignment horizontal="left" wrapText="1" indent="1"/>
    </xf>
    <xf numFmtId="0" fontId="6" fillId="2" borderId="4" xfId="3" applyNumberFormat="1" applyFont="1" applyFill="1" applyBorder="1" applyAlignment="1" applyProtection="1">
      <alignment horizontal="left" wrapText="1"/>
    </xf>
    <xf numFmtId="0" fontId="13" fillId="0" borderId="0" xfId="3" applyNumberFormat="1" applyFont="1" applyFill="1" applyBorder="1" applyAlignment="1" applyProtection="1"/>
    <xf numFmtId="0" fontId="19" fillId="0" borderId="0" xfId="0" applyFont="1"/>
    <xf numFmtId="0" fontId="10" fillId="0" borderId="0" xfId="0" applyFont="1" applyAlignment="1">
      <alignment horizontal="center" vertical="center"/>
    </xf>
    <xf numFmtId="0" fontId="10" fillId="0" borderId="0" xfId="0" applyFont="1"/>
    <xf numFmtId="0" fontId="10" fillId="0" borderId="0" xfId="0" applyFont="1" applyAlignment="1">
      <alignment wrapText="1"/>
    </xf>
    <xf numFmtId="0" fontId="9" fillId="0" borderId="5" xfId="4" applyBorder="1"/>
    <xf numFmtId="0" fontId="4" fillId="2" borderId="0" xfId="0" applyNumberFormat="1" applyFont="1" applyFill="1" applyBorder="1" applyAlignment="1" applyProtection="1">
      <alignment vertical="center"/>
    </xf>
    <xf numFmtId="0" fontId="13" fillId="2" borderId="0" xfId="0" applyNumberFormat="1" applyFont="1" applyFill="1" applyBorder="1" applyAlignment="1" applyProtection="1"/>
    <xf numFmtId="0" fontId="5" fillId="2" borderId="0" xfId="3" applyFont="1" applyFill="1" applyBorder="1" applyAlignment="1"/>
    <xf numFmtId="0" fontId="6" fillId="2" borderId="0" xfId="3" applyFont="1" applyFill="1" applyBorder="1" applyAlignment="1"/>
    <xf numFmtId="0" fontId="6" fillId="2" borderId="0" xfId="3" applyFont="1" applyFill="1" applyBorder="1" applyAlignment="1">
      <alignment wrapText="1"/>
    </xf>
    <xf numFmtId="0" fontId="5" fillId="0" borderId="0" xfId="3" applyFont="1" applyFill="1" applyBorder="1" applyAlignment="1"/>
    <xf numFmtId="0" fontId="6" fillId="2" borderId="0" xfId="3" applyFont="1" applyFill="1" applyAlignment="1">
      <alignment vertical="center"/>
    </xf>
    <xf numFmtId="0" fontId="7" fillId="2" borderId="0" xfId="3" applyFont="1" applyFill="1" applyBorder="1" applyAlignment="1"/>
    <xf numFmtId="0" fontId="6" fillId="2" borderId="7" xfId="3" applyNumberFormat="1" applyFont="1" applyFill="1" applyBorder="1" applyAlignment="1" applyProtection="1">
      <alignment horizontal="left" wrapText="1"/>
    </xf>
    <xf numFmtId="0" fontId="5" fillId="2" borderId="2" xfId="3" applyNumberFormat="1" applyFont="1" applyFill="1" applyBorder="1" applyAlignment="1" applyProtection="1">
      <alignment horizontal="left" vertical="center" wrapText="1"/>
    </xf>
    <xf numFmtId="0" fontId="6" fillId="2" borderId="4" xfId="3" applyFont="1" applyFill="1" applyBorder="1" applyAlignment="1">
      <alignment vertical="center"/>
    </xf>
    <xf numFmtId="0" fontId="6" fillId="2" borderId="4" xfId="3" applyFont="1" applyFill="1" applyBorder="1" applyAlignment="1">
      <alignment vertical="center" wrapText="1"/>
    </xf>
    <xf numFmtId="0" fontId="5" fillId="2" borderId="5" xfId="3" applyFont="1" applyFill="1" applyBorder="1" applyAlignment="1">
      <alignment vertical="center" wrapText="1"/>
    </xf>
    <xf numFmtId="0" fontId="6" fillId="0" borderId="0" xfId="0" applyFont="1" applyFill="1"/>
    <xf numFmtId="170" fontId="20" fillId="0" borderId="0" xfId="7" applyNumberFormat="1" applyFont="1" applyFill="1" applyAlignment="1">
      <alignment horizontal="right"/>
    </xf>
    <xf numFmtId="1" fontId="17" fillId="2" borderId="3" xfId="0" applyNumberFormat="1" applyFont="1" applyFill="1" applyBorder="1" applyAlignment="1">
      <alignment vertical="center" wrapText="1"/>
    </xf>
    <xf numFmtId="168" fontId="17" fillId="2" borderId="2" xfId="0" applyNumberFormat="1" applyFont="1" applyFill="1" applyBorder="1" applyAlignment="1">
      <alignment vertical="center" wrapText="1"/>
    </xf>
    <xf numFmtId="0" fontId="17" fillId="2" borderId="2" xfId="0" applyFont="1" applyFill="1" applyBorder="1" applyAlignment="1">
      <alignment horizontal="left" vertical="top" wrapText="1" indent="2"/>
    </xf>
    <xf numFmtId="1" fontId="16" fillId="2" borderId="3" xfId="0" applyNumberFormat="1" applyFont="1" applyFill="1" applyBorder="1" applyAlignment="1">
      <alignment vertical="center" wrapText="1"/>
    </xf>
    <xf numFmtId="168" fontId="16" fillId="2" borderId="2" xfId="0" applyNumberFormat="1" applyFont="1" applyFill="1" applyBorder="1" applyAlignment="1">
      <alignment vertical="center" wrapText="1"/>
    </xf>
    <xf numFmtId="0" fontId="16" fillId="2" borderId="2" xfId="0" applyFont="1" applyFill="1" applyBorder="1" applyAlignment="1">
      <alignment horizontal="left" vertical="top" wrapText="1" indent="1"/>
    </xf>
    <xf numFmtId="0" fontId="4" fillId="2" borderId="0" xfId="10" applyNumberFormat="1" applyFont="1" applyFill="1" applyBorder="1" applyAlignment="1" applyProtection="1">
      <alignment vertical="top"/>
    </xf>
    <xf numFmtId="0" fontId="10" fillId="2" borderId="0" xfId="10" applyNumberFormat="1" applyFont="1" applyFill="1" applyBorder="1" applyAlignment="1" applyProtection="1"/>
    <xf numFmtId="0" fontId="0" fillId="2" borderId="0" xfId="0" applyFill="1"/>
    <xf numFmtId="0" fontId="4" fillId="2" borderId="11" xfId="10" applyNumberFormat="1" applyFont="1" applyFill="1" applyBorder="1" applyAlignment="1" applyProtection="1">
      <alignment horizontal="center" wrapText="1"/>
    </xf>
    <xf numFmtId="0" fontId="4" fillId="2" borderId="14" xfId="10" applyNumberFormat="1" applyFont="1" applyFill="1" applyBorder="1" applyAlignment="1" applyProtection="1">
      <alignment horizontal="left" vertical="top" wrapText="1"/>
    </xf>
    <xf numFmtId="165" fontId="4" fillId="2" borderId="14" xfId="10" applyNumberFormat="1" applyFont="1" applyFill="1" applyBorder="1" applyAlignment="1" applyProtection="1">
      <alignment horizontal="right" wrapText="1"/>
    </xf>
    <xf numFmtId="165" fontId="4" fillId="2" borderId="15" xfId="10" applyNumberFormat="1" applyFont="1" applyFill="1" applyBorder="1" applyAlignment="1" applyProtection="1">
      <alignment horizontal="right" wrapText="1"/>
    </xf>
    <xf numFmtId="0" fontId="13" fillId="2" borderId="2" xfId="10" applyNumberFormat="1" applyFont="1" applyFill="1" applyBorder="1" applyAlignment="1" applyProtection="1">
      <alignment horizontal="left" vertical="top" wrapText="1"/>
    </xf>
    <xf numFmtId="165" fontId="13" fillId="2" borderId="2" xfId="10" applyNumberFormat="1" applyFont="1" applyFill="1" applyBorder="1" applyAlignment="1" applyProtection="1">
      <alignment horizontal="right" wrapText="1"/>
    </xf>
    <xf numFmtId="165" fontId="13" fillId="2" borderId="4" xfId="10" applyNumberFormat="1" applyFont="1" applyFill="1" applyBorder="1" applyAlignment="1" applyProtection="1">
      <alignment horizontal="right" wrapText="1"/>
    </xf>
    <xf numFmtId="0" fontId="4" fillId="2" borderId="15" xfId="10" applyNumberFormat="1" applyFont="1" applyFill="1" applyBorder="1" applyAlignment="1" applyProtection="1">
      <alignment horizontal="left" vertical="top" wrapText="1"/>
    </xf>
    <xf numFmtId="165" fontId="4" fillId="2" borderId="16" xfId="10" applyNumberFormat="1" applyFont="1" applyFill="1" applyBorder="1" applyAlignment="1" applyProtection="1">
      <alignment horizontal="right" wrapText="1"/>
    </xf>
    <xf numFmtId="0" fontId="13" fillId="2" borderId="4" xfId="10" applyNumberFormat="1" applyFont="1" applyFill="1" applyBorder="1" applyAlignment="1" applyProtection="1">
      <alignment horizontal="left" vertical="top" wrapText="1"/>
    </xf>
    <xf numFmtId="165" fontId="13" fillId="2" borderId="3" xfId="10" applyNumberFormat="1" applyFont="1" applyFill="1" applyBorder="1" applyAlignment="1" applyProtection="1">
      <alignment horizontal="right" wrapText="1"/>
    </xf>
    <xf numFmtId="165" fontId="13" fillId="2" borderId="17" xfId="10" applyNumberFormat="1" applyFont="1" applyFill="1" applyBorder="1" applyAlignment="1" applyProtection="1">
      <alignment horizontal="right" wrapText="1"/>
    </xf>
    <xf numFmtId="165" fontId="13" fillId="2" borderId="18" xfId="10" applyNumberFormat="1" applyFont="1" applyFill="1" applyBorder="1" applyAlignment="1" applyProtection="1">
      <alignment horizontal="right" wrapText="1"/>
    </xf>
    <xf numFmtId="165" fontId="13" fillId="2" borderId="19" xfId="10" applyNumberFormat="1" applyFont="1" applyFill="1" applyBorder="1" applyAlignment="1" applyProtection="1">
      <alignment horizontal="right" wrapText="1"/>
    </xf>
    <xf numFmtId="0" fontId="13" fillId="2" borderId="18" xfId="10" applyNumberFormat="1" applyFont="1" applyFill="1" applyBorder="1" applyAlignment="1" applyProtection="1">
      <alignment horizontal="left" vertical="top" wrapText="1"/>
    </xf>
    <xf numFmtId="0" fontId="4" fillId="2" borderId="20" xfId="10" applyNumberFormat="1" applyFont="1" applyFill="1" applyBorder="1" applyAlignment="1" applyProtection="1">
      <alignment horizontal="left" vertical="top" wrapText="1"/>
    </xf>
    <xf numFmtId="0" fontId="4" fillId="2" borderId="2" xfId="10" applyNumberFormat="1" applyFont="1" applyFill="1" applyBorder="1" applyAlignment="1" applyProtection="1">
      <alignment horizontal="left" vertical="top" wrapText="1"/>
    </xf>
    <xf numFmtId="0" fontId="4" fillId="2" borderId="21" xfId="10" applyNumberFormat="1" applyFont="1" applyFill="1" applyBorder="1" applyAlignment="1" applyProtection="1">
      <alignment horizontal="left" vertical="top" wrapText="1"/>
    </xf>
    <xf numFmtId="0" fontId="15" fillId="2" borderId="0" xfId="10" applyNumberFormat="1" applyFont="1" applyFill="1" applyBorder="1" applyAlignment="1" applyProtection="1"/>
    <xf numFmtId="3" fontId="17" fillId="2" borderId="0" xfId="10" applyNumberFormat="1" applyFont="1" applyFill="1" applyAlignment="1">
      <alignment vertical="top" wrapText="1"/>
    </xf>
    <xf numFmtId="0" fontId="13" fillId="2" borderId="0" xfId="10" applyNumberFormat="1" applyFont="1" applyFill="1" applyBorder="1" applyAlignment="1" applyProtection="1"/>
    <xf numFmtId="0" fontId="6" fillId="2" borderId="0" xfId="0" applyFont="1" applyFill="1"/>
    <xf numFmtId="0" fontId="5" fillId="2" borderId="0" xfId="11" applyFont="1" applyFill="1" applyAlignment="1"/>
    <xf numFmtId="0" fontId="4" fillId="2" borderId="0" xfId="10" applyNumberFormat="1" applyFont="1" applyFill="1" applyBorder="1" applyAlignment="1" applyProtection="1"/>
    <xf numFmtId="0" fontId="4" fillId="2" borderId="23" xfId="10" applyNumberFormat="1" applyFont="1" applyFill="1" applyBorder="1" applyAlignment="1" applyProtection="1">
      <alignment horizontal="center" wrapText="1"/>
    </xf>
    <xf numFmtId="3" fontId="13" fillId="2" borderId="4" xfId="10" applyNumberFormat="1" applyFont="1" applyFill="1" applyBorder="1" applyAlignment="1" applyProtection="1">
      <alignment horizontal="right" wrapText="1"/>
    </xf>
    <xf numFmtId="3" fontId="13" fillId="2" borderId="3" xfId="10" applyNumberFormat="1" applyFont="1" applyFill="1" applyBorder="1" applyAlignment="1" applyProtection="1">
      <alignment horizontal="right" wrapText="1"/>
    </xf>
    <xf numFmtId="3" fontId="4" fillId="2" borderId="4" xfId="10" applyNumberFormat="1" applyFont="1" applyFill="1" applyBorder="1" applyAlignment="1" applyProtection="1">
      <alignment horizontal="right" wrapText="1"/>
    </xf>
    <xf numFmtId="0" fontId="15" fillId="2" borderId="0" xfId="10" applyNumberFormat="1" applyFont="1" applyFill="1" applyBorder="1" applyAlignment="1" applyProtection="1">
      <alignment horizontal="left" vertical="top"/>
    </xf>
    <xf numFmtId="0" fontId="10" fillId="2" borderId="0" xfId="10" applyNumberFormat="1" applyFont="1" applyFill="1" applyBorder="1" applyAlignment="1" applyProtection="1">
      <alignment horizontal="left" vertical="top"/>
    </xf>
    <xf numFmtId="0" fontId="13" fillId="2" borderId="0" xfId="10" applyNumberFormat="1" applyFont="1" applyFill="1" applyBorder="1" applyAlignment="1" applyProtection="1">
      <alignment horizontal="left" vertical="top"/>
    </xf>
    <xf numFmtId="0" fontId="9" fillId="0" borderId="22" xfId="4" applyBorder="1"/>
    <xf numFmtId="0" fontId="6" fillId="0" borderId="5" xfId="0" applyFont="1" applyBorder="1" applyAlignment="1">
      <alignment horizontal="center"/>
    </xf>
    <xf numFmtId="0" fontId="6" fillId="0" borderId="5" xfId="0" applyFont="1" applyBorder="1" applyAlignment="1">
      <alignment horizontal="center" vertical="center"/>
    </xf>
    <xf numFmtId="0" fontId="6" fillId="0" borderId="22" xfId="0" applyFont="1" applyBorder="1" applyAlignment="1">
      <alignment horizontal="center"/>
    </xf>
    <xf numFmtId="0" fontId="6" fillId="2" borderId="24" xfId="0" applyNumberFormat="1" applyFont="1" applyFill="1" applyBorder="1" applyAlignment="1" applyProtection="1">
      <alignment horizontal="center" vertical="center" wrapText="1"/>
    </xf>
    <xf numFmtId="0" fontId="6" fillId="2" borderId="25" xfId="0" applyNumberFormat="1" applyFont="1" applyFill="1" applyBorder="1" applyAlignment="1" applyProtection="1">
      <alignment horizontal="center" vertical="center" wrapText="1"/>
    </xf>
    <xf numFmtId="0" fontId="6" fillId="2" borderId="27" xfId="0" applyNumberFormat="1" applyFont="1" applyFill="1" applyBorder="1" applyAlignment="1" applyProtection="1">
      <alignment horizontal="left" wrapText="1"/>
    </xf>
    <xf numFmtId="0" fontId="7" fillId="2" borderId="27" xfId="0" applyNumberFormat="1" applyFont="1" applyFill="1" applyBorder="1" applyAlignment="1" applyProtection="1">
      <alignment horizontal="left" wrapText="1" indent="1"/>
    </xf>
    <xf numFmtId="0" fontId="5" fillId="2" borderId="28" xfId="0" applyNumberFormat="1" applyFont="1" applyFill="1" applyBorder="1" applyAlignment="1" applyProtection="1">
      <alignment horizontal="left" wrapText="1"/>
    </xf>
    <xf numFmtId="3" fontId="4" fillId="2" borderId="0" xfId="0" quotePrefix="1" applyNumberFormat="1" applyFont="1" applyFill="1" applyBorder="1" applyAlignment="1" applyProtection="1">
      <alignment horizontal="right" vertical="center" wrapText="1" indent="1"/>
    </xf>
    <xf numFmtId="165" fontId="13" fillId="2" borderId="34" xfId="0" quotePrefix="1" applyNumberFormat="1" applyFont="1" applyFill="1" applyBorder="1" applyAlignment="1" applyProtection="1">
      <alignment horizontal="right" vertical="center" wrapText="1" indent="1"/>
    </xf>
    <xf numFmtId="165" fontId="13" fillId="2" borderId="36" xfId="0" quotePrefix="1" applyNumberFormat="1" applyFont="1" applyFill="1" applyBorder="1" applyAlignment="1" applyProtection="1">
      <alignment horizontal="right" vertical="center" wrapText="1" indent="1"/>
    </xf>
    <xf numFmtId="165" fontId="15" fillId="2" borderId="36" xfId="0" quotePrefix="1" applyNumberFormat="1" applyFont="1" applyFill="1" applyBorder="1" applyAlignment="1" applyProtection="1">
      <alignment horizontal="right" vertical="center" wrapText="1" indent="1"/>
    </xf>
    <xf numFmtId="165" fontId="13" fillId="2" borderId="37" xfId="0" quotePrefix="1" applyNumberFormat="1" applyFont="1" applyFill="1" applyBorder="1" applyAlignment="1" applyProtection="1">
      <alignment horizontal="right" vertical="center" wrapText="1" indent="1"/>
    </xf>
    <xf numFmtId="0" fontId="7" fillId="2" borderId="0" xfId="0" applyFont="1" applyFill="1"/>
    <xf numFmtId="0" fontId="13" fillId="2" borderId="0" xfId="0" applyNumberFormat="1" applyFont="1" applyFill="1" applyBorder="1" applyAlignment="1" applyProtection="1">
      <alignment vertical="center"/>
    </xf>
    <xf numFmtId="0" fontId="13" fillId="2" borderId="0" xfId="10" applyNumberFormat="1" applyFont="1" applyFill="1" applyBorder="1" applyAlignment="1" applyProtection="1">
      <alignment vertical="top"/>
    </xf>
    <xf numFmtId="0" fontId="6" fillId="2" borderId="0" xfId="11" applyFont="1" applyFill="1" applyAlignment="1"/>
    <xf numFmtId="0" fontId="6" fillId="2" borderId="28" xfId="3" applyNumberFormat="1" applyFont="1" applyFill="1" applyBorder="1" applyAlignment="1" applyProtection="1">
      <alignment horizontal="center" wrapText="1"/>
    </xf>
    <xf numFmtId="0" fontId="5" fillId="2" borderId="35" xfId="3" applyNumberFormat="1" applyFont="1" applyFill="1" applyBorder="1" applyAlignment="1" applyProtection="1">
      <alignment horizontal="center" vertical="center" wrapText="1"/>
    </xf>
    <xf numFmtId="0" fontId="5" fillId="2" borderId="28" xfId="3" applyNumberFormat="1" applyFont="1" applyFill="1" applyBorder="1" applyAlignment="1" applyProtection="1">
      <alignment horizontal="center" vertical="center" wrapText="1"/>
    </xf>
    <xf numFmtId="0" fontId="6" fillId="2" borderId="38" xfId="3" applyNumberFormat="1" applyFont="1" applyFill="1" applyBorder="1" applyAlignment="1" applyProtection="1">
      <alignment horizontal="left" wrapText="1"/>
    </xf>
    <xf numFmtId="0" fontId="6" fillId="2" borderId="2" xfId="3" applyNumberFormat="1" applyFont="1" applyFill="1" applyBorder="1" applyAlignment="1" applyProtection="1">
      <alignment horizontal="left" wrapText="1"/>
    </xf>
    <xf numFmtId="0" fontId="5" fillId="2" borderId="2" xfId="3" applyNumberFormat="1" applyFont="1" applyFill="1" applyBorder="1" applyAlignment="1" applyProtection="1">
      <alignment horizontal="left" wrapText="1"/>
    </xf>
    <xf numFmtId="0" fontId="9" fillId="0" borderId="35" xfId="4" applyBorder="1"/>
    <xf numFmtId="0" fontId="9" fillId="0" borderId="42" xfId="4" applyBorder="1"/>
    <xf numFmtId="0" fontId="6" fillId="0" borderId="35" xfId="0" applyFont="1" applyBorder="1" applyAlignment="1">
      <alignment horizontal="center" vertical="center"/>
    </xf>
    <xf numFmtId="0" fontId="6" fillId="0" borderId="42" xfId="0" applyFont="1" applyBorder="1" applyAlignment="1">
      <alignment horizontal="center" vertical="center"/>
    </xf>
    <xf numFmtId="0" fontId="6" fillId="0" borderId="29" xfId="0" applyFont="1" applyBorder="1" applyAlignment="1">
      <alignment horizontal="center" vertical="center"/>
    </xf>
    <xf numFmtId="0" fontId="13" fillId="2" borderId="0" xfId="3" applyFont="1" applyFill="1" applyAlignment="1"/>
    <xf numFmtId="0" fontId="6" fillId="2" borderId="0" xfId="13" applyFill="1"/>
    <xf numFmtId="0" fontId="6" fillId="2" borderId="0" xfId="13" applyFont="1" applyFill="1"/>
    <xf numFmtId="0" fontId="6" fillId="2" borderId="40" xfId="13" applyFont="1" applyFill="1" applyBorder="1" applyAlignment="1">
      <alignment horizontal="center" vertical="center"/>
    </xf>
    <xf numFmtId="0" fontId="6" fillId="2" borderId="4" xfId="13" applyFont="1" applyFill="1" applyBorder="1" applyAlignment="1">
      <alignment horizontal="center" vertical="center"/>
    </xf>
    <xf numFmtId="0" fontId="6" fillId="2" borderId="39" xfId="13" applyFont="1" applyFill="1" applyBorder="1" applyAlignment="1">
      <alignment horizontal="center" vertical="center"/>
    </xf>
    <xf numFmtId="0" fontId="6" fillId="2" borderId="29" xfId="13" applyFont="1" applyFill="1" applyBorder="1" applyAlignment="1">
      <alignment horizontal="center" vertical="center" wrapText="1"/>
    </xf>
    <xf numFmtId="0" fontId="5" fillId="2" borderId="0" xfId="13" applyFont="1" applyFill="1"/>
    <xf numFmtId="0" fontId="6" fillId="0" borderId="39" xfId="0" applyFont="1" applyBorder="1" applyAlignment="1">
      <alignment horizontal="center" vertical="top" wrapText="1"/>
    </xf>
    <xf numFmtId="0" fontId="4" fillId="2" borderId="0" xfId="0" applyNumberFormat="1" applyFont="1" applyFill="1" applyBorder="1" applyAlignment="1" applyProtection="1">
      <alignment vertical="center" wrapText="1"/>
    </xf>
    <xf numFmtId="0" fontId="6" fillId="2" borderId="45" xfId="13" applyFont="1" applyFill="1" applyBorder="1"/>
    <xf numFmtId="0" fontId="6" fillId="2" borderId="24" xfId="13" applyFont="1" applyFill="1" applyBorder="1"/>
    <xf numFmtId="0" fontId="24" fillId="2" borderId="0" xfId="13" applyFont="1" applyFill="1"/>
    <xf numFmtId="0" fontId="24" fillId="0" borderId="0" xfId="3" applyFont="1" applyFill="1" applyAlignment="1">
      <alignment vertical="center"/>
    </xf>
    <xf numFmtId="0" fontId="24" fillId="2" borderId="0" xfId="3" applyFont="1" applyFill="1" applyBorder="1" applyAlignment="1">
      <alignment vertical="center"/>
    </xf>
    <xf numFmtId="0" fontId="25" fillId="2" borderId="0" xfId="3" applyFont="1" applyFill="1" applyBorder="1" applyAlignment="1">
      <alignment vertical="center"/>
    </xf>
    <xf numFmtId="0" fontId="3" fillId="2" borderId="0" xfId="3" applyFont="1" applyFill="1" applyBorder="1" applyAlignment="1">
      <alignment vertical="center"/>
    </xf>
    <xf numFmtId="0" fontId="3" fillId="2" borderId="0" xfId="3" applyFont="1" applyFill="1" applyBorder="1" applyAlignment="1">
      <alignment vertical="center" wrapText="1"/>
    </xf>
    <xf numFmtId="0" fontId="25" fillId="2" borderId="0" xfId="3" applyFont="1" applyFill="1" applyAlignment="1">
      <alignment vertical="center" wrapText="1"/>
    </xf>
    <xf numFmtId="0" fontId="25" fillId="2" borderId="0" xfId="3" applyFont="1" applyFill="1" applyAlignment="1">
      <alignment vertical="center"/>
    </xf>
    <xf numFmtId="0" fontId="24" fillId="2" borderId="0" xfId="0" applyNumberFormat="1" applyFont="1" applyFill="1" applyBorder="1" applyAlignment="1" applyProtection="1"/>
    <xf numFmtId="0" fontId="25" fillId="2" borderId="0" xfId="0" quotePrefix="1" applyNumberFormat="1" applyFont="1" applyFill="1" applyBorder="1" applyAlignment="1" applyProtection="1"/>
    <xf numFmtId="0" fontId="3" fillId="2" borderId="0" xfId="0" applyNumberFormat="1" applyFont="1" applyFill="1" applyBorder="1" applyAlignment="1" applyProtection="1"/>
    <xf numFmtId="0" fontId="27" fillId="2" borderId="0" xfId="10" applyNumberFormat="1" applyFont="1" applyFill="1" applyBorder="1" applyAlignment="1" applyProtection="1"/>
    <xf numFmtId="0" fontId="26" fillId="2" borderId="0" xfId="10" applyNumberFormat="1" applyFont="1" applyFill="1" applyBorder="1" applyAlignment="1" applyProtection="1"/>
    <xf numFmtId="0" fontId="27" fillId="2" borderId="0" xfId="10" applyNumberFormat="1" applyFont="1" applyFill="1" applyBorder="1" applyAlignment="1" applyProtection="1">
      <alignment horizontal="left" vertical="top"/>
    </xf>
    <xf numFmtId="166" fontId="13" fillId="2" borderId="33" xfId="12" applyNumberFormat="1" applyFont="1" applyFill="1" applyBorder="1" applyAlignment="1" applyProtection="1">
      <alignment horizontal="right" vertical="center" wrapText="1" indent="1"/>
    </xf>
    <xf numFmtId="166" fontId="15" fillId="2" borderId="33" xfId="12" applyNumberFormat="1" applyFont="1" applyFill="1" applyBorder="1" applyAlignment="1" applyProtection="1">
      <alignment horizontal="right" vertical="center" wrapText="1" indent="1"/>
    </xf>
    <xf numFmtId="0" fontId="5" fillId="2" borderId="5" xfId="3" applyFont="1" applyFill="1" applyBorder="1" applyAlignment="1">
      <alignment horizontal="center" vertical="center"/>
    </xf>
    <xf numFmtId="0" fontId="4" fillId="0" borderId="0" xfId="3" applyNumberFormat="1" applyFont="1" applyFill="1" applyBorder="1" applyAlignment="1" applyProtection="1">
      <alignment horizontal="center" vertical="center"/>
    </xf>
    <xf numFmtId="0" fontId="6" fillId="0" borderId="7" xfId="0" applyFont="1" applyBorder="1" applyAlignment="1">
      <alignment horizontal="center" vertical="top" wrapText="1"/>
    </xf>
    <xf numFmtId="0" fontId="10" fillId="0" borderId="0" xfId="0" applyFont="1" applyAlignment="1">
      <alignment horizontal="center" vertical="top"/>
    </xf>
    <xf numFmtId="0" fontId="10" fillId="0" borderId="28" xfId="0" applyFont="1" applyBorder="1" applyAlignment="1">
      <alignment horizontal="center" vertical="top" wrapText="1"/>
    </xf>
    <xf numFmtId="0" fontId="0" fillId="0" borderId="28" xfId="0" applyBorder="1" applyAlignment="1">
      <alignment horizontal="center" vertical="top"/>
    </xf>
    <xf numFmtId="0" fontId="0" fillId="0" borderId="0" xfId="0" applyAlignment="1">
      <alignment horizontal="center" vertical="top"/>
    </xf>
    <xf numFmtId="165" fontId="13" fillId="2" borderId="47" xfId="0" quotePrefix="1" applyNumberFormat="1" applyFont="1" applyFill="1" applyBorder="1" applyAlignment="1" applyProtection="1">
      <alignment horizontal="right" vertical="center" wrapText="1" indent="1"/>
    </xf>
    <xf numFmtId="166" fontId="13" fillId="2" borderId="48" xfId="12" applyNumberFormat="1" applyFont="1" applyFill="1" applyBorder="1" applyAlignment="1" applyProtection="1">
      <alignment horizontal="right" vertical="center" wrapText="1" indent="1"/>
    </xf>
    <xf numFmtId="166" fontId="4" fillId="2" borderId="31" xfId="12" applyNumberFormat="1" applyFont="1" applyFill="1" applyBorder="1" applyAlignment="1" applyProtection="1">
      <alignment horizontal="right" vertical="center" wrapText="1" indent="1"/>
    </xf>
    <xf numFmtId="165" fontId="13" fillId="2" borderId="50" xfId="0" quotePrefix="1" applyNumberFormat="1" applyFont="1" applyFill="1" applyBorder="1" applyAlignment="1" applyProtection="1">
      <alignment horizontal="right" vertical="center" wrapText="1" indent="1"/>
    </xf>
    <xf numFmtId="166" fontId="13" fillId="2" borderId="51" xfId="12" applyNumberFormat="1" applyFont="1" applyFill="1" applyBorder="1" applyAlignment="1" applyProtection="1">
      <alignment horizontal="right" vertical="center" wrapText="1" indent="1"/>
    </xf>
    <xf numFmtId="165" fontId="13" fillId="2" borderId="52" xfId="0" quotePrefix="1" applyNumberFormat="1" applyFont="1" applyFill="1" applyBorder="1" applyAlignment="1" applyProtection="1">
      <alignment horizontal="right" vertical="center" wrapText="1" indent="1"/>
    </xf>
    <xf numFmtId="166" fontId="13" fillId="2" borderId="53" xfId="12" applyNumberFormat="1" applyFont="1" applyFill="1" applyBorder="1" applyAlignment="1" applyProtection="1">
      <alignment horizontal="right" vertical="center" wrapText="1" indent="1"/>
    </xf>
    <xf numFmtId="165" fontId="15" fillId="2" borderId="52" xfId="0" quotePrefix="1" applyNumberFormat="1" applyFont="1" applyFill="1" applyBorder="1" applyAlignment="1" applyProtection="1">
      <alignment horizontal="right" vertical="center" wrapText="1" indent="1"/>
    </xf>
    <xf numFmtId="166" fontId="15" fillId="2" borderId="53" xfId="12" applyNumberFormat="1" applyFont="1" applyFill="1" applyBorder="1" applyAlignment="1" applyProtection="1">
      <alignment horizontal="right" vertical="center" wrapText="1" indent="1"/>
    </xf>
    <xf numFmtId="165" fontId="13" fillId="2" borderId="54" xfId="0" quotePrefix="1" applyNumberFormat="1" applyFont="1" applyFill="1" applyBorder="1" applyAlignment="1" applyProtection="1">
      <alignment horizontal="right" vertical="center" wrapText="1" indent="1"/>
    </xf>
    <xf numFmtId="165" fontId="13" fillId="2" borderId="55" xfId="0" quotePrefix="1" applyNumberFormat="1" applyFont="1" applyFill="1" applyBorder="1" applyAlignment="1" applyProtection="1">
      <alignment horizontal="right" vertical="center" wrapText="1" indent="1"/>
    </xf>
    <xf numFmtId="166" fontId="13" fillId="2" borderId="56" xfId="12" applyNumberFormat="1" applyFont="1" applyFill="1" applyBorder="1" applyAlignment="1" applyProtection="1">
      <alignment horizontal="right" vertical="center" wrapText="1" indent="1"/>
    </xf>
    <xf numFmtId="0" fontId="6" fillId="2" borderId="2" xfId="13" applyFont="1" applyFill="1" applyBorder="1" applyAlignment="1">
      <alignment horizontal="center" vertical="center" wrapText="1"/>
    </xf>
    <xf numFmtId="0" fontId="6" fillId="2" borderId="3" xfId="13" applyFont="1" applyFill="1" applyBorder="1" applyAlignment="1">
      <alignment horizontal="center" vertical="center" wrapText="1"/>
    </xf>
    <xf numFmtId="166" fontId="6" fillId="2" borderId="44" xfId="13" applyNumberFormat="1" applyFont="1" applyFill="1" applyBorder="1" applyAlignment="1">
      <alignment horizontal="right" indent="2"/>
    </xf>
    <xf numFmtId="166" fontId="6" fillId="2" borderId="45" xfId="13" applyNumberFormat="1" applyFont="1" applyFill="1" applyBorder="1" applyAlignment="1">
      <alignment horizontal="right" indent="2"/>
    </xf>
    <xf numFmtId="166" fontId="6" fillId="2" borderId="3" xfId="13" applyNumberFormat="1" applyFont="1" applyFill="1" applyBorder="1" applyAlignment="1">
      <alignment horizontal="right" indent="2"/>
    </xf>
    <xf numFmtId="166" fontId="6" fillId="2" borderId="2" xfId="13" applyNumberFormat="1" applyFont="1" applyFill="1" applyBorder="1" applyAlignment="1">
      <alignment horizontal="right" indent="2"/>
    </xf>
    <xf numFmtId="166" fontId="5" fillId="2" borderId="24" xfId="13" applyNumberFormat="1" applyFont="1" applyFill="1" applyBorder="1" applyAlignment="1">
      <alignment horizontal="right" indent="2"/>
    </xf>
    <xf numFmtId="165" fontId="6" fillId="2" borderId="44" xfId="13" applyNumberFormat="1" applyFont="1" applyFill="1" applyBorder="1" applyAlignment="1">
      <alignment horizontal="right" indent="1"/>
    </xf>
    <xf numFmtId="165" fontId="6" fillId="2" borderId="42" xfId="13" applyNumberFormat="1" applyFont="1" applyFill="1" applyBorder="1" applyAlignment="1">
      <alignment horizontal="right" indent="1"/>
    </xf>
    <xf numFmtId="165" fontId="6" fillId="2" borderId="3" xfId="13" applyNumberFormat="1" applyFont="1" applyFill="1" applyBorder="1" applyAlignment="1">
      <alignment horizontal="right" indent="1"/>
    </xf>
    <xf numFmtId="165" fontId="6" fillId="2" borderId="0" xfId="13" applyNumberFormat="1" applyFont="1" applyFill="1" applyBorder="1" applyAlignment="1">
      <alignment horizontal="right" indent="1"/>
    </xf>
    <xf numFmtId="165" fontId="5" fillId="2" borderId="25" xfId="13" applyNumberFormat="1" applyFont="1" applyFill="1" applyBorder="1" applyAlignment="1">
      <alignment horizontal="right" indent="1"/>
    </xf>
    <xf numFmtId="165" fontId="6" fillId="2" borderId="4" xfId="3" applyNumberFormat="1" applyFont="1" applyFill="1" applyBorder="1" applyAlignment="1">
      <alignment vertical="center"/>
    </xf>
    <xf numFmtId="165" fontId="4" fillId="2" borderId="45" xfId="10" applyNumberFormat="1" applyFont="1" applyFill="1" applyBorder="1" applyAlignment="1" applyProtection="1">
      <alignment horizontal="right" wrapText="1"/>
    </xf>
    <xf numFmtId="165" fontId="4" fillId="2" borderId="42" xfId="10" applyNumberFormat="1" applyFont="1" applyFill="1" applyBorder="1" applyAlignment="1" applyProtection="1">
      <alignment horizontal="right" wrapText="1"/>
    </xf>
    <xf numFmtId="165" fontId="13" fillId="2" borderId="0" xfId="10" applyNumberFormat="1" applyFont="1" applyFill="1" applyBorder="1" applyAlignment="1" applyProtection="1">
      <alignment horizontal="right" wrapText="1"/>
    </xf>
    <xf numFmtId="165" fontId="13" fillId="2" borderId="29" xfId="10" applyNumberFormat="1" applyFont="1" applyFill="1" applyBorder="1" applyAlignment="1" applyProtection="1">
      <alignment horizontal="right" wrapText="1"/>
    </xf>
    <xf numFmtId="165" fontId="13" fillId="2" borderId="24" xfId="10" applyNumberFormat="1" applyFont="1" applyFill="1" applyBorder="1" applyAlignment="1" applyProtection="1">
      <alignment horizontal="right" wrapText="1"/>
    </xf>
    <xf numFmtId="165" fontId="4" fillId="2" borderId="39" xfId="10" applyNumberFormat="1" applyFont="1" applyFill="1" applyBorder="1" applyAlignment="1" applyProtection="1">
      <alignment horizontal="right" wrapText="1"/>
    </xf>
    <xf numFmtId="165" fontId="13" fillId="2" borderId="40" xfId="10" applyNumberFormat="1" applyFont="1" applyFill="1" applyBorder="1" applyAlignment="1" applyProtection="1">
      <alignment horizontal="right" wrapText="1"/>
    </xf>
    <xf numFmtId="3" fontId="4" fillId="2" borderId="45" xfId="10" applyNumberFormat="1" applyFont="1" applyFill="1" applyBorder="1" applyAlignment="1" applyProtection="1">
      <alignment horizontal="right" wrapText="1"/>
    </xf>
    <xf numFmtId="3" fontId="4" fillId="2" borderId="42" xfId="10" applyNumberFormat="1" applyFont="1" applyFill="1" applyBorder="1" applyAlignment="1" applyProtection="1">
      <alignment horizontal="right" wrapText="1"/>
    </xf>
    <xf numFmtId="3" fontId="13" fillId="2" borderId="0" xfId="10" applyNumberFormat="1" applyFont="1" applyFill="1" applyBorder="1" applyAlignment="1" applyProtection="1">
      <alignment horizontal="right" wrapText="1"/>
    </xf>
    <xf numFmtId="3" fontId="13" fillId="2" borderId="29" xfId="10" applyNumberFormat="1" applyFont="1" applyFill="1" applyBorder="1" applyAlignment="1" applyProtection="1">
      <alignment horizontal="right" wrapText="1"/>
    </xf>
    <xf numFmtId="3" fontId="4" fillId="2" borderId="39" xfId="10" applyNumberFormat="1" applyFont="1" applyFill="1" applyBorder="1" applyAlignment="1" applyProtection="1">
      <alignment horizontal="right" wrapText="1"/>
    </xf>
    <xf numFmtId="3" fontId="13" fillId="2" borderId="40" xfId="10" applyNumberFormat="1" applyFont="1" applyFill="1" applyBorder="1" applyAlignment="1" applyProtection="1">
      <alignment horizontal="right" wrapText="1"/>
    </xf>
    <xf numFmtId="3" fontId="4" fillId="2" borderId="28" xfId="10" applyNumberFormat="1" applyFont="1" applyFill="1" applyBorder="1" applyAlignment="1" applyProtection="1">
      <alignment horizontal="right" wrapText="1"/>
    </xf>
    <xf numFmtId="165" fontId="6" fillId="2" borderId="39" xfId="3" applyNumberFormat="1" applyFont="1" applyFill="1" applyBorder="1" applyAlignment="1" applyProtection="1">
      <alignment horizontal="right" vertical="center" wrapText="1" indent="2"/>
    </xf>
    <xf numFmtId="165" fontId="6" fillId="2" borderId="4" xfId="3" applyNumberFormat="1" applyFont="1" applyFill="1" applyBorder="1" applyAlignment="1" applyProtection="1">
      <alignment horizontal="right" vertical="center" wrapText="1" indent="2"/>
    </xf>
    <xf numFmtId="165" fontId="5" fillId="2" borderId="4" xfId="3" applyNumberFormat="1" applyFont="1" applyFill="1" applyBorder="1" applyAlignment="1" applyProtection="1">
      <alignment horizontal="right" vertical="center" wrapText="1" indent="2"/>
    </xf>
    <xf numFmtId="0" fontId="6" fillId="2" borderId="0" xfId="0" applyFont="1" applyFill="1" applyBorder="1"/>
    <xf numFmtId="165" fontId="6" fillId="2" borderId="3" xfId="3" applyNumberFormat="1" applyFont="1" applyFill="1" applyBorder="1" applyAlignment="1" applyProtection="1">
      <alignment horizontal="right" vertical="center" wrapText="1" indent="2"/>
    </xf>
    <xf numFmtId="0" fontId="6" fillId="2" borderId="0" xfId="3" applyNumberFormat="1" applyFont="1" applyFill="1" applyBorder="1" applyAlignment="1" applyProtection="1">
      <alignment horizontal="left" wrapText="1"/>
    </xf>
    <xf numFmtId="0" fontId="5" fillId="2" borderId="42" xfId="3" applyNumberFormat="1" applyFont="1" applyFill="1" applyBorder="1" applyAlignment="1" applyProtection="1">
      <alignment horizontal="left" wrapText="1"/>
    </xf>
    <xf numFmtId="0" fontId="6" fillId="2" borderId="29" xfId="3" applyNumberFormat="1" applyFont="1" applyFill="1" applyBorder="1" applyAlignment="1" applyProtection="1">
      <alignment horizontal="left" wrapText="1"/>
    </xf>
    <xf numFmtId="165" fontId="5" fillId="2" borderId="44" xfId="3" applyNumberFormat="1" applyFont="1" applyFill="1" applyBorder="1" applyAlignment="1" applyProtection="1">
      <alignment horizontal="right" vertical="center" wrapText="1" indent="2"/>
    </xf>
    <xf numFmtId="165" fontId="5" fillId="2" borderId="39" xfId="3" applyNumberFormat="1" applyFont="1" applyFill="1" applyBorder="1" applyAlignment="1" applyProtection="1">
      <alignment horizontal="right" vertical="center" wrapText="1" indent="2"/>
    </xf>
    <xf numFmtId="0" fontId="5" fillId="2" borderId="0" xfId="0" applyFont="1" applyFill="1"/>
    <xf numFmtId="168" fontId="13" fillId="2" borderId="0" xfId="3" applyNumberFormat="1" applyFont="1" applyFill="1"/>
    <xf numFmtId="0" fontId="27" fillId="2" borderId="0" xfId="0" applyNumberFormat="1" applyFont="1" applyFill="1" applyBorder="1" applyAlignment="1" applyProtection="1"/>
    <xf numFmtId="0" fontId="5" fillId="2" borderId="43" xfId="13" applyFont="1" applyFill="1" applyBorder="1" applyAlignment="1">
      <alignment horizontal="center"/>
    </xf>
    <xf numFmtId="0" fontId="6" fillId="2" borderId="29" xfId="13" applyFont="1" applyFill="1" applyBorder="1"/>
    <xf numFmtId="0" fontId="6" fillId="2" borderId="42" xfId="13" applyFont="1" applyFill="1" applyBorder="1"/>
    <xf numFmtId="0" fontId="19" fillId="2" borderId="0" xfId="3" applyFont="1" applyFill="1" applyBorder="1" applyAlignment="1"/>
    <xf numFmtId="0" fontId="6" fillId="0" borderId="2" xfId="3" applyNumberFormat="1" applyFont="1" applyFill="1" applyBorder="1" applyAlignment="1" applyProtection="1">
      <alignment horizontal="left" wrapText="1"/>
    </xf>
    <xf numFmtId="165" fontId="6" fillId="0" borderId="4" xfId="3" applyNumberFormat="1" applyFont="1" applyFill="1" applyBorder="1" applyAlignment="1" applyProtection="1">
      <alignment horizontal="right" vertical="center" wrapText="1" indent="2"/>
    </xf>
    <xf numFmtId="0" fontId="10" fillId="2" borderId="0" xfId="10" applyFont="1" applyFill="1"/>
    <xf numFmtId="0" fontId="6" fillId="2" borderId="1" xfId="3" applyNumberFormat="1" applyFont="1" applyFill="1" applyBorder="1" applyAlignment="1" applyProtection="1">
      <alignment horizontal="center" vertical="center" wrapText="1"/>
    </xf>
    <xf numFmtId="0" fontId="6" fillId="2" borderId="8" xfId="3" applyNumberFormat="1" applyFont="1" applyFill="1" applyBorder="1" applyAlignment="1" applyProtection="1">
      <alignment horizontal="center" vertical="center" wrapText="1"/>
    </xf>
    <xf numFmtId="0" fontId="25" fillId="2" borderId="0" xfId="3" applyFont="1" applyFill="1" applyAlignment="1">
      <alignment vertical="center"/>
    </xf>
    <xf numFmtId="168" fontId="16" fillId="2" borderId="49" xfId="0" applyNumberFormat="1" applyFont="1" applyFill="1" applyBorder="1" applyAlignment="1">
      <alignment vertical="center" wrapText="1"/>
    </xf>
    <xf numFmtId="1" fontId="16" fillId="2" borderId="43" xfId="0" applyNumberFormat="1" applyFont="1" applyFill="1" applyBorder="1" applyAlignment="1">
      <alignment vertical="center" wrapText="1"/>
    </xf>
    <xf numFmtId="1" fontId="16" fillId="2" borderId="44" xfId="0" applyNumberFormat="1" applyFont="1" applyFill="1" applyBorder="1" applyAlignment="1">
      <alignment vertical="center" wrapText="1"/>
    </xf>
    <xf numFmtId="0" fontId="6" fillId="0" borderId="25" xfId="13" applyFont="1" applyFill="1" applyBorder="1" applyAlignment="1">
      <alignment horizontal="center" vertical="center" wrapText="1"/>
    </xf>
    <xf numFmtId="165" fontId="6" fillId="0" borderId="3" xfId="13" applyNumberFormat="1" applyFont="1" applyFill="1" applyBorder="1" applyAlignment="1">
      <alignment horizontal="right" indent="1"/>
    </xf>
    <xf numFmtId="165" fontId="5" fillId="0" borderId="25" xfId="13" applyNumberFormat="1" applyFont="1" applyFill="1" applyBorder="1" applyAlignment="1">
      <alignment horizontal="right" indent="1"/>
    </xf>
    <xf numFmtId="165" fontId="6" fillId="0" borderId="44" xfId="13" applyNumberFormat="1" applyFont="1" applyFill="1" applyBorder="1" applyAlignment="1">
      <alignment horizontal="right" indent="1"/>
    </xf>
    <xf numFmtId="0" fontId="6" fillId="2" borderId="10" xfId="3" applyNumberFormat="1" applyFont="1" applyFill="1" applyBorder="1" applyAlignment="1" applyProtection="1">
      <alignment horizontal="left" wrapText="1"/>
    </xf>
    <xf numFmtId="0" fontId="6" fillId="2" borderId="49" xfId="3" applyNumberFormat="1" applyFont="1" applyFill="1" applyBorder="1" applyAlignment="1" applyProtection="1">
      <alignment horizontal="center" vertical="center" wrapText="1"/>
    </xf>
    <xf numFmtId="0" fontId="13" fillId="2" borderId="0" xfId="3" applyFont="1" applyFill="1" applyBorder="1"/>
    <xf numFmtId="0" fontId="4" fillId="2" borderId="0" xfId="0" applyFont="1" applyFill="1" applyAlignment="1">
      <alignment vertical="center"/>
    </xf>
    <xf numFmtId="0" fontId="5" fillId="2" borderId="0" xfId="0" applyFont="1" applyFill="1" applyAlignment="1">
      <alignment horizontal="left"/>
    </xf>
    <xf numFmtId="0" fontId="13" fillId="2" borderId="0" xfId="0" applyFont="1" applyFill="1" applyAlignment="1">
      <alignment vertical="center"/>
    </xf>
    <xf numFmtId="0" fontId="6" fillId="2" borderId="24" xfId="0" applyFont="1" applyFill="1" applyBorder="1" applyAlignment="1">
      <alignment horizontal="center" vertical="center" wrapText="1"/>
    </xf>
    <xf numFmtId="0" fontId="6" fillId="2" borderId="25" xfId="0" applyFont="1" applyFill="1" applyBorder="1" applyAlignment="1">
      <alignment horizontal="center" vertical="center" wrapText="1"/>
    </xf>
    <xf numFmtId="0" fontId="6" fillId="2" borderId="49" xfId="0" applyFont="1" applyFill="1" applyBorder="1" applyAlignment="1">
      <alignment horizontal="center" vertical="center" wrapText="1"/>
    </xf>
    <xf numFmtId="0" fontId="6" fillId="2" borderId="27" xfId="0" applyFont="1" applyFill="1" applyBorder="1" applyAlignment="1">
      <alignment horizontal="left" wrapText="1"/>
    </xf>
    <xf numFmtId="3" fontId="6" fillId="2" borderId="0" xfId="0" applyNumberFormat="1" applyFont="1" applyFill="1"/>
    <xf numFmtId="0" fontId="7" fillId="2" borderId="27" xfId="0" applyFont="1" applyFill="1" applyBorder="1" applyAlignment="1">
      <alignment horizontal="left" wrapText="1" indent="1"/>
    </xf>
    <xf numFmtId="0" fontId="7" fillId="0" borderId="0" xfId="0" applyFont="1"/>
    <xf numFmtId="0" fontId="6" fillId="2" borderId="2" xfId="0" applyFont="1" applyFill="1" applyBorder="1" applyAlignment="1">
      <alignment horizontal="left" wrapText="1"/>
    </xf>
    <xf numFmtId="0" fontId="5" fillId="2" borderId="41" xfId="0" applyFont="1" applyFill="1" applyBorder="1" applyAlignment="1">
      <alignment horizontal="left" wrapText="1"/>
    </xf>
    <xf numFmtId="0" fontId="24" fillId="2" borderId="0" xfId="0" applyFont="1" applyFill="1" applyAlignment="1">
      <alignment vertical="center"/>
    </xf>
    <xf numFmtId="0" fontId="6" fillId="2" borderId="0" xfId="0" applyFont="1" applyFill="1" applyAlignment="1">
      <alignment horizontal="left"/>
    </xf>
    <xf numFmtId="0" fontId="27" fillId="2" borderId="0" xfId="0" applyFont="1" applyFill="1" applyAlignment="1">
      <alignment vertical="center"/>
    </xf>
    <xf numFmtId="0" fontId="25" fillId="2" borderId="0" xfId="0" applyFont="1" applyFill="1" applyAlignment="1">
      <alignment vertical="center"/>
    </xf>
    <xf numFmtId="0" fontId="25" fillId="2" borderId="0" xfId="0" quotePrefix="1" applyFont="1" applyFill="1" applyAlignment="1">
      <alignment horizontal="left" vertical="center"/>
    </xf>
    <xf numFmtId="0" fontId="25" fillId="2" borderId="0" xfId="0" applyFont="1" applyFill="1" applyAlignment="1">
      <alignment horizontal="left" vertical="center"/>
    </xf>
    <xf numFmtId="0" fontId="25" fillId="2" borderId="0" xfId="0" quotePrefix="1" applyFont="1" applyFill="1" applyAlignment="1">
      <alignment vertical="center"/>
    </xf>
    <xf numFmtId="0" fontId="3" fillId="2" borderId="0" xfId="0" applyFont="1" applyFill="1" applyAlignment="1">
      <alignment vertical="center"/>
    </xf>
    <xf numFmtId="3" fontId="3" fillId="2" borderId="0" xfId="0" applyNumberFormat="1" applyFont="1" applyFill="1" applyAlignment="1">
      <alignment vertical="center"/>
    </xf>
    <xf numFmtId="0" fontId="6" fillId="2" borderId="2" xfId="0" applyFont="1" applyFill="1" applyBorder="1"/>
    <xf numFmtId="0" fontId="5" fillId="0" borderId="0" xfId="9" applyFont="1"/>
    <xf numFmtId="0" fontId="6" fillId="0" borderId="0" xfId="0" applyFont="1"/>
    <xf numFmtId="0" fontId="6" fillId="0" borderId="0" xfId="9"/>
    <xf numFmtId="0" fontId="6" fillId="0" borderId="0" xfId="0" applyFont="1" applyAlignment="1">
      <alignment horizontal="center" vertical="center"/>
    </xf>
    <xf numFmtId="0" fontId="16" fillId="2" borderId="45" xfId="0" applyFont="1" applyFill="1" applyBorder="1" applyAlignment="1">
      <alignment horizontal="left" vertical="top" wrapText="1"/>
    </xf>
    <xf numFmtId="168" fontId="16" fillId="2" borderId="45" xfId="0" applyNumberFormat="1" applyFont="1" applyFill="1" applyBorder="1" applyAlignment="1">
      <alignment vertical="center" wrapText="1"/>
    </xf>
    <xf numFmtId="0" fontId="17" fillId="0" borderId="2" xfId="0" applyFont="1" applyBorder="1" applyAlignment="1">
      <alignment horizontal="left" vertical="top" wrapText="1" indent="2"/>
    </xf>
    <xf numFmtId="168" fontId="17" fillId="0" borderId="2" xfId="0" applyNumberFormat="1" applyFont="1" applyBorder="1" applyAlignment="1">
      <alignment vertical="center" wrapText="1"/>
    </xf>
    <xf numFmtId="1" fontId="17" fillId="0" borderId="3" xfId="0" applyNumberFormat="1" applyFont="1" applyBorder="1" applyAlignment="1">
      <alignment vertical="center" wrapText="1"/>
    </xf>
    <xf numFmtId="0" fontId="16" fillId="0" borderId="2" xfId="0" applyFont="1" applyBorder="1" applyAlignment="1">
      <alignment horizontal="left" vertical="top" wrapText="1" indent="1"/>
    </xf>
    <xf numFmtId="168" fontId="16" fillId="0" borderId="2" xfId="0" applyNumberFormat="1" applyFont="1" applyBorder="1" applyAlignment="1">
      <alignment vertical="center" wrapText="1"/>
    </xf>
    <xf numFmtId="1" fontId="16" fillId="0" borderId="3" xfId="0" applyNumberFormat="1" applyFont="1" applyBorder="1" applyAlignment="1">
      <alignment vertical="center" wrapText="1"/>
    </xf>
    <xf numFmtId="0" fontId="16" fillId="0" borderId="45" xfId="0" applyFont="1" applyBorder="1" applyAlignment="1">
      <alignment horizontal="left" vertical="top" wrapText="1"/>
    </xf>
    <xf numFmtId="168" fontId="16" fillId="0" borderId="45" xfId="0" applyNumberFormat="1" applyFont="1" applyBorder="1" applyAlignment="1">
      <alignment vertical="center" wrapText="1"/>
    </xf>
    <xf numFmtId="1" fontId="16" fillId="0" borderId="44" xfId="0" applyNumberFormat="1" applyFont="1" applyBorder="1" applyAlignment="1">
      <alignment vertical="center" wrapText="1"/>
    </xf>
    <xf numFmtId="168" fontId="5" fillId="0" borderId="2" xfId="0" applyNumberFormat="1" applyFont="1" applyBorder="1" applyAlignment="1">
      <alignment vertical="center" wrapText="1"/>
    </xf>
    <xf numFmtId="0" fontId="6" fillId="0" borderId="2" xfId="0" applyFont="1" applyBorder="1" applyAlignment="1">
      <alignment horizontal="left" vertical="top" wrapText="1" indent="2"/>
    </xf>
    <xf numFmtId="168" fontId="6" fillId="0" borderId="2" xfId="0" applyNumberFormat="1" applyFont="1" applyBorder="1" applyAlignment="1">
      <alignment vertical="center" wrapText="1"/>
    </xf>
    <xf numFmtId="0" fontId="18" fillId="0" borderId="0" xfId="0" applyFont="1"/>
    <xf numFmtId="0" fontId="16" fillId="0" borderId="24" xfId="0" applyFont="1" applyBorder="1" applyAlignment="1">
      <alignment horizontal="left" vertical="top" wrapText="1" indent="1"/>
    </xf>
    <xf numFmtId="168" fontId="16" fillId="0" borderId="24" xfId="0" applyNumberFormat="1" applyFont="1" applyBorder="1" applyAlignment="1">
      <alignment vertical="center" wrapText="1"/>
    </xf>
    <xf numFmtId="1" fontId="16" fillId="0" borderId="25" xfId="0" applyNumberFormat="1" applyFont="1" applyBorder="1" applyAlignment="1">
      <alignment vertical="center" wrapText="1"/>
    </xf>
    <xf numFmtId="0" fontId="16" fillId="0" borderId="2" xfId="0" applyFont="1" applyBorder="1" applyAlignment="1">
      <alignment horizontal="left" vertical="top" wrapText="1"/>
    </xf>
    <xf numFmtId="1" fontId="5" fillId="0" borderId="3" xfId="0" applyNumberFormat="1" applyFont="1" applyBorder="1" applyAlignment="1">
      <alignment vertical="center" wrapText="1"/>
    </xf>
    <xf numFmtId="0" fontId="16" fillId="0" borderId="49" xfId="0" applyFont="1" applyBorder="1" applyAlignment="1">
      <alignment horizontal="left" vertical="top" wrapText="1"/>
    </xf>
    <xf numFmtId="168" fontId="5" fillId="0" borderId="49" xfId="0" applyNumberFormat="1" applyFont="1" applyBorder="1" applyAlignment="1">
      <alignment vertical="center" wrapText="1"/>
    </xf>
    <xf numFmtId="1" fontId="16" fillId="0" borderId="43" xfId="0" applyNumberFormat="1" applyFont="1" applyBorder="1" applyAlignment="1">
      <alignment horizontal="right" vertical="center" wrapText="1"/>
    </xf>
    <xf numFmtId="0" fontId="16" fillId="2" borderId="49" xfId="0" applyFont="1" applyFill="1" applyBorder="1" applyAlignment="1">
      <alignment horizontal="left" vertical="top" wrapText="1"/>
    </xf>
    <xf numFmtId="0" fontId="24" fillId="0" borderId="0" xfId="8" applyFont="1"/>
    <xf numFmtId="0" fontId="7" fillId="0" borderId="0" xfId="8" applyFont="1"/>
    <xf numFmtId="0" fontId="7" fillId="0" borderId="42" xfId="8" applyFont="1" applyBorder="1"/>
    <xf numFmtId="0" fontId="6" fillId="0" borderId="0" xfId="8"/>
    <xf numFmtId="0" fontId="6" fillId="0" borderId="0" xfId="8" applyAlignment="1">
      <alignment vertical="center"/>
    </xf>
    <xf numFmtId="170" fontId="20" fillId="0" borderId="0" xfId="8" applyNumberFormat="1" applyFont="1"/>
    <xf numFmtId="165" fontId="20" fillId="0" borderId="0" xfId="8" applyNumberFormat="1" applyFont="1" applyAlignment="1">
      <alignment horizontal="right"/>
    </xf>
    <xf numFmtId="3" fontId="20" fillId="0" borderId="0" xfId="8" applyNumberFormat="1" applyFont="1" applyAlignment="1">
      <alignment horizontal="right"/>
    </xf>
    <xf numFmtId="0" fontId="6" fillId="0" borderId="0" xfId="0" applyFont="1" applyAlignment="1">
      <alignment horizontal="left" vertical="center" wrapText="1"/>
    </xf>
    <xf numFmtId="0" fontId="10" fillId="0" borderId="0" xfId="0" applyFont="1" applyAlignment="1">
      <alignment horizontal="left"/>
    </xf>
    <xf numFmtId="0" fontId="10" fillId="0" borderId="0" xfId="0" applyFont="1" applyAlignment="1">
      <alignment horizontal="center"/>
    </xf>
    <xf numFmtId="0" fontId="6" fillId="2" borderId="2" xfId="0" applyNumberFormat="1" applyFont="1" applyFill="1" applyBorder="1" applyAlignment="1" applyProtection="1">
      <alignment horizontal="left" wrapText="1"/>
    </xf>
    <xf numFmtId="165" fontId="6" fillId="2" borderId="2" xfId="10" applyNumberFormat="1" applyFont="1" applyFill="1" applyBorder="1" applyAlignment="1" applyProtection="1">
      <alignment horizontal="right" wrapText="1"/>
    </xf>
    <xf numFmtId="165" fontId="6" fillId="2" borderId="4" xfId="10" applyNumberFormat="1" applyFont="1" applyFill="1" applyBorder="1" applyAlignment="1" applyProtection="1">
      <alignment horizontal="right" wrapText="1"/>
    </xf>
    <xf numFmtId="165" fontId="6" fillId="2" borderId="0" xfId="10" applyNumberFormat="1" applyFont="1" applyFill="1" applyBorder="1" applyAlignment="1" applyProtection="1">
      <alignment horizontal="right" wrapText="1"/>
    </xf>
    <xf numFmtId="3" fontId="6" fillId="2" borderId="4" xfId="10" applyNumberFormat="1" applyFont="1" applyFill="1" applyBorder="1" applyAlignment="1" applyProtection="1">
      <alignment horizontal="right" wrapText="1"/>
    </xf>
    <xf numFmtId="168" fontId="6" fillId="2" borderId="8" xfId="3" applyNumberFormat="1" applyFont="1" applyFill="1" applyBorder="1" applyAlignment="1" applyProtection="1">
      <alignment horizontal="right" vertical="center" wrapText="1" indent="1"/>
    </xf>
    <xf numFmtId="168" fontId="6" fillId="2" borderId="2" xfId="3" applyNumberFormat="1" applyFont="1" applyFill="1" applyBorder="1" applyAlignment="1" applyProtection="1">
      <alignment horizontal="right" vertical="center" wrapText="1" indent="1"/>
    </xf>
    <xf numFmtId="168" fontId="7" fillId="2" borderId="2" xfId="3" applyNumberFormat="1" applyFont="1" applyFill="1" applyBorder="1" applyAlignment="1" applyProtection="1">
      <alignment horizontal="right" vertical="center" wrapText="1" indent="1"/>
    </xf>
    <xf numFmtId="168" fontId="6" fillId="2" borderId="9" xfId="3" applyNumberFormat="1" applyFont="1" applyFill="1" applyBorder="1" applyAlignment="1" applyProtection="1">
      <alignment horizontal="right" vertical="center" wrapText="1" indent="1"/>
    </xf>
    <xf numFmtId="168" fontId="5" fillId="2" borderId="8" xfId="5" applyNumberFormat="1" applyFont="1" applyFill="1" applyBorder="1" applyAlignment="1" applyProtection="1">
      <alignment horizontal="right" vertical="center" indent="1"/>
    </xf>
    <xf numFmtId="168" fontId="5" fillId="2" borderId="1" xfId="5" applyNumberFormat="1" applyFont="1" applyFill="1" applyBorder="1" applyAlignment="1" applyProtection="1">
      <alignment horizontal="right" vertical="center" indent="1"/>
    </xf>
    <xf numFmtId="165" fontId="13" fillId="2" borderId="45" xfId="0" applyNumberFormat="1" applyFont="1" applyFill="1" applyBorder="1" applyAlignment="1">
      <alignment horizontal="right" vertical="center" wrapText="1" indent="1"/>
    </xf>
    <xf numFmtId="165" fontId="13" fillId="2" borderId="2" xfId="0" applyNumberFormat="1" applyFont="1" applyFill="1" applyBorder="1" applyAlignment="1">
      <alignment horizontal="right" vertical="center" wrapText="1" indent="1"/>
    </xf>
    <xf numFmtId="165" fontId="15" fillId="2" borderId="2" xfId="0" applyNumberFormat="1" applyFont="1" applyFill="1" applyBorder="1" applyAlignment="1">
      <alignment horizontal="right" vertical="center" wrapText="1" indent="1"/>
    </xf>
    <xf numFmtId="165" fontId="13" fillId="2" borderId="24" xfId="0" applyNumberFormat="1" applyFont="1" applyFill="1" applyBorder="1" applyAlignment="1">
      <alignment horizontal="right" vertical="center" wrapText="1" indent="1"/>
    </xf>
    <xf numFmtId="165" fontId="4" fillId="2" borderId="30" xfId="0" applyNumberFormat="1" applyFont="1" applyFill="1" applyBorder="1" applyAlignment="1">
      <alignment horizontal="right" vertical="center" wrapText="1" indent="1"/>
    </xf>
    <xf numFmtId="165" fontId="6" fillId="2" borderId="25" xfId="3" applyNumberFormat="1" applyFont="1" applyFill="1" applyBorder="1" applyAlignment="1" applyProtection="1">
      <alignment horizontal="right" vertical="center" wrapText="1" indent="2"/>
    </xf>
    <xf numFmtId="165" fontId="6" fillId="2" borderId="40" xfId="3" applyNumberFormat="1" applyFont="1" applyFill="1" applyBorder="1" applyAlignment="1" applyProtection="1">
      <alignment horizontal="right" vertical="center" wrapText="1" indent="2"/>
    </xf>
    <xf numFmtId="168" fontId="17" fillId="0" borderId="2" xfId="0" applyNumberFormat="1" applyFont="1" applyFill="1" applyBorder="1" applyAlignment="1">
      <alignment vertical="center" wrapText="1"/>
    </xf>
    <xf numFmtId="1" fontId="17" fillId="0" borderId="3" xfId="0" applyNumberFormat="1" applyFont="1" applyFill="1" applyBorder="1" applyAlignment="1">
      <alignment vertical="center" wrapText="1"/>
    </xf>
    <xf numFmtId="165" fontId="5" fillId="0" borderId="30" xfId="0" quotePrefix="1" applyNumberFormat="1" applyFont="1" applyFill="1" applyBorder="1" applyAlignment="1" applyProtection="1">
      <alignment horizontal="right" vertical="center" wrapText="1" indent="1"/>
    </xf>
    <xf numFmtId="166" fontId="5" fillId="0" borderId="32" xfId="12" applyNumberFormat="1" applyFont="1" applyFill="1" applyBorder="1" applyAlignment="1" applyProtection="1">
      <alignment horizontal="right" vertical="center" wrapText="1" indent="1"/>
    </xf>
    <xf numFmtId="0" fontId="6" fillId="0" borderId="0" xfId="0" applyNumberFormat="1" applyFont="1" applyFill="1" applyBorder="1" applyAlignment="1" applyProtection="1"/>
    <xf numFmtId="0" fontId="29" fillId="2" borderId="0" xfId="0" applyNumberFormat="1" applyFont="1" applyFill="1" applyBorder="1" applyAlignment="1" applyProtection="1">
      <alignment vertical="center"/>
    </xf>
    <xf numFmtId="0" fontId="4" fillId="0" borderId="0" xfId="0" applyNumberFormat="1" applyFont="1" applyFill="1" applyBorder="1" applyAlignment="1" applyProtection="1">
      <alignment vertical="center"/>
    </xf>
    <xf numFmtId="0" fontId="5" fillId="0" borderId="1" xfId="3" applyFont="1" applyFill="1" applyBorder="1" applyAlignment="1">
      <alignment horizontal="center" vertical="center"/>
    </xf>
    <xf numFmtId="165" fontId="10" fillId="2" borderId="3" xfId="13" applyNumberFormat="1" applyFont="1" applyFill="1" applyBorder="1" applyAlignment="1">
      <alignment horizontal="right" indent="1"/>
    </xf>
    <xf numFmtId="165" fontId="6" fillId="2" borderId="0" xfId="0" applyNumberFormat="1" applyFont="1" applyFill="1"/>
    <xf numFmtId="165" fontId="10" fillId="2" borderId="36" xfId="0" quotePrefix="1" applyNumberFormat="1" applyFont="1" applyFill="1" applyBorder="1" applyAlignment="1" applyProtection="1">
      <alignment horizontal="right" vertical="center" wrapText="1" indent="1"/>
    </xf>
    <xf numFmtId="166" fontId="10" fillId="0" borderId="33" xfId="12" applyNumberFormat="1" applyFont="1" applyFill="1" applyBorder="1" applyAlignment="1" applyProtection="1">
      <alignment horizontal="right" vertical="center" wrapText="1" indent="1"/>
    </xf>
    <xf numFmtId="166" fontId="10" fillId="2" borderId="33" xfId="12" applyNumberFormat="1" applyFont="1" applyFill="1" applyBorder="1" applyAlignment="1" applyProtection="1">
      <alignment horizontal="right" vertical="center" wrapText="1" indent="1"/>
    </xf>
    <xf numFmtId="165" fontId="10" fillId="2" borderId="37" xfId="0" quotePrefix="1" applyNumberFormat="1" applyFont="1" applyFill="1" applyBorder="1" applyAlignment="1" applyProtection="1">
      <alignment horizontal="right" vertical="center" wrapText="1" indent="1"/>
    </xf>
    <xf numFmtId="165" fontId="18" fillId="2" borderId="36" xfId="0" quotePrefix="1" applyNumberFormat="1" applyFont="1" applyFill="1" applyBorder="1" applyAlignment="1" applyProtection="1">
      <alignment horizontal="right" vertical="center" wrapText="1" indent="1"/>
    </xf>
    <xf numFmtId="166" fontId="18" fillId="2" borderId="33" xfId="12" applyNumberFormat="1" applyFont="1" applyFill="1" applyBorder="1" applyAlignment="1" applyProtection="1">
      <alignment horizontal="right" vertical="center" wrapText="1" indent="1"/>
    </xf>
    <xf numFmtId="165" fontId="10" fillId="2" borderId="47" xfId="0" quotePrefix="1" applyNumberFormat="1" applyFont="1" applyFill="1" applyBorder="1" applyAlignment="1" applyProtection="1">
      <alignment horizontal="right" vertical="center" wrapText="1" indent="1"/>
    </xf>
    <xf numFmtId="166" fontId="10" fillId="2" borderId="48" xfId="12" applyNumberFormat="1" applyFont="1" applyFill="1" applyBorder="1" applyAlignment="1" applyProtection="1">
      <alignment horizontal="right" vertical="center" wrapText="1" indent="1"/>
    </xf>
    <xf numFmtId="166" fontId="19" fillId="2" borderId="31" xfId="12" applyNumberFormat="1" applyFont="1" applyFill="1" applyBorder="1" applyAlignment="1" applyProtection="1">
      <alignment horizontal="right" vertical="center" wrapText="1" indent="1"/>
    </xf>
    <xf numFmtId="165" fontId="19" fillId="0" borderId="30" xfId="0" quotePrefix="1" applyNumberFormat="1" applyFont="1" applyFill="1" applyBorder="1" applyAlignment="1" applyProtection="1">
      <alignment horizontal="right" vertical="center" wrapText="1" indent="1"/>
    </xf>
    <xf numFmtId="166" fontId="19" fillId="0" borderId="32" xfId="12" applyNumberFormat="1" applyFont="1" applyFill="1" applyBorder="1" applyAlignment="1" applyProtection="1">
      <alignment horizontal="right" vertical="center" wrapText="1" indent="1"/>
    </xf>
    <xf numFmtId="166" fontId="13" fillId="0" borderId="4" xfId="3" applyNumberFormat="1" applyFont="1" applyFill="1" applyBorder="1" applyAlignment="1" applyProtection="1"/>
    <xf numFmtId="166" fontId="13" fillId="0" borderId="40" xfId="3" applyNumberFormat="1" applyFont="1" applyFill="1" applyBorder="1" applyAlignment="1" applyProtection="1"/>
    <xf numFmtId="0" fontId="4" fillId="2" borderId="29" xfId="0" applyNumberFormat="1" applyFont="1" applyFill="1" applyBorder="1" applyAlignment="1" applyProtection="1">
      <alignment vertical="center" wrapText="1"/>
    </xf>
    <xf numFmtId="0" fontId="10" fillId="0" borderId="39" xfId="0" applyFont="1" applyBorder="1" applyAlignment="1">
      <alignment horizontal="center" vertical="top" wrapText="1"/>
    </xf>
    <xf numFmtId="0" fontId="13" fillId="0" borderId="28" xfId="0" applyFont="1" applyBorder="1" applyAlignment="1">
      <alignment vertical="center"/>
    </xf>
    <xf numFmtId="0" fontId="13" fillId="0" borderId="39" xfId="0" applyFont="1" applyBorder="1" applyAlignment="1">
      <alignment vertical="center"/>
    </xf>
    <xf numFmtId="0" fontId="13" fillId="0" borderId="42" xfId="0" applyFont="1" applyBorder="1" applyAlignment="1">
      <alignment vertical="center"/>
    </xf>
    <xf numFmtId="0" fontId="30" fillId="0" borderId="0" xfId="0" applyFont="1" applyAlignment="1">
      <alignment horizontal="justify" vertical="center"/>
    </xf>
    <xf numFmtId="0" fontId="5" fillId="2" borderId="22" xfId="3" applyFont="1" applyFill="1" applyBorder="1" applyAlignment="1">
      <alignment horizontal="right" vertical="top"/>
    </xf>
    <xf numFmtId="0" fontId="5" fillId="2" borderId="22" xfId="3" applyFont="1" applyFill="1" applyBorder="1" applyAlignment="1">
      <alignment horizontal="right" vertical="top" wrapText="1"/>
    </xf>
    <xf numFmtId="0" fontId="4" fillId="2" borderId="28" xfId="10" applyNumberFormat="1" applyFont="1" applyFill="1" applyBorder="1" applyAlignment="1" applyProtection="1">
      <alignment horizontal="right" vertical="top" wrapText="1"/>
    </xf>
    <xf numFmtId="0" fontId="4" fillId="2" borderId="12" xfId="10" applyNumberFormat="1" applyFont="1" applyFill="1" applyBorder="1" applyAlignment="1" applyProtection="1">
      <alignment horizontal="right" vertical="top" wrapText="1"/>
    </xf>
    <xf numFmtId="0" fontId="4" fillId="0" borderId="49" xfId="10" applyFont="1" applyFill="1" applyBorder="1" applyAlignment="1">
      <alignment horizontal="right" vertical="top" wrapText="1"/>
    </xf>
    <xf numFmtId="0" fontId="4" fillId="0" borderId="28" xfId="10" applyFont="1" applyFill="1" applyBorder="1" applyAlignment="1">
      <alignment horizontal="right" vertical="top" wrapText="1"/>
    </xf>
    <xf numFmtId="0" fontId="4" fillId="2" borderId="13" xfId="10" applyNumberFormat="1" applyFont="1" applyFill="1" applyBorder="1" applyAlignment="1" applyProtection="1">
      <alignment horizontal="right" vertical="top" wrapText="1"/>
    </xf>
    <xf numFmtId="0" fontId="13" fillId="0" borderId="28" xfId="0" applyFont="1" applyBorder="1" applyAlignment="1">
      <alignment horizontal="center" vertical="center"/>
    </xf>
    <xf numFmtId="165" fontId="6" fillId="2" borderId="40" xfId="3" applyNumberFormat="1" applyFont="1" applyFill="1" applyBorder="1" applyAlignment="1">
      <alignment vertical="center"/>
    </xf>
    <xf numFmtId="0" fontId="5" fillId="2" borderId="41" xfId="3" applyFont="1" applyFill="1" applyBorder="1" applyAlignment="1">
      <alignment horizontal="right" vertical="top"/>
    </xf>
    <xf numFmtId="165" fontId="5" fillId="2" borderId="40" xfId="3" applyNumberFormat="1" applyFont="1" applyFill="1" applyBorder="1" applyAlignment="1">
      <alignment vertical="center"/>
    </xf>
    <xf numFmtId="0" fontId="4" fillId="0" borderId="41" xfId="3" applyNumberFormat="1" applyFont="1" applyFill="1" applyBorder="1" applyAlignment="1" applyProtection="1">
      <alignment horizontal="right" vertical="top"/>
    </xf>
    <xf numFmtId="166" fontId="4" fillId="0" borderId="40" xfId="3" applyNumberFormat="1" applyFont="1" applyFill="1" applyBorder="1" applyAlignment="1" applyProtection="1"/>
    <xf numFmtId="0" fontId="8" fillId="0" borderId="0" xfId="3" applyAlignment="1">
      <alignment vertical="center" wrapText="1"/>
    </xf>
    <xf numFmtId="168" fontId="13" fillId="2" borderId="0" xfId="3" applyNumberFormat="1" applyFont="1" applyFill="1" applyBorder="1"/>
    <xf numFmtId="0" fontId="31" fillId="2" borderId="0" xfId="3" applyFont="1" applyFill="1"/>
    <xf numFmtId="166" fontId="6" fillId="2" borderId="2" xfId="0" applyNumberFormat="1" applyFont="1" applyFill="1" applyBorder="1"/>
    <xf numFmtId="166" fontId="6" fillId="0" borderId="0" xfId="0" applyNumberFormat="1" applyFont="1" applyAlignment="1">
      <alignment horizontal="left" vertical="center" wrapText="1"/>
    </xf>
    <xf numFmtId="166" fontId="31" fillId="0" borderId="0" xfId="0" applyNumberFormat="1" applyFont="1" applyAlignment="1">
      <alignment horizontal="left" vertical="center" wrapText="1"/>
    </xf>
    <xf numFmtId="0" fontId="31" fillId="2" borderId="0" xfId="0" applyFont="1" applyFill="1"/>
    <xf numFmtId="0" fontId="33" fillId="2" borderId="0" xfId="3" applyFont="1" applyFill="1"/>
    <xf numFmtId="0" fontId="33" fillId="2" borderId="0" xfId="0" applyFont="1" applyFill="1"/>
    <xf numFmtId="0" fontId="34" fillId="0" borderId="0" xfId="3" applyNumberFormat="1" applyFont="1" applyFill="1" applyBorder="1" applyAlignment="1" applyProtection="1"/>
    <xf numFmtId="0" fontId="34" fillId="2" borderId="0" xfId="0" applyFont="1" applyFill="1"/>
    <xf numFmtId="168" fontId="7" fillId="2" borderId="4" xfId="3" applyNumberFormat="1" applyFont="1" applyFill="1" applyBorder="1" applyAlignment="1" applyProtection="1">
      <alignment horizontal="right" vertical="center" wrapText="1" indent="1"/>
    </xf>
    <xf numFmtId="0" fontId="35" fillId="0" borderId="0" xfId="3" applyFont="1" applyAlignment="1">
      <alignment horizontal="justify" vertical="center"/>
    </xf>
    <xf numFmtId="168" fontId="5" fillId="0" borderId="41" xfId="5" applyNumberFormat="1" applyFont="1" applyFill="1" applyBorder="1" applyAlignment="1" applyProtection="1">
      <alignment horizontal="right" vertical="center" indent="1"/>
    </xf>
    <xf numFmtId="0" fontId="6" fillId="0" borderId="0" xfId="0" applyFont="1" applyFill="1" applyBorder="1"/>
    <xf numFmtId="165" fontId="10" fillId="0" borderId="36" xfId="0" quotePrefix="1" applyNumberFormat="1" applyFont="1" applyFill="1" applyBorder="1" applyAlignment="1" applyProtection="1">
      <alignment horizontal="right" vertical="center" wrapText="1" indent="1"/>
    </xf>
    <xf numFmtId="165" fontId="13" fillId="0" borderId="36" xfId="0" quotePrefix="1" applyNumberFormat="1" applyFont="1" applyFill="1" applyBorder="1" applyAlignment="1" applyProtection="1">
      <alignment horizontal="right" vertical="center" wrapText="1" indent="1"/>
    </xf>
    <xf numFmtId="166" fontId="13" fillId="0" borderId="33" xfId="12" applyNumberFormat="1" applyFont="1" applyFill="1" applyBorder="1" applyAlignment="1" applyProtection="1">
      <alignment horizontal="right" vertical="center" wrapText="1" indent="1"/>
    </xf>
    <xf numFmtId="165" fontId="5" fillId="2" borderId="40" xfId="3" applyNumberFormat="1" applyFont="1" applyFill="1" applyBorder="1" applyAlignment="1">
      <alignment vertical="center" wrapText="1"/>
    </xf>
    <xf numFmtId="165" fontId="6" fillId="2" borderId="40" xfId="3" applyNumberFormat="1" applyFont="1" applyFill="1" applyBorder="1" applyAlignment="1">
      <alignment vertical="center" wrapText="1"/>
    </xf>
    <xf numFmtId="0" fontId="3" fillId="2" borderId="0" xfId="0" quotePrefix="1" applyNumberFormat="1" applyFont="1" applyFill="1" applyBorder="1" applyAlignment="1" applyProtection="1"/>
    <xf numFmtId="0" fontId="4" fillId="0" borderId="41" xfId="10" applyFont="1" applyFill="1" applyBorder="1" applyAlignment="1">
      <alignment horizontal="right" vertical="top" wrapText="1"/>
    </xf>
    <xf numFmtId="3" fontId="4" fillId="2" borderId="41" xfId="10" applyNumberFormat="1" applyFont="1" applyFill="1" applyBorder="1" applyAlignment="1" applyProtection="1">
      <alignment horizontal="right" wrapText="1"/>
    </xf>
    <xf numFmtId="0" fontId="4" fillId="2" borderId="45" xfId="10" applyNumberFormat="1" applyFont="1" applyFill="1" applyBorder="1" applyAlignment="1" applyProtection="1">
      <alignment horizontal="left" vertical="top" wrapText="1"/>
    </xf>
    <xf numFmtId="0" fontId="13" fillId="2" borderId="24" xfId="10" applyNumberFormat="1" applyFont="1" applyFill="1" applyBorder="1" applyAlignment="1" applyProtection="1">
      <alignment horizontal="left" vertical="top" wrapText="1"/>
    </xf>
    <xf numFmtId="3" fontId="4" fillId="2" borderId="44" xfId="10" applyNumberFormat="1" applyFont="1" applyFill="1" applyBorder="1" applyAlignment="1" applyProtection="1">
      <alignment horizontal="right" wrapText="1"/>
    </xf>
    <xf numFmtId="3" fontId="6" fillId="2" borderId="3" xfId="10" applyNumberFormat="1" applyFont="1" applyFill="1" applyBorder="1" applyAlignment="1" applyProtection="1">
      <alignment horizontal="right" wrapText="1"/>
    </xf>
    <xf numFmtId="3" fontId="13" fillId="2" borderId="25" xfId="10" applyNumberFormat="1" applyFont="1" applyFill="1" applyBorder="1" applyAlignment="1" applyProtection="1">
      <alignment horizontal="right" wrapText="1"/>
    </xf>
    <xf numFmtId="3" fontId="4" fillId="2" borderId="3" xfId="10" applyNumberFormat="1" applyFont="1" applyFill="1" applyBorder="1" applyAlignment="1" applyProtection="1">
      <alignment horizontal="right" wrapText="1"/>
    </xf>
    <xf numFmtId="3" fontId="4" fillId="2" borderId="24" xfId="10" applyNumberFormat="1" applyFont="1" applyFill="1" applyBorder="1" applyAlignment="1" applyProtection="1">
      <alignment horizontal="right" wrapText="1"/>
    </xf>
    <xf numFmtId="3" fontId="4" fillId="2" borderId="40" xfId="10" applyNumberFormat="1" applyFont="1" applyFill="1" applyBorder="1" applyAlignment="1" applyProtection="1">
      <alignment horizontal="right" wrapText="1"/>
    </xf>
    <xf numFmtId="3" fontId="4" fillId="2" borderId="0" xfId="10" applyNumberFormat="1" applyFont="1" applyFill="1" applyBorder="1" applyAlignment="1" applyProtection="1">
      <alignment horizontal="right" wrapText="1"/>
    </xf>
    <xf numFmtId="3" fontId="4" fillId="2" borderId="29" xfId="10" applyNumberFormat="1" applyFont="1" applyFill="1" applyBorder="1" applyAlignment="1" applyProtection="1">
      <alignment horizontal="right" wrapText="1"/>
    </xf>
    <xf numFmtId="3" fontId="4" fillId="2" borderId="46" xfId="10" applyNumberFormat="1" applyFont="1" applyFill="1" applyBorder="1" applyAlignment="1" applyProtection="1">
      <alignment horizontal="right" wrapText="1"/>
    </xf>
    <xf numFmtId="0" fontId="32" fillId="2" borderId="0" xfId="0" applyFont="1" applyFill="1"/>
    <xf numFmtId="0" fontId="3" fillId="2" borderId="0" xfId="3" quotePrefix="1" applyFont="1" applyFill="1" applyBorder="1" applyAlignment="1">
      <alignment vertical="center"/>
    </xf>
    <xf numFmtId="0" fontId="3" fillId="2" borderId="0" xfId="3" quotePrefix="1" applyNumberFormat="1" applyFont="1" applyFill="1" applyBorder="1" applyAlignment="1" applyProtection="1">
      <alignment vertical="center"/>
    </xf>
    <xf numFmtId="0" fontId="3" fillId="2" borderId="0" xfId="3" quotePrefix="1" applyFont="1" applyFill="1" applyAlignment="1">
      <alignment vertical="center"/>
    </xf>
    <xf numFmtId="0" fontId="3" fillId="0" borderId="0" xfId="3" quotePrefix="1" applyFont="1" applyFill="1" applyAlignment="1">
      <alignment vertical="top"/>
    </xf>
    <xf numFmtId="0" fontId="26" fillId="2" borderId="0" xfId="10" quotePrefix="1" applyNumberFormat="1" applyFont="1" applyFill="1" applyBorder="1" applyAlignment="1" applyProtection="1"/>
    <xf numFmtId="0" fontId="26" fillId="0" borderId="0" xfId="10" quotePrefix="1" applyFont="1" applyFill="1" applyAlignment="1">
      <alignment vertical="center"/>
    </xf>
    <xf numFmtId="168" fontId="17" fillId="0" borderId="2" xfId="0" applyNumberFormat="1" applyFont="1" applyBorder="1" applyAlignment="1">
      <alignment horizontal="right" vertical="center" wrapText="1"/>
    </xf>
    <xf numFmtId="0" fontId="3" fillId="0" borderId="0" xfId="8" applyFont="1" applyFill="1" applyAlignment="1">
      <alignment wrapText="1"/>
    </xf>
    <xf numFmtId="0" fontId="6" fillId="0" borderId="0" xfId="0" applyFont="1" applyFill="1" applyAlignment="1"/>
    <xf numFmtId="166" fontId="5" fillId="0" borderId="3" xfId="13" applyNumberFormat="1" applyFont="1" applyFill="1" applyBorder="1" applyAlignment="1">
      <alignment horizontal="right" indent="2"/>
    </xf>
    <xf numFmtId="166" fontId="5" fillId="0" borderId="2" xfId="13" applyNumberFormat="1" applyFont="1" applyFill="1" applyBorder="1" applyAlignment="1">
      <alignment horizontal="right" indent="2"/>
    </xf>
    <xf numFmtId="165" fontId="5" fillId="0" borderId="29" xfId="13" applyNumberFormat="1" applyFont="1" applyFill="1" applyBorder="1" applyAlignment="1">
      <alignment horizontal="right" indent="1"/>
    </xf>
    <xf numFmtId="166" fontId="5" fillId="0" borderId="24" xfId="13" applyNumberFormat="1" applyFont="1" applyFill="1" applyBorder="1" applyAlignment="1">
      <alignment horizontal="right" indent="2"/>
    </xf>
    <xf numFmtId="166" fontId="5" fillId="0" borderId="25" xfId="13" applyNumberFormat="1" applyFont="1" applyFill="1" applyBorder="1" applyAlignment="1">
      <alignment horizontal="right" indent="2"/>
    </xf>
    <xf numFmtId="166" fontId="6" fillId="0" borderId="3" xfId="13" applyNumberFormat="1" applyFont="1" applyFill="1" applyBorder="1" applyAlignment="1">
      <alignment horizontal="right" indent="2"/>
    </xf>
    <xf numFmtId="0" fontId="3" fillId="0" borderId="0" xfId="13" applyFont="1" applyFill="1"/>
    <xf numFmtId="168" fontId="6" fillId="0" borderId="8" xfId="3" applyNumberFormat="1" applyFont="1" applyFill="1" applyBorder="1" applyAlignment="1" applyProtection="1">
      <alignment horizontal="right" vertical="center" wrapText="1" indent="1"/>
    </xf>
    <xf numFmtId="168" fontId="6" fillId="0" borderId="2" xfId="3" applyNumberFormat="1" applyFont="1" applyFill="1" applyBorder="1" applyAlignment="1" applyProtection="1">
      <alignment horizontal="right" vertical="center" wrapText="1" indent="1"/>
    </xf>
    <xf numFmtId="168" fontId="6" fillId="0" borderId="9" xfId="3" applyNumberFormat="1" applyFont="1" applyFill="1" applyBorder="1" applyAlignment="1" applyProtection="1">
      <alignment horizontal="right" vertical="center" wrapText="1" indent="1"/>
    </xf>
    <xf numFmtId="168" fontId="5" fillId="0" borderId="8" xfId="5" applyNumberFormat="1" applyFont="1" applyFill="1" applyBorder="1" applyAlignment="1" applyProtection="1">
      <alignment horizontal="right" vertical="center" indent="1"/>
    </xf>
    <xf numFmtId="168" fontId="5" fillId="0" borderId="1" xfId="5" applyNumberFormat="1" applyFont="1" applyFill="1" applyBorder="1" applyAlignment="1" applyProtection="1">
      <alignment horizontal="right" vertical="center" indent="1"/>
    </xf>
    <xf numFmtId="168" fontId="6" fillId="0" borderId="40" xfId="3" applyNumberFormat="1" applyFont="1" applyFill="1" applyBorder="1" applyAlignment="1" applyProtection="1">
      <alignment horizontal="right" vertical="center" wrapText="1" indent="1"/>
    </xf>
    <xf numFmtId="168" fontId="6" fillId="0" borderId="4" xfId="3" applyNumberFormat="1" applyFont="1" applyFill="1" applyBorder="1" applyAlignment="1" applyProtection="1">
      <alignment horizontal="right" vertical="center" wrapText="1" indent="1"/>
    </xf>
    <xf numFmtId="168" fontId="6" fillId="0" borderId="58" xfId="3" applyNumberFormat="1" applyFont="1" applyFill="1" applyBorder="1" applyAlignment="1" applyProtection="1">
      <alignment horizontal="right" vertical="center" wrapText="1" indent="1"/>
    </xf>
    <xf numFmtId="0" fontId="25" fillId="0" borderId="0" xfId="3" applyFont="1" applyFill="1" applyAlignment="1">
      <alignment vertical="center"/>
    </xf>
    <xf numFmtId="0" fontId="25" fillId="0" borderId="0" xfId="3" applyNumberFormat="1" applyFont="1" applyFill="1" applyBorder="1" applyAlignment="1" applyProtection="1"/>
    <xf numFmtId="168" fontId="7" fillId="0" borderId="2" xfId="3" applyNumberFormat="1" applyFont="1" applyFill="1" applyBorder="1" applyAlignment="1" applyProtection="1">
      <alignment horizontal="right" vertical="center" wrapText="1" indent="1"/>
    </xf>
    <xf numFmtId="168" fontId="7" fillId="0" borderId="4" xfId="3" applyNumberFormat="1" applyFont="1" applyFill="1" applyBorder="1" applyAlignment="1" applyProtection="1">
      <alignment horizontal="right" vertical="center" wrapText="1" indent="1"/>
    </xf>
    <xf numFmtId="168" fontId="5" fillId="0" borderId="28" xfId="5" applyNumberFormat="1" applyFont="1" applyFill="1" applyBorder="1" applyAlignment="1" applyProtection="1">
      <alignment horizontal="right" vertical="center" indent="1"/>
    </xf>
    <xf numFmtId="165" fontId="13" fillId="0" borderId="45" xfId="0" applyNumberFormat="1" applyFont="1" applyFill="1" applyBorder="1" applyAlignment="1">
      <alignment horizontal="right" vertical="center" wrapText="1" indent="1"/>
    </xf>
    <xf numFmtId="165" fontId="13" fillId="0" borderId="2" xfId="0" applyNumberFormat="1" applyFont="1" applyFill="1" applyBorder="1" applyAlignment="1">
      <alignment horizontal="right" vertical="center" wrapText="1" indent="1"/>
    </xf>
    <xf numFmtId="165" fontId="15" fillId="0" borderId="2" xfId="0" applyNumberFormat="1" applyFont="1" applyFill="1" applyBorder="1" applyAlignment="1">
      <alignment horizontal="right" vertical="center" wrapText="1" indent="1"/>
    </xf>
    <xf numFmtId="165" fontId="13" fillId="0" borderId="24" xfId="0" applyNumberFormat="1" applyFont="1" applyFill="1" applyBorder="1" applyAlignment="1">
      <alignment horizontal="right" vertical="center" wrapText="1" indent="1"/>
    </xf>
    <xf numFmtId="165" fontId="4" fillId="0" borderId="30" xfId="0" applyNumberFormat="1" applyFont="1" applyFill="1" applyBorder="1" applyAlignment="1">
      <alignment horizontal="right" vertical="center" wrapText="1" indent="1"/>
    </xf>
    <xf numFmtId="165" fontId="4" fillId="0" borderId="41" xfId="0" applyNumberFormat="1" applyFont="1" applyFill="1" applyBorder="1" applyAlignment="1">
      <alignment horizontal="right" vertical="center" wrapText="1" indent="1"/>
    </xf>
    <xf numFmtId="165" fontId="4" fillId="0" borderId="49" xfId="0" applyNumberFormat="1" applyFont="1" applyFill="1" applyBorder="1" applyAlignment="1">
      <alignment horizontal="right" vertical="center" wrapText="1" indent="1"/>
    </xf>
    <xf numFmtId="0" fontId="3" fillId="0" borderId="0" xfId="0" applyFont="1" applyFill="1" applyAlignment="1">
      <alignment vertical="center"/>
    </xf>
    <xf numFmtId="0" fontId="3" fillId="2" borderId="0" xfId="0" quotePrefix="1" applyNumberFormat="1" applyFont="1" applyFill="1" applyBorder="1" applyAlignment="1" applyProtection="1">
      <alignment vertical="center"/>
    </xf>
    <xf numFmtId="165" fontId="4" fillId="0" borderId="30" xfId="0" quotePrefix="1" applyNumberFormat="1" applyFont="1" applyFill="1" applyBorder="1" applyAlignment="1" applyProtection="1">
      <alignment horizontal="right" vertical="center" wrapText="1" indent="1"/>
    </xf>
    <xf numFmtId="166" fontId="4" fillId="0" borderId="43" xfId="12" applyNumberFormat="1" applyFont="1" applyFill="1" applyBorder="1" applyAlignment="1" applyProtection="1">
      <alignment horizontal="right" vertical="center" wrapText="1" indent="1"/>
    </xf>
    <xf numFmtId="166" fontId="5" fillId="0" borderId="57" xfId="12" applyNumberFormat="1" applyFont="1" applyFill="1" applyBorder="1" applyAlignment="1" applyProtection="1">
      <alignment horizontal="right" vertical="center" wrapText="1" indent="1"/>
    </xf>
    <xf numFmtId="171" fontId="6" fillId="0" borderId="0" xfId="14" applyNumberFormat="1" applyFont="1" applyFill="1"/>
    <xf numFmtId="0" fontId="3" fillId="0" borderId="0" xfId="0" applyFont="1" applyFill="1"/>
    <xf numFmtId="1" fontId="17" fillId="0" borderId="3" xfId="0" applyNumberFormat="1" applyFont="1" applyFill="1" applyBorder="1" applyAlignment="1">
      <alignment horizontal="right" vertical="center" wrapText="1"/>
    </xf>
    <xf numFmtId="168" fontId="17" fillId="0" borderId="2" xfId="0" applyNumberFormat="1" applyFont="1" applyFill="1" applyBorder="1" applyAlignment="1">
      <alignment horizontal="right" vertical="center" wrapText="1"/>
    </xf>
    <xf numFmtId="0" fontId="26" fillId="0" borderId="0" xfId="0" applyFont="1" applyFill="1" applyAlignment="1">
      <alignment horizontal="left"/>
    </xf>
    <xf numFmtId="165" fontId="13" fillId="0" borderId="2" xfId="10" applyNumberFormat="1" applyFont="1" applyFill="1" applyBorder="1" applyAlignment="1" applyProtection="1">
      <alignment horizontal="right" wrapText="1"/>
    </xf>
    <xf numFmtId="165" fontId="13" fillId="0" borderId="4" xfId="10" applyNumberFormat="1" applyFont="1" applyFill="1" applyBorder="1" applyAlignment="1" applyProtection="1">
      <alignment horizontal="right" wrapText="1"/>
    </xf>
    <xf numFmtId="0" fontId="26" fillId="0" borderId="0" xfId="10" applyNumberFormat="1" applyFont="1" applyFill="1" applyBorder="1" applyAlignment="1" applyProtection="1"/>
    <xf numFmtId="3" fontId="4" fillId="0" borderId="39" xfId="10" applyNumberFormat="1" applyFont="1" applyFill="1" applyBorder="1" applyAlignment="1" applyProtection="1">
      <alignment horizontal="right" wrapText="1"/>
    </xf>
    <xf numFmtId="3" fontId="13" fillId="0" borderId="4" xfId="10" applyNumberFormat="1" applyFont="1" applyFill="1" applyBorder="1" applyAlignment="1" applyProtection="1">
      <alignment horizontal="right" wrapText="1"/>
    </xf>
    <xf numFmtId="3" fontId="13" fillId="0" borderId="3" xfId="10" applyNumberFormat="1" applyFont="1" applyFill="1" applyBorder="1" applyAlignment="1" applyProtection="1">
      <alignment horizontal="right" wrapText="1"/>
    </xf>
    <xf numFmtId="3" fontId="13" fillId="0" borderId="40" xfId="10" applyNumberFormat="1" applyFont="1" applyFill="1" applyBorder="1" applyAlignment="1" applyProtection="1">
      <alignment horizontal="right" wrapText="1"/>
    </xf>
    <xf numFmtId="3" fontId="4" fillId="0" borderId="41" xfId="10" applyNumberFormat="1" applyFont="1" applyFill="1" applyBorder="1" applyAlignment="1" applyProtection="1">
      <alignment horizontal="right" wrapText="1"/>
    </xf>
    <xf numFmtId="0" fontId="3" fillId="0" borderId="0" xfId="0" applyFont="1" applyFill="1" applyBorder="1"/>
    <xf numFmtId="0" fontId="3" fillId="0" borderId="0" xfId="13" quotePrefix="1" applyFont="1" applyFill="1" applyAlignment="1">
      <alignment horizontal="left" wrapText="1"/>
    </xf>
    <xf numFmtId="0" fontId="0" fillId="0" borderId="0" xfId="0" applyFill="1" applyAlignment="1">
      <alignment horizontal="left" wrapText="1"/>
    </xf>
    <xf numFmtId="0" fontId="0" fillId="0" borderId="0" xfId="0" applyFill="1" applyAlignment="1">
      <alignment wrapText="1"/>
    </xf>
    <xf numFmtId="0" fontId="5" fillId="2" borderId="49" xfId="13" applyFont="1" applyFill="1" applyBorder="1" applyAlignment="1">
      <alignment horizontal="center"/>
    </xf>
    <xf numFmtId="0" fontId="5" fillId="2" borderId="46" xfId="13" applyFont="1" applyFill="1" applyBorder="1" applyAlignment="1">
      <alignment horizontal="center"/>
    </xf>
    <xf numFmtId="0" fontId="5" fillId="2" borderId="43" xfId="13" applyFont="1" applyFill="1" applyBorder="1" applyAlignment="1">
      <alignment horizontal="center"/>
    </xf>
    <xf numFmtId="0" fontId="6" fillId="2" borderId="4" xfId="13" applyFont="1" applyFill="1" applyBorder="1" applyAlignment="1">
      <alignment horizontal="center" vertical="center" wrapText="1"/>
    </xf>
    <xf numFmtId="0" fontId="6" fillId="0" borderId="4" xfId="13" applyFont="1" applyBorder="1" applyAlignment="1">
      <alignment horizontal="center" vertical="center" wrapText="1"/>
    </xf>
    <xf numFmtId="0" fontId="6" fillId="0" borderId="40" xfId="13" applyFont="1" applyBorder="1" applyAlignment="1">
      <alignment horizontal="center" vertical="center" wrapText="1"/>
    </xf>
    <xf numFmtId="0" fontId="6" fillId="2" borderId="39" xfId="13" applyFont="1" applyFill="1" applyBorder="1" applyAlignment="1">
      <alignment horizontal="center" vertical="center" wrapText="1"/>
    </xf>
    <xf numFmtId="0" fontId="5" fillId="2" borderId="1" xfId="3" applyFont="1" applyFill="1" applyBorder="1" applyAlignment="1">
      <alignment horizontal="center" wrapText="1"/>
    </xf>
    <xf numFmtId="0" fontId="5" fillId="2" borderId="6" xfId="3" applyFont="1" applyFill="1" applyBorder="1" applyAlignment="1">
      <alignment horizontal="center" wrapText="1"/>
    </xf>
    <xf numFmtId="0" fontId="5" fillId="2" borderId="39" xfId="0" applyNumberFormat="1" applyFont="1" applyFill="1" applyBorder="1" applyAlignment="1" applyProtection="1">
      <alignment horizontal="center" vertical="center" wrapText="1"/>
    </xf>
    <xf numFmtId="0" fontId="5" fillId="2" borderId="40" xfId="0" applyNumberFormat="1" applyFont="1" applyFill="1" applyBorder="1" applyAlignment="1" applyProtection="1">
      <alignment horizontal="center" vertical="center" wrapText="1"/>
    </xf>
    <xf numFmtId="0" fontId="12" fillId="2" borderId="8" xfId="3" applyNumberFormat="1" applyFont="1" applyFill="1" applyBorder="1" applyAlignment="1" applyProtection="1">
      <alignment horizontal="center" wrapText="1"/>
    </xf>
    <xf numFmtId="0" fontId="12" fillId="2" borderId="2" xfId="3" applyNumberFormat="1" applyFont="1" applyFill="1" applyBorder="1" applyAlignment="1" applyProtection="1">
      <alignment horizontal="center" wrapText="1"/>
    </xf>
    <xf numFmtId="0" fontId="3" fillId="2" borderId="0" xfId="3" applyFont="1" applyFill="1" applyBorder="1" applyAlignment="1">
      <alignment horizontal="justify" vertical="center"/>
    </xf>
    <xf numFmtId="0" fontId="3" fillId="2" borderId="0" xfId="3" applyFont="1" applyFill="1" applyAlignment="1">
      <alignment vertical="center"/>
    </xf>
    <xf numFmtId="0" fontId="25" fillId="2" borderId="0" xfId="0" applyFont="1" applyFill="1" applyAlignment="1">
      <alignment vertical="center" wrapText="1"/>
    </xf>
    <xf numFmtId="0" fontId="5" fillId="2" borderId="39"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49" xfId="0" applyFont="1" applyFill="1" applyBorder="1" applyAlignment="1">
      <alignment horizontal="center" vertical="center"/>
    </xf>
    <xf numFmtId="0" fontId="5" fillId="2" borderId="46" xfId="0" applyFont="1" applyFill="1" applyBorder="1" applyAlignment="1">
      <alignment horizontal="center" vertical="center"/>
    </xf>
    <xf numFmtId="0" fontId="5" fillId="2" borderId="45" xfId="0" applyFont="1" applyFill="1" applyBorder="1" applyAlignment="1">
      <alignment horizontal="center" vertical="center" wrapText="1"/>
    </xf>
    <xf numFmtId="0" fontId="5" fillId="2" borderId="24" xfId="0" applyFont="1" applyFill="1" applyBorder="1" applyAlignment="1">
      <alignment horizontal="center" vertical="center" wrapText="1"/>
    </xf>
    <xf numFmtId="0" fontId="3" fillId="2" borderId="0" xfId="0" quotePrefix="1" applyNumberFormat="1" applyFont="1" applyFill="1" applyBorder="1" applyAlignment="1" applyProtection="1">
      <alignment wrapText="1"/>
    </xf>
    <xf numFmtId="0" fontId="3" fillId="2" borderId="0" xfId="0" applyNumberFormat="1" applyFont="1" applyFill="1" applyBorder="1" applyAlignment="1" applyProtection="1">
      <alignment wrapText="1"/>
    </xf>
    <xf numFmtId="0" fontId="5" fillId="2" borderId="35" xfId="0" applyNumberFormat="1" applyFont="1" applyFill="1" applyBorder="1" applyAlignment="1" applyProtection="1">
      <alignment horizontal="center" vertical="center" wrapText="1"/>
    </xf>
    <xf numFmtId="0" fontId="5" fillId="2" borderId="26" xfId="0" applyNumberFormat="1" applyFont="1" applyFill="1" applyBorder="1" applyAlignment="1" applyProtection="1">
      <alignment horizontal="center" vertical="center" wrapText="1"/>
    </xf>
    <xf numFmtId="0" fontId="6" fillId="2" borderId="28" xfId="0" applyNumberFormat="1" applyFont="1" applyFill="1" applyBorder="1" applyAlignment="1" applyProtection="1">
      <alignment horizontal="center" vertical="center" wrapText="1"/>
    </xf>
    <xf numFmtId="0" fontId="3" fillId="0" borderId="0" xfId="8" applyFont="1" applyFill="1" applyAlignment="1">
      <alignment wrapText="1"/>
    </xf>
    <xf numFmtId="0" fontId="6" fillId="0" borderId="0" xfId="0" applyFont="1" applyFill="1" applyAlignment="1"/>
    <xf numFmtId="0" fontId="3" fillId="0" borderId="0" xfId="8" applyFont="1" applyFill="1" applyAlignment="1">
      <alignment horizontal="left" wrapText="1"/>
    </xf>
    <xf numFmtId="0" fontId="17" fillId="2" borderId="45" xfId="0" applyFont="1" applyFill="1" applyBorder="1" applyAlignment="1">
      <alignment horizontal="left" vertical="top" wrapText="1"/>
    </xf>
    <xf numFmtId="0" fontId="17" fillId="2" borderId="24" xfId="0" applyFont="1" applyFill="1" applyBorder="1" applyAlignment="1">
      <alignment horizontal="left" vertical="top" wrapText="1"/>
    </xf>
    <xf numFmtId="0" fontId="16" fillId="2" borderId="49" xfId="0" applyFont="1" applyFill="1" applyBorder="1" applyAlignment="1">
      <alignment horizontal="center" vertical="center" wrapText="1"/>
    </xf>
    <xf numFmtId="0" fontId="16" fillId="2" borderId="43" xfId="0" applyFont="1" applyFill="1" applyBorder="1" applyAlignment="1">
      <alignment horizontal="center" vertical="center" wrapText="1"/>
    </xf>
    <xf numFmtId="0" fontId="4" fillId="2" borderId="49" xfId="0" applyFont="1" applyFill="1" applyBorder="1" applyAlignment="1">
      <alignment horizontal="center" vertical="center" wrapText="1"/>
    </xf>
    <xf numFmtId="0" fontId="5" fillId="0" borderId="59" xfId="3" applyFont="1" applyFill="1" applyBorder="1" applyAlignment="1">
      <alignment horizontal="center" vertical="center"/>
    </xf>
    <xf numFmtId="0" fontId="5" fillId="0" borderId="59" xfId="0" applyFont="1" applyFill="1" applyBorder="1" applyAlignment="1">
      <alignment horizontal="center" vertical="center" wrapText="1"/>
    </xf>
    <xf numFmtId="0" fontId="6" fillId="2" borderId="59" xfId="13" applyFont="1" applyFill="1" applyBorder="1" applyAlignment="1">
      <alignment horizontal="center" vertical="center" wrapText="1"/>
    </xf>
  </cellXfs>
  <cellStyles count="15">
    <cellStyle name="Lien hypertexte" xfId="4" builtinId="8"/>
    <cellStyle name="Milliers 2" xfId="2" xr:uid="{00000000-0005-0000-0000-000001000000}"/>
    <cellStyle name="Milliers 3" xfId="5" xr:uid="{00000000-0005-0000-0000-000002000000}"/>
    <cellStyle name="Milliers 4" xfId="7" xr:uid="{00000000-0005-0000-0000-000003000000}"/>
    <cellStyle name="Motif" xfId="8" xr:uid="{00000000-0005-0000-0000-000004000000}"/>
    <cellStyle name="Normal" xfId="0" builtinId="0"/>
    <cellStyle name="Normal 2" xfId="1" xr:uid="{00000000-0005-0000-0000-000006000000}"/>
    <cellStyle name="Normal 3" xfId="3" xr:uid="{00000000-0005-0000-0000-000007000000}"/>
    <cellStyle name="Normal 4" xfId="10" xr:uid="{00000000-0005-0000-0000-000008000000}"/>
    <cellStyle name="Normal 5" xfId="13" xr:uid="{00000000-0005-0000-0000-000009000000}"/>
    <cellStyle name="Normal_FT2-3-PCS-et-filieres" xfId="9" xr:uid="{00000000-0005-0000-0000-00000A000000}"/>
    <cellStyle name="Normal_rapport 2004" xfId="11" xr:uid="{00000000-0005-0000-0000-00000B000000}"/>
    <cellStyle name="Pourcentage" xfId="14" builtinId="5"/>
    <cellStyle name="Pourcentage 2" xfId="6" xr:uid="{00000000-0005-0000-0000-00000C000000}"/>
    <cellStyle name="Pourcentage 3" xfId="12" xr:uid="{00000000-0005-0000-0000-00000D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9"/>
  <sheetViews>
    <sheetView showGridLines="0" tabSelected="1" zoomScaleNormal="100" workbookViewId="0"/>
  </sheetViews>
  <sheetFormatPr baseColWidth="10" defaultRowHeight="12.75" x14ac:dyDescent="0.2"/>
  <cols>
    <col min="1" max="1" width="106.5703125" bestFit="1" customWidth="1"/>
    <col min="2" max="2" width="17.28515625" customWidth="1"/>
    <col min="3" max="3" width="24.42578125" style="131" customWidth="1"/>
  </cols>
  <sheetData>
    <row r="1" spans="1:4" s="10" customFormat="1" x14ac:dyDescent="0.2">
      <c r="A1" s="8" t="s">
        <v>288</v>
      </c>
      <c r="B1" s="9"/>
      <c r="C1" s="128"/>
    </row>
    <row r="2" spans="1:4" s="10" customFormat="1" x14ac:dyDescent="0.2">
      <c r="A2" s="8"/>
      <c r="B2" s="9"/>
      <c r="C2" s="128"/>
    </row>
    <row r="3" spans="1:4" s="11" customFormat="1" ht="51" x14ac:dyDescent="0.2">
      <c r="A3" s="8" t="s">
        <v>196</v>
      </c>
      <c r="B3" s="127" t="s">
        <v>202</v>
      </c>
      <c r="C3" s="129" t="s">
        <v>216</v>
      </c>
      <c r="D3" s="307" t="s">
        <v>241</v>
      </c>
    </row>
    <row r="4" spans="1:4" s="11" customFormat="1" ht="16.5" customHeight="1" x14ac:dyDescent="0.2">
      <c r="A4" s="12" t="s">
        <v>210</v>
      </c>
      <c r="B4" s="105" t="s">
        <v>183</v>
      </c>
      <c r="C4" s="129"/>
      <c r="D4" s="308"/>
    </row>
    <row r="5" spans="1:4" ht="16.5" customHeight="1" x14ac:dyDescent="0.2">
      <c r="A5" s="12" t="s">
        <v>226</v>
      </c>
      <c r="B5" s="69" t="s">
        <v>184</v>
      </c>
      <c r="C5" s="130"/>
      <c r="D5" s="308"/>
    </row>
    <row r="6" spans="1:4" ht="16.5" customHeight="1" x14ac:dyDescent="0.2">
      <c r="A6" s="12" t="s">
        <v>30</v>
      </c>
      <c r="B6" s="69" t="s">
        <v>185</v>
      </c>
      <c r="C6" s="130"/>
      <c r="D6" s="319" t="s">
        <v>217</v>
      </c>
    </row>
    <row r="7" spans="1:4" ht="16.5" customHeight="1" x14ac:dyDescent="0.2">
      <c r="A7" s="12" t="s">
        <v>222</v>
      </c>
      <c r="B7" s="69" t="s">
        <v>191</v>
      </c>
      <c r="C7" s="130"/>
      <c r="D7" s="319"/>
    </row>
    <row r="8" spans="1:4" ht="16.5" customHeight="1" x14ac:dyDescent="0.2">
      <c r="A8" s="92" t="s">
        <v>29</v>
      </c>
      <c r="B8" s="69" t="s">
        <v>213</v>
      </c>
      <c r="C8" s="130"/>
      <c r="D8" s="308"/>
    </row>
    <row r="9" spans="1:4" x14ac:dyDescent="0.2">
      <c r="A9" s="93"/>
      <c r="B9" s="95"/>
    </row>
    <row r="10" spans="1:4" x14ac:dyDescent="0.2">
      <c r="B10" s="96"/>
    </row>
    <row r="11" spans="1:4" ht="51" x14ac:dyDescent="0.2">
      <c r="A11" s="8" t="s">
        <v>197</v>
      </c>
      <c r="B11" s="127" t="s">
        <v>202</v>
      </c>
      <c r="C11" s="129" t="s">
        <v>216</v>
      </c>
      <c r="D11" s="307" t="s">
        <v>241</v>
      </c>
    </row>
    <row r="12" spans="1:4" ht="14.25" customHeight="1" x14ac:dyDescent="0.2">
      <c r="A12" s="12" t="s">
        <v>272</v>
      </c>
      <c r="B12" s="70" t="s">
        <v>186</v>
      </c>
      <c r="C12" s="130" t="s">
        <v>217</v>
      </c>
      <c r="D12" s="308"/>
    </row>
    <row r="13" spans="1:4" ht="14.25" customHeight="1" x14ac:dyDescent="0.2">
      <c r="A13" s="92" t="s">
        <v>218</v>
      </c>
      <c r="B13" s="94" t="s">
        <v>194</v>
      </c>
      <c r="C13" s="130"/>
      <c r="D13" s="309"/>
    </row>
    <row r="14" spans="1:4" x14ac:dyDescent="0.2">
      <c r="A14" s="93"/>
      <c r="B14" s="95"/>
      <c r="D14" s="310"/>
    </row>
    <row r="15" spans="1:4" x14ac:dyDescent="0.2">
      <c r="B15" s="96"/>
    </row>
    <row r="16" spans="1:4" ht="51" x14ac:dyDescent="0.2">
      <c r="A16" s="8" t="s">
        <v>198</v>
      </c>
      <c r="B16" s="127" t="s">
        <v>202</v>
      </c>
      <c r="C16" s="129" t="s">
        <v>216</v>
      </c>
      <c r="D16" s="307" t="s">
        <v>241</v>
      </c>
    </row>
    <row r="17" spans="1:4" ht="15.75" customHeight="1" x14ac:dyDescent="0.2">
      <c r="A17" s="68" t="s">
        <v>238</v>
      </c>
      <c r="B17" s="71" t="s">
        <v>187</v>
      </c>
      <c r="C17" s="130"/>
      <c r="D17" s="308"/>
    </row>
    <row r="18" spans="1:4" ht="15.75" customHeight="1" x14ac:dyDescent="0.2">
      <c r="A18" s="68" t="s">
        <v>237</v>
      </c>
      <c r="B18" s="71" t="s">
        <v>188</v>
      </c>
      <c r="C18" s="130"/>
      <c r="D18" s="319" t="s">
        <v>217</v>
      </c>
    </row>
    <row r="19" spans="1:4" ht="15.75" customHeight="1" x14ac:dyDescent="0.2">
      <c r="A19" s="68" t="s">
        <v>280</v>
      </c>
      <c r="B19" s="71" t="s">
        <v>189</v>
      </c>
      <c r="C19" s="130"/>
      <c r="D19" s="308"/>
    </row>
  </sheetData>
  <hyperlinks>
    <hyperlink ref="A7" location="'Figure 4 statut'!A1" display="Effectifs des ministères par statut au 31 décembre" xr:uid="{00000000-0004-0000-0000-000000000000}"/>
    <hyperlink ref="A8" location="'Figure 5 statut'!A1" display="Effectifs des fonctionnaires des ministères au 31 décembre" xr:uid="{00000000-0004-0000-0000-000001000000}"/>
    <hyperlink ref="A12" location="'Figure 1 catégorie'!A1" display="Effectifs physiques par catégorie socioprofessionnelle et catégorie hiérarchique parmi les fonctionnaires des ministères" xr:uid="{00000000-0004-0000-0000-000002000000}"/>
    <hyperlink ref="A17" location="'Figure 1 loc'!A1" display="Effectifs physiques (hors militaires) par département de fonction dans  la fonction publique de l'État depuis 2011" xr:uid="{00000000-0004-0000-0000-000003000000}"/>
    <hyperlink ref="A19" location="'Figure 3 loc'!A1" display="Effectifs physiques des agents civils des ministères par région et ministère au 31 décembre 2021" xr:uid="{00000000-0004-0000-0000-000004000000}"/>
    <hyperlink ref="A18" location="'Figure 2 loc'!A1" display="Taux d'administration par département de fonction dans la fonction publique de l'État depuis 2011" xr:uid="{00000000-0004-0000-0000-000005000000}"/>
    <hyperlink ref="A13" location="'Figure 2 catégorie'!A1" display="Effectifs physiques par ministère et catégories au 31 décembre 2021" xr:uid="{00000000-0004-0000-0000-000006000000}"/>
    <hyperlink ref="A4" location="'Figure 1 statut'!A1" display="Effectifs par statut et par catégorie selon la nature de l'employeur au 31 décembre" xr:uid="{00000000-0004-0000-0000-000007000000}"/>
    <hyperlink ref="A6" location="'Figure 3 statut'!A1" display="Effectifs dans les ministères par statut au 31 décembre" xr:uid="{00000000-0004-0000-0000-000009000000}"/>
    <hyperlink ref="A5" location="'Figure 2 statut'!A1" display="Effectifs physiques au 31 décembre des agents des ministères par statut" xr:uid="{00000000-0004-0000-0000-00000A000000}"/>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9A215-4645-448A-8CFD-09B47A1D4E4A}">
  <dimension ref="A1:A7"/>
  <sheetViews>
    <sheetView showGridLines="0" zoomScaleNormal="100" workbookViewId="0"/>
  </sheetViews>
  <sheetFormatPr baseColWidth="10" defaultRowHeight="12.75" x14ac:dyDescent="0.2"/>
  <cols>
    <col min="1" max="1" width="108.140625" customWidth="1"/>
  </cols>
  <sheetData>
    <row r="1" spans="1:1" ht="30" customHeight="1" x14ac:dyDescent="0.2">
      <c r="A1" s="311" t="s">
        <v>220</v>
      </c>
    </row>
    <row r="2" spans="1:1" ht="60" x14ac:dyDescent="0.2">
      <c r="A2" s="325" t="s">
        <v>289</v>
      </c>
    </row>
    <row r="3" spans="1:1" ht="90" x14ac:dyDescent="0.2">
      <c r="A3" s="325" t="s">
        <v>290</v>
      </c>
    </row>
    <row r="4" spans="1:1" ht="45" x14ac:dyDescent="0.2">
      <c r="A4" s="325" t="s">
        <v>291</v>
      </c>
    </row>
    <row r="5" spans="1:1" ht="30" x14ac:dyDescent="0.2">
      <c r="A5" s="325" t="s">
        <v>261</v>
      </c>
    </row>
    <row r="6" spans="1:1" ht="45" x14ac:dyDescent="0.2">
      <c r="A6" s="337" t="s">
        <v>292</v>
      </c>
    </row>
    <row r="7" spans="1:1" ht="32.25" customHeight="1" x14ac:dyDescent="0.2">
      <c r="A7" s="325"/>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3"/>
  <sheetViews>
    <sheetView showGridLines="0" zoomScaleNormal="100" workbookViewId="0"/>
  </sheetViews>
  <sheetFormatPr baseColWidth="10" defaultRowHeight="12.75" x14ac:dyDescent="0.2"/>
  <cols>
    <col min="1" max="1" width="11.42578125" style="98"/>
    <col min="2" max="2" width="24.140625" style="98" customWidth="1"/>
    <col min="3" max="16384" width="11.42578125" style="98"/>
  </cols>
  <sheetData>
    <row r="1" spans="1:9" x14ac:dyDescent="0.2">
      <c r="A1" s="104" t="s">
        <v>210</v>
      </c>
      <c r="B1" s="99"/>
      <c r="C1" s="99"/>
      <c r="D1" s="99"/>
      <c r="E1" s="99"/>
      <c r="F1" s="99"/>
      <c r="G1" s="99"/>
      <c r="H1" s="99"/>
    </row>
    <row r="2" spans="1:9" x14ac:dyDescent="0.2">
      <c r="A2" s="99" t="s">
        <v>28</v>
      </c>
      <c r="B2" s="99"/>
      <c r="C2" s="99"/>
      <c r="D2" s="99"/>
      <c r="E2" s="99"/>
      <c r="F2" s="99"/>
      <c r="G2" s="99"/>
      <c r="H2" s="99"/>
    </row>
    <row r="3" spans="1:9" x14ac:dyDescent="0.2">
      <c r="A3" s="107"/>
      <c r="B3" s="186"/>
      <c r="C3" s="418">
        <v>2024</v>
      </c>
      <c r="D3" s="419"/>
      <c r="E3" s="419"/>
      <c r="F3" s="419"/>
      <c r="G3" s="184"/>
      <c r="H3" s="419" t="s">
        <v>262</v>
      </c>
      <c r="I3" s="420"/>
    </row>
    <row r="4" spans="1:9" ht="25.5" x14ac:dyDescent="0.2">
      <c r="A4" s="108"/>
      <c r="B4" s="185"/>
      <c r="C4" s="455" t="s">
        <v>3</v>
      </c>
      <c r="D4" s="455" t="s">
        <v>4</v>
      </c>
      <c r="E4" s="455" t="s">
        <v>5</v>
      </c>
      <c r="F4" s="197" t="s">
        <v>221</v>
      </c>
      <c r="G4" s="103" t="s">
        <v>7</v>
      </c>
      <c r="H4" s="144" t="s">
        <v>212</v>
      </c>
      <c r="I4" s="145" t="s">
        <v>211</v>
      </c>
    </row>
    <row r="5" spans="1:9" x14ac:dyDescent="0.2">
      <c r="A5" s="424" t="s">
        <v>205</v>
      </c>
      <c r="B5" s="102" t="s">
        <v>8</v>
      </c>
      <c r="C5" s="153">
        <v>897.26400000000001</v>
      </c>
      <c r="D5" s="153">
        <v>278.041</v>
      </c>
      <c r="E5" s="153">
        <v>123.669</v>
      </c>
      <c r="F5" s="198">
        <v>2.2149999999999999</v>
      </c>
      <c r="G5" s="152">
        <v>1301.1890000000001</v>
      </c>
      <c r="H5" s="147">
        <v>0.31200000000012601</v>
      </c>
      <c r="I5" s="146">
        <v>0</v>
      </c>
    </row>
    <row r="6" spans="1:9" ht="14.25" x14ac:dyDescent="0.2">
      <c r="A6" s="422"/>
      <c r="B6" s="101" t="s">
        <v>256</v>
      </c>
      <c r="C6" s="153">
        <v>82.822000000000003</v>
      </c>
      <c r="D6" s="153">
        <v>18.670000000000002</v>
      </c>
      <c r="E6" s="153">
        <v>151.00700000000001</v>
      </c>
      <c r="F6" s="198">
        <v>32.526000000000003</v>
      </c>
      <c r="G6" s="154">
        <v>285.02499999999998</v>
      </c>
      <c r="H6" s="149">
        <v>47</v>
      </c>
      <c r="I6" s="148">
        <v>19.7</v>
      </c>
    </row>
    <row r="7" spans="1:9" x14ac:dyDescent="0.2">
      <c r="A7" s="422"/>
      <c r="B7" s="101" t="s">
        <v>207</v>
      </c>
      <c r="C7" s="291">
        <v>38.478999999999999</v>
      </c>
      <c r="D7" s="291">
        <v>174.59100000000001</v>
      </c>
      <c r="E7" s="291">
        <v>97.363</v>
      </c>
      <c r="F7" s="198">
        <v>8.9999999999999993E-3</v>
      </c>
      <c r="G7" s="154">
        <v>310.44200000000001</v>
      </c>
      <c r="H7" s="149">
        <v>1.9580000000000299</v>
      </c>
      <c r="I7" s="148">
        <v>0.6</v>
      </c>
    </row>
    <row r="8" spans="1:9" x14ac:dyDescent="0.2">
      <c r="A8" s="422"/>
      <c r="B8" s="101" t="s">
        <v>208</v>
      </c>
      <c r="C8" s="153">
        <v>139.52799999999999</v>
      </c>
      <c r="D8" s="153">
        <v>3.415</v>
      </c>
      <c r="E8" s="153">
        <v>18.943000000000001</v>
      </c>
      <c r="F8" s="198">
        <v>1.2999999999999999E-2</v>
      </c>
      <c r="G8" s="154">
        <v>161.899</v>
      </c>
      <c r="H8" s="149">
        <v>0.103000000000009</v>
      </c>
      <c r="I8" s="148">
        <v>0.1</v>
      </c>
    </row>
    <row r="9" spans="1:9" x14ac:dyDescent="0.2">
      <c r="A9" s="423"/>
      <c r="B9" s="100" t="s">
        <v>209</v>
      </c>
      <c r="C9" s="155">
        <v>1158.0930000000001</v>
      </c>
      <c r="D9" s="155">
        <v>474.71699999999998</v>
      </c>
      <c r="E9" s="155">
        <v>390.98200000000003</v>
      </c>
      <c r="F9" s="199">
        <v>34.762999999999998</v>
      </c>
      <c r="G9" s="371">
        <v>2058.5549999999998</v>
      </c>
      <c r="H9" s="370">
        <v>49.372999999999799</v>
      </c>
      <c r="I9" s="369">
        <v>2.5</v>
      </c>
    </row>
    <row r="10" spans="1:9" x14ac:dyDescent="0.2">
      <c r="A10" s="424" t="s">
        <v>206</v>
      </c>
      <c r="B10" s="102" t="s">
        <v>8</v>
      </c>
      <c r="C10" s="151">
        <v>136.29599999999999</v>
      </c>
      <c r="D10" s="151">
        <v>34.951999999999998</v>
      </c>
      <c r="E10" s="151">
        <v>28.207000000000001</v>
      </c>
      <c r="F10" s="200">
        <v>1.0920000000000001</v>
      </c>
      <c r="G10" s="152">
        <v>200.547</v>
      </c>
      <c r="H10" s="147">
        <v>-2.0980000000000101</v>
      </c>
      <c r="I10" s="146">
        <v>-1</v>
      </c>
    </row>
    <row r="11" spans="1:9" ht="14.25" x14ac:dyDescent="0.2">
      <c r="A11" s="422"/>
      <c r="B11" s="101" t="s">
        <v>256</v>
      </c>
      <c r="C11" s="153">
        <v>113.913</v>
      </c>
      <c r="D11" s="153">
        <v>125.136</v>
      </c>
      <c r="E11" s="153">
        <v>41.863999999999997</v>
      </c>
      <c r="F11" s="198">
        <v>32.085000000000001</v>
      </c>
      <c r="G11" s="154">
        <v>312.99799999999999</v>
      </c>
      <c r="H11" s="149">
        <v>-26.39</v>
      </c>
      <c r="I11" s="148">
        <v>-7.8</v>
      </c>
    </row>
    <row r="12" spans="1:9" x14ac:dyDescent="0.2">
      <c r="A12" s="422"/>
      <c r="B12" s="101" t="s">
        <v>207</v>
      </c>
      <c r="C12" s="153">
        <v>0.12</v>
      </c>
      <c r="D12" s="153">
        <v>1.89</v>
      </c>
      <c r="E12" s="153">
        <v>0.4</v>
      </c>
      <c r="F12" s="198">
        <v>2E-3</v>
      </c>
      <c r="G12" s="154">
        <v>2.4119999999999999</v>
      </c>
      <c r="H12" s="149">
        <v>-5.6000000000000001E-2</v>
      </c>
      <c r="I12" s="148">
        <v>-2.2999999999999998</v>
      </c>
    </row>
    <row r="13" spans="1:9" x14ac:dyDescent="0.2">
      <c r="A13" s="422"/>
      <c r="B13" s="101" t="s">
        <v>208</v>
      </c>
      <c r="C13" s="153">
        <v>2.0760000000000001</v>
      </c>
      <c r="D13" s="153">
        <v>0.53400000000000003</v>
      </c>
      <c r="E13" s="153">
        <v>4.7229999999999999</v>
      </c>
      <c r="F13" s="198">
        <v>2.5000000000000001E-2</v>
      </c>
      <c r="G13" s="154">
        <v>7.3579999999999997</v>
      </c>
      <c r="H13" s="149">
        <v>0.22500000000000001</v>
      </c>
      <c r="I13" s="148">
        <v>3.2</v>
      </c>
    </row>
    <row r="14" spans="1:9" x14ac:dyDescent="0.2">
      <c r="A14" s="423"/>
      <c r="B14" s="100" t="s">
        <v>209</v>
      </c>
      <c r="C14" s="155">
        <v>252.405</v>
      </c>
      <c r="D14" s="155">
        <v>162.512</v>
      </c>
      <c r="E14" s="155">
        <v>75.194000000000003</v>
      </c>
      <c r="F14" s="199">
        <v>33.204000000000001</v>
      </c>
      <c r="G14" s="371">
        <v>523.31500000000005</v>
      </c>
      <c r="H14" s="372">
        <v>-28.318999999999999</v>
      </c>
      <c r="I14" s="373">
        <v>-5.0999999999999996</v>
      </c>
    </row>
    <row r="15" spans="1:9" x14ac:dyDescent="0.2">
      <c r="A15" s="421" t="s">
        <v>204</v>
      </c>
      <c r="B15" s="102" t="s">
        <v>8</v>
      </c>
      <c r="C15" s="153">
        <v>1033.56</v>
      </c>
      <c r="D15" s="153">
        <v>312.99299999999999</v>
      </c>
      <c r="E15" s="153">
        <v>151.876</v>
      </c>
      <c r="F15" s="198">
        <v>3.3069999999999999</v>
      </c>
      <c r="G15" s="154">
        <v>1501.7360000000001</v>
      </c>
      <c r="H15" s="149">
        <v>-1.7859999999998299</v>
      </c>
      <c r="I15" s="374">
        <v>-0.1</v>
      </c>
    </row>
    <row r="16" spans="1:9" x14ac:dyDescent="0.2">
      <c r="A16" s="422"/>
      <c r="B16" s="101" t="s">
        <v>9</v>
      </c>
      <c r="C16" s="153">
        <v>196.73500000000001</v>
      </c>
      <c r="D16" s="153">
        <v>143.80600000000001</v>
      </c>
      <c r="E16" s="153">
        <v>192.87100000000001</v>
      </c>
      <c r="F16" s="198">
        <v>64.611000000000004</v>
      </c>
      <c r="G16" s="154">
        <v>598.02300000000002</v>
      </c>
      <c r="H16" s="149">
        <v>20.61</v>
      </c>
      <c r="I16" s="374">
        <v>3.6</v>
      </c>
    </row>
    <row r="17" spans="1:9" x14ac:dyDescent="0.2">
      <c r="A17" s="422"/>
      <c r="B17" s="101" t="s">
        <v>207</v>
      </c>
      <c r="C17" s="291">
        <v>38.598999999999997</v>
      </c>
      <c r="D17" s="291">
        <v>176.48099999999999</v>
      </c>
      <c r="E17" s="291">
        <v>97.763000000000005</v>
      </c>
      <c r="F17" s="198">
        <v>1.0999999999999999E-2</v>
      </c>
      <c r="G17" s="154">
        <v>312.85399999999998</v>
      </c>
      <c r="H17" s="149">
        <v>1.9019999999999899</v>
      </c>
      <c r="I17" s="374">
        <v>0.6</v>
      </c>
    </row>
    <row r="18" spans="1:9" x14ac:dyDescent="0.2">
      <c r="A18" s="422"/>
      <c r="B18" s="101" t="s">
        <v>208</v>
      </c>
      <c r="C18" s="153">
        <v>141.60400000000001</v>
      </c>
      <c r="D18" s="153">
        <v>3.9489999999999998</v>
      </c>
      <c r="E18" s="153">
        <v>23.666</v>
      </c>
      <c r="F18" s="198">
        <v>3.7999999999999999E-2</v>
      </c>
      <c r="G18" s="154">
        <v>169.25700000000001</v>
      </c>
      <c r="H18" s="149">
        <v>0.32800000000000301</v>
      </c>
      <c r="I18" s="374">
        <v>0.2</v>
      </c>
    </row>
    <row r="19" spans="1:9" x14ac:dyDescent="0.2">
      <c r="A19" s="423"/>
      <c r="B19" s="100" t="s">
        <v>209</v>
      </c>
      <c r="C19" s="155">
        <v>1410.498</v>
      </c>
      <c r="D19" s="155">
        <v>637.22900000000004</v>
      </c>
      <c r="E19" s="155">
        <v>466.17599999999999</v>
      </c>
      <c r="F19" s="199">
        <v>67.966999999999999</v>
      </c>
      <c r="G19" s="371">
        <v>2581.87</v>
      </c>
      <c r="H19" s="150">
        <v>21.054000000000102</v>
      </c>
      <c r="I19" s="373">
        <v>0.8</v>
      </c>
    </row>
    <row r="20" spans="1:9" x14ac:dyDescent="0.2">
      <c r="A20" s="109" t="s">
        <v>10</v>
      </c>
    </row>
    <row r="21" spans="1:9" x14ac:dyDescent="0.2">
      <c r="A21" s="109" t="s">
        <v>20</v>
      </c>
    </row>
    <row r="22" spans="1:9" ht="46.5" customHeight="1" x14ac:dyDescent="0.2">
      <c r="A22" s="415" t="s">
        <v>257</v>
      </c>
      <c r="B22" s="416"/>
      <c r="C22" s="416"/>
      <c r="D22" s="416"/>
      <c r="E22" s="416"/>
      <c r="F22" s="416"/>
      <c r="G22" s="417"/>
      <c r="H22" s="417"/>
      <c r="I22" s="417"/>
    </row>
    <row r="23" spans="1:9" x14ac:dyDescent="0.2">
      <c r="A23" s="375" t="s">
        <v>263</v>
      </c>
    </row>
  </sheetData>
  <mergeCells count="6">
    <mergeCell ref="A22:I22"/>
    <mergeCell ref="C3:F3"/>
    <mergeCell ref="H3:I3"/>
    <mergeCell ref="A15:A19"/>
    <mergeCell ref="A10:A14"/>
    <mergeCell ref="A5:A9"/>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31"/>
  <sheetViews>
    <sheetView showGridLines="0" zoomScaleNormal="100" workbookViewId="0"/>
  </sheetViews>
  <sheetFormatPr baseColWidth="10" defaultColWidth="11.42578125" defaultRowHeight="12.75" x14ac:dyDescent="0.2"/>
  <cols>
    <col min="1" max="1" width="49.42578125" style="2" customWidth="1"/>
    <col min="2" max="6" width="13.85546875" style="2" customWidth="1"/>
    <col min="7" max="7" width="13.85546875" style="3" customWidth="1"/>
    <col min="8" max="8" width="12.28515625" style="2" customWidth="1"/>
    <col min="9" max="16384" width="11.42578125" style="2"/>
  </cols>
  <sheetData>
    <row r="1" spans="1:10" x14ac:dyDescent="0.2">
      <c r="A1" s="187" t="s">
        <v>226</v>
      </c>
      <c r="B1" s="15"/>
      <c r="C1" s="15"/>
      <c r="D1" s="15"/>
      <c r="E1" s="15"/>
      <c r="F1" s="15"/>
      <c r="G1" s="15"/>
    </row>
    <row r="2" spans="1:10" x14ac:dyDescent="0.2">
      <c r="A2" s="16" t="s">
        <v>28</v>
      </c>
      <c r="B2" s="15"/>
      <c r="C2" s="15"/>
      <c r="D2" s="15"/>
      <c r="E2" s="15"/>
      <c r="F2" s="15"/>
      <c r="G2" s="15"/>
    </row>
    <row r="3" spans="1:10" ht="12.75" customHeight="1" x14ac:dyDescent="0.2">
      <c r="A3" s="429" t="s">
        <v>0</v>
      </c>
      <c r="B3" s="425">
        <v>2024</v>
      </c>
      <c r="C3" s="426"/>
      <c r="D3" s="426"/>
      <c r="E3" s="426"/>
      <c r="F3" s="426"/>
      <c r="G3" s="290">
        <v>2023</v>
      </c>
      <c r="H3" s="427" t="s">
        <v>264</v>
      </c>
      <c r="I3" s="203"/>
    </row>
    <row r="4" spans="1:10" ht="47.25" customHeight="1" x14ac:dyDescent="0.2">
      <c r="A4" s="430"/>
      <c r="B4" s="191" t="s">
        <v>8</v>
      </c>
      <c r="C4" s="191" t="s">
        <v>9</v>
      </c>
      <c r="D4" s="191" t="s">
        <v>6</v>
      </c>
      <c r="E4" s="191" t="s">
        <v>22</v>
      </c>
      <c r="F4" s="202" t="s">
        <v>1</v>
      </c>
      <c r="G4" s="192" t="s">
        <v>7</v>
      </c>
      <c r="H4" s="428"/>
    </row>
    <row r="5" spans="1:10" x14ac:dyDescent="0.2">
      <c r="A5" s="21" t="s">
        <v>199</v>
      </c>
      <c r="B5" s="270">
        <v>22.114000000000001</v>
      </c>
      <c r="C5" s="270">
        <v>18.664000000000001</v>
      </c>
      <c r="D5" s="270">
        <v>1.4E-2</v>
      </c>
      <c r="E5" s="270">
        <v>5.2329999999999997</v>
      </c>
      <c r="F5" s="376">
        <v>46.024999999999999</v>
      </c>
      <c r="G5" s="270">
        <v>45.506999999999998</v>
      </c>
      <c r="H5" s="383">
        <v>1.1000000000000001</v>
      </c>
      <c r="I5" s="326"/>
      <c r="J5" s="182"/>
    </row>
    <row r="6" spans="1:10" x14ac:dyDescent="0.2">
      <c r="A6" s="6" t="s">
        <v>14</v>
      </c>
      <c r="B6" s="271">
        <v>39.534999999999997</v>
      </c>
      <c r="C6" s="271">
        <v>19.367999999999999</v>
      </c>
      <c r="D6" s="271">
        <v>213.28</v>
      </c>
      <c r="E6" s="271">
        <v>15.484</v>
      </c>
      <c r="F6" s="377">
        <v>287.66699999999997</v>
      </c>
      <c r="G6" s="271">
        <v>284.54399999999998</v>
      </c>
      <c r="H6" s="382">
        <v>1.1000000000000001</v>
      </c>
      <c r="I6" s="326"/>
      <c r="J6" s="182"/>
    </row>
    <row r="7" spans="1:10" x14ac:dyDescent="0.2">
      <c r="A7" s="6" t="s">
        <v>15</v>
      </c>
      <c r="B7" s="271">
        <v>12.042999999999999</v>
      </c>
      <c r="C7" s="271">
        <v>13.305</v>
      </c>
      <c r="D7" s="271">
        <v>4.0000000000000001E-3</v>
      </c>
      <c r="E7" s="271">
        <v>0.42199999999999999</v>
      </c>
      <c r="F7" s="377">
        <v>25.774000000000001</v>
      </c>
      <c r="G7" s="271">
        <v>25.792999999999999</v>
      </c>
      <c r="H7" s="382">
        <v>-0.1</v>
      </c>
      <c r="I7" s="326"/>
      <c r="J7" s="182"/>
    </row>
    <row r="8" spans="1:10" x14ac:dyDescent="0.2">
      <c r="A8" s="6" t="s">
        <v>12</v>
      </c>
      <c r="B8" s="271">
        <v>123.009</v>
      </c>
      <c r="C8" s="271">
        <v>17.920999999999999</v>
      </c>
      <c r="D8" s="271">
        <v>6.5000000000000002E-2</v>
      </c>
      <c r="E8" s="271">
        <v>2.2109999999999999</v>
      </c>
      <c r="F8" s="377">
        <v>143.20599999999999</v>
      </c>
      <c r="G8" s="271">
        <v>141.88300000000001</v>
      </c>
      <c r="H8" s="382">
        <v>0.9</v>
      </c>
      <c r="I8" s="326"/>
      <c r="J8" s="182"/>
    </row>
    <row r="9" spans="1:10" ht="24" customHeight="1" x14ac:dyDescent="0.2">
      <c r="A9" s="6" t="s">
        <v>173</v>
      </c>
      <c r="B9" s="271">
        <v>964.29100000000005</v>
      </c>
      <c r="C9" s="271">
        <v>400.07</v>
      </c>
      <c r="D9" s="271">
        <v>9.9000000000000005E-2</v>
      </c>
      <c r="E9" s="271">
        <v>136.64099999999999</v>
      </c>
      <c r="F9" s="377">
        <v>1501.1010000000001</v>
      </c>
      <c r="G9" s="271">
        <v>1486.366</v>
      </c>
      <c r="H9" s="382">
        <v>1</v>
      </c>
      <c r="I9" s="326"/>
      <c r="J9" s="182"/>
    </row>
    <row r="10" spans="1:10" ht="14.25" x14ac:dyDescent="0.2">
      <c r="A10" s="6" t="s">
        <v>258</v>
      </c>
      <c r="B10" s="271">
        <v>2.95</v>
      </c>
      <c r="C10" s="271">
        <v>0.98399999999999999</v>
      </c>
      <c r="D10" s="271">
        <v>0.01</v>
      </c>
      <c r="E10" s="271">
        <v>0.113</v>
      </c>
      <c r="F10" s="377">
        <v>4.0570000000000004</v>
      </c>
      <c r="G10" s="271">
        <v>3.9609999999999999</v>
      </c>
      <c r="H10" s="382">
        <v>2.4</v>
      </c>
      <c r="I10" s="326"/>
      <c r="J10" s="182"/>
    </row>
    <row r="11" spans="1:10" x14ac:dyDescent="0.2">
      <c r="A11" s="6" t="s">
        <v>174</v>
      </c>
      <c r="B11" s="271">
        <v>180.572</v>
      </c>
      <c r="C11" s="271">
        <v>21.222000000000001</v>
      </c>
      <c r="D11" s="271">
        <v>98.924999999999997</v>
      </c>
      <c r="E11" s="271">
        <v>2.6560000000000001</v>
      </c>
      <c r="F11" s="377">
        <v>303.375</v>
      </c>
      <c r="G11" s="271">
        <v>304.077</v>
      </c>
      <c r="H11" s="382">
        <v>-0.2</v>
      </c>
      <c r="I11" s="326"/>
      <c r="J11" s="182"/>
    </row>
    <row r="12" spans="1:10" x14ac:dyDescent="0.2">
      <c r="A12" s="6" t="s">
        <v>17</v>
      </c>
      <c r="B12" s="271">
        <v>83.093999999999994</v>
      </c>
      <c r="C12" s="271">
        <v>14.015000000000001</v>
      </c>
      <c r="D12" s="271">
        <v>8.6999999999999994E-2</v>
      </c>
      <c r="E12" s="271">
        <v>0.47199999999999998</v>
      </c>
      <c r="F12" s="377">
        <v>97.668000000000006</v>
      </c>
      <c r="G12" s="271">
        <v>95.879000000000005</v>
      </c>
      <c r="H12" s="382">
        <v>1.9</v>
      </c>
      <c r="I12" s="326"/>
      <c r="J12" s="182"/>
    </row>
    <row r="13" spans="1:10" x14ac:dyDescent="0.2">
      <c r="A13" s="6" t="s">
        <v>18</v>
      </c>
      <c r="B13" s="271">
        <v>6.899</v>
      </c>
      <c r="C13" s="271">
        <v>4.6500000000000004</v>
      </c>
      <c r="D13" s="271">
        <v>4.2999999999999997E-2</v>
      </c>
      <c r="E13" s="271">
        <v>0.23100000000000001</v>
      </c>
      <c r="F13" s="377">
        <v>11.823</v>
      </c>
      <c r="G13" s="271">
        <v>11.385</v>
      </c>
      <c r="H13" s="382">
        <v>3.8</v>
      </c>
      <c r="I13" s="326"/>
      <c r="J13" s="182"/>
    </row>
    <row r="14" spans="1:10" x14ac:dyDescent="0.2">
      <c r="A14" s="6" t="s">
        <v>193</v>
      </c>
      <c r="B14" s="271">
        <v>16.244</v>
      </c>
      <c r="C14" s="271">
        <v>75.233999999999995</v>
      </c>
      <c r="D14" s="271">
        <v>1.2999999999999999E-2</v>
      </c>
      <c r="E14" s="271">
        <v>2.556</v>
      </c>
      <c r="F14" s="377">
        <v>94.046999999999997</v>
      </c>
      <c r="G14" s="271">
        <v>94.84</v>
      </c>
      <c r="H14" s="382">
        <v>-0.8</v>
      </c>
      <c r="I14" s="326"/>
      <c r="J14" s="182"/>
    </row>
    <row r="15" spans="1:10" x14ac:dyDescent="0.2">
      <c r="A15" s="5" t="s">
        <v>200</v>
      </c>
      <c r="B15" s="272">
        <v>9.5310000000000006</v>
      </c>
      <c r="C15" s="272">
        <v>17.358000000000001</v>
      </c>
      <c r="D15" s="272">
        <v>5.0000000000000001E-3</v>
      </c>
      <c r="E15" s="272">
        <v>2.0350000000000001</v>
      </c>
      <c r="F15" s="272">
        <v>28.928999999999998</v>
      </c>
      <c r="G15" s="272">
        <v>28.722999999999999</v>
      </c>
      <c r="H15" s="336">
        <v>0.7</v>
      </c>
      <c r="I15" s="326"/>
      <c r="J15" s="182"/>
    </row>
    <row r="16" spans="1:10" x14ac:dyDescent="0.2">
      <c r="A16" s="5" t="s">
        <v>201</v>
      </c>
      <c r="B16" s="272">
        <v>6.7130000000000001</v>
      </c>
      <c r="C16" s="272">
        <v>57.875999999999998</v>
      </c>
      <c r="D16" s="272">
        <v>8.0000000000000002E-3</v>
      </c>
      <c r="E16" s="272">
        <v>0.52100000000000002</v>
      </c>
      <c r="F16" s="272">
        <v>65.117999999999995</v>
      </c>
      <c r="G16" s="272">
        <v>66.117000000000004</v>
      </c>
      <c r="H16" s="336">
        <v>-1.5</v>
      </c>
      <c r="I16" s="326"/>
      <c r="J16" s="182"/>
    </row>
    <row r="17" spans="1:11" x14ac:dyDescent="0.2">
      <c r="A17" s="201" t="s">
        <v>223</v>
      </c>
      <c r="B17" s="273">
        <v>50.984999999999999</v>
      </c>
      <c r="C17" s="273">
        <v>12.59</v>
      </c>
      <c r="D17" s="273">
        <v>0.314</v>
      </c>
      <c r="E17" s="273">
        <v>3.238</v>
      </c>
      <c r="F17" s="378">
        <v>67.126999999999995</v>
      </c>
      <c r="G17" s="273">
        <v>66.581000000000003</v>
      </c>
      <c r="H17" s="381">
        <v>0.8</v>
      </c>
      <c r="I17" s="326"/>
      <c r="J17" s="182"/>
    </row>
    <row r="18" spans="1:11" x14ac:dyDescent="0.2">
      <c r="A18" s="22" t="s">
        <v>1</v>
      </c>
      <c r="B18" s="379">
        <v>1501.7360000000001</v>
      </c>
      <c r="C18" s="379">
        <v>598.02300000000002</v>
      </c>
      <c r="D18" s="379">
        <v>312.85399999999998</v>
      </c>
      <c r="E18" s="379">
        <v>169.25700000000001</v>
      </c>
      <c r="F18" s="379">
        <v>2581.87</v>
      </c>
      <c r="G18" s="274">
        <v>2560.8159999999998</v>
      </c>
      <c r="H18" s="338">
        <v>0.8</v>
      </c>
      <c r="I18" s="326"/>
      <c r="J18" s="182"/>
    </row>
    <row r="19" spans="1:11" ht="14.25" x14ac:dyDescent="0.2">
      <c r="A19" s="215" t="s">
        <v>27</v>
      </c>
      <c r="B19" s="275">
        <v>739.82500000000005</v>
      </c>
      <c r="C19" s="275">
        <v>524.96600000000001</v>
      </c>
      <c r="D19" s="275">
        <v>312.83499999999998</v>
      </c>
      <c r="E19" s="275">
        <v>31.326000000000001</v>
      </c>
      <c r="F19" s="380">
        <v>1608.952</v>
      </c>
      <c r="G19" s="275">
        <v>1590.229</v>
      </c>
      <c r="H19" s="338">
        <v>1.2</v>
      </c>
      <c r="I19" s="326"/>
      <c r="J19" s="182"/>
      <c r="K19" s="182"/>
    </row>
    <row r="20" spans="1:11" x14ac:dyDescent="0.2">
      <c r="A20" s="111" t="s">
        <v>10</v>
      </c>
      <c r="B20" s="111"/>
      <c r="C20" s="111"/>
      <c r="D20" s="111"/>
      <c r="E20" s="111"/>
      <c r="F20" s="112"/>
      <c r="G20" s="20"/>
    </row>
    <row r="21" spans="1:11" x14ac:dyDescent="0.2">
      <c r="A21" s="111" t="s">
        <v>20</v>
      </c>
      <c r="B21" s="114"/>
      <c r="C21" s="114"/>
      <c r="D21" s="114"/>
      <c r="E21" s="114"/>
      <c r="F21" s="115"/>
      <c r="G21" s="17"/>
    </row>
    <row r="22" spans="1:11" ht="39" customHeight="1" x14ac:dyDescent="0.2">
      <c r="A22" s="431" t="s">
        <v>224</v>
      </c>
      <c r="B22" s="431"/>
      <c r="C22" s="431"/>
      <c r="D22" s="431"/>
      <c r="E22" s="431"/>
      <c r="F22" s="432"/>
      <c r="G22" s="2"/>
      <c r="I22" s="327"/>
    </row>
    <row r="23" spans="1:11" x14ac:dyDescent="0.2">
      <c r="A23" s="360" t="s">
        <v>242</v>
      </c>
      <c r="B23" s="113"/>
      <c r="C23" s="113"/>
      <c r="D23" s="113"/>
      <c r="E23" s="113"/>
      <c r="F23" s="193"/>
      <c r="G23" s="16"/>
      <c r="I23" s="332"/>
    </row>
    <row r="24" spans="1:11" ht="14.25" customHeight="1" x14ac:dyDescent="0.2">
      <c r="A24" s="360" t="s">
        <v>219</v>
      </c>
      <c r="B24" s="193"/>
      <c r="C24" s="193"/>
      <c r="D24" s="193"/>
      <c r="E24" s="193"/>
      <c r="F24" s="193"/>
      <c r="G24" s="97"/>
    </row>
    <row r="25" spans="1:11" ht="14.25" customHeight="1" x14ac:dyDescent="0.2">
      <c r="A25" s="360" t="s">
        <v>26</v>
      </c>
      <c r="B25" s="193"/>
      <c r="C25" s="193"/>
      <c r="D25" s="193"/>
      <c r="E25" s="193"/>
      <c r="F25" s="193"/>
      <c r="G25" s="97"/>
      <c r="I25" s="332"/>
    </row>
    <row r="26" spans="1:11" x14ac:dyDescent="0.2">
      <c r="A26" s="384" t="s">
        <v>265</v>
      </c>
      <c r="B26" s="193"/>
      <c r="C26" s="193"/>
      <c r="D26" s="193"/>
      <c r="E26" s="193"/>
      <c r="F26" s="193"/>
      <c r="G26" s="4"/>
      <c r="I26" s="332"/>
    </row>
    <row r="28" spans="1:11" x14ac:dyDescent="0.2">
      <c r="F28" s="182"/>
    </row>
    <row r="31" spans="1:11" x14ac:dyDescent="0.2">
      <c r="E31" s="182"/>
    </row>
  </sheetData>
  <mergeCells count="4">
    <mergeCell ref="B3:F3"/>
    <mergeCell ref="H3:H4"/>
    <mergeCell ref="A3:A4"/>
    <mergeCell ref="A22:F22"/>
  </mergeCells>
  <pageMargins left="0.08" right="0.08" top="1" bottom="1" header="0.4921259845" footer="0.4921259845"/>
  <pageSetup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27"/>
  <sheetViews>
    <sheetView showGridLines="0" zoomScaleNormal="100" workbookViewId="0">
      <pane xSplit="1" topLeftCell="B1" activePane="topRight" state="frozen"/>
      <selection pane="topRight"/>
    </sheetView>
  </sheetViews>
  <sheetFormatPr baseColWidth="10" defaultColWidth="11.42578125" defaultRowHeight="12.75" x14ac:dyDescent="0.2"/>
  <cols>
    <col min="1" max="1" width="27.7109375" style="7" customWidth="1"/>
    <col min="2" max="30" width="9.7109375" style="7" customWidth="1"/>
    <col min="31" max="16384" width="11.42578125" style="7"/>
  </cols>
  <sheetData>
    <row r="1" spans="1:28" x14ac:dyDescent="0.2">
      <c r="A1" s="18" t="s">
        <v>30</v>
      </c>
      <c r="B1" s="18"/>
      <c r="C1" s="18"/>
      <c r="D1" s="18"/>
      <c r="E1" s="18"/>
      <c r="F1" s="18"/>
      <c r="G1" s="18"/>
      <c r="H1" s="18"/>
      <c r="I1" s="18"/>
      <c r="J1" s="18"/>
      <c r="K1" s="18"/>
      <c r="L1" s="18"/>
      <c r="M1" s="18"/>
      <c r="N1" s="18"/>
      <c r="O1" s="18"/>
      <c r="P1" s="18"/>
      <c r="Q1" s="18"/>
      <c r="R1" s="18"/>
      <c r="S1" s="18"/>
      <c r="T1" s="18"/>
      <c r="U1" s="18"/>
      <c r="V1" s="18"/>
    </row>
    <row r="2" spans="1:28" x14ac:dyDescent="0.2">
      <c r="A2" s="7" t="s">
        <v>266</v>
      </c>
    </row>
    <row r="3" spans="1:28" s="126" customFormat="1" ht="14.25" x14ac:dyDescent="0.2">
      <c r="A3" s="125"/>
      <c r="B3" s="312">
        <v>1998</v>
      </c>
      <c r="C3" s="321">
        <v>1999</v>
      </c>
      <c r="D3" s="312">
        <v>2000</v>
      </c>
      <c r="E3" s="321">
        <v>2001</v>
      </c>
      <c r="F3" s="312">
        <v>2002</v>
      </c>
      <c r="G3" s="321">
        <v>2003</v>
      </c>
      <c r="H3" s="312" t="s">
        <v>214</v>
      </c>
      <c r="I3" s="312">
        <v>2005</v>
      </c>
      <c r="J3" s="312">
        <v>2006</v>
      </c>
      <c r="K3" s="312">
        <v>2007</v>
      </c>
      <c r="L3" s="312">
        <v>2008</v>
      </c>
      <c r="M3" s="312">
        <v>2009</v>
      </c>
      <c r="N3" s="312">
        <v>2010</v>
      </c>
      <c r="O3" s="312">
        <v>2011</v>
      </c>
      <c r="P3" s="312">
        <v>2012</v>
      </c>
      <c r="Q3" s="312">
        <v>2013</v>
      </c>
      <c r="R3" s="312">
        <v>2014</v>
      </c>
      <c r="S3" s="312">
        <v>2015</v>
      </c>
      <c r="T3" s="312" t="s">
        <v>215</v>
      </c>
      <c r="U3" s="312">
        <v>2017</v>
      </c>
      <c r="V3" s="312">
        <v>2018</v>
      </c>
      <c r="W3" s="312">
        <v>2019</v>
      </c>
      <c r="X3" s="312">
        <v>2020</v>
      </c>
      <c r="Y3" s="313">
        <v>2021</v>
      </c>
      <c r="Z3" s="313">
        <v>2022</v>
      </c>
      <c r="AA3" s="323">
        <v>2023</v>
      </c>
      <c r="AB3" s="323">
        <v>2024</v>
      </c>
    </row>
    <row r="4" spans="1:28" x14ac:dyDescent="0.2">
      <c r="A4" s="23" t="s">
        <v>8</v>
      </c>
      <c r="B4" s="156">
        <v>121.32218064421454</v>
      </c>
      <c r="C4" s="156">
        <v>121.32218064421453</v>
      </c>
      <c r="D4" s="156">
        <v>123.28857583094869</v>
      </c>
      <c r="E4" s="156">
        <v>123.28857583094867</v>
      </c>
      <c r="F4" s="156">
        <v>126.15012106537526</v>
      </c>
      <c r="G4" s="156">
        <v>126.15012106537527</v>
      </c>
      <c r="H4" s="156">
        <v>127.0452711130677</v>
      </c>
      <c r="I4" s="156">
        <v>126.92053709002859</v>
      </c>
      <c r="J4" s="156">
        <v>125.57047472301709</v>
      </c>
      <c r="K4" s="156">
        <v>120.36099493726613</v>
      </c>
      <c r="L4" s="156">
        <v>114.76997578692493</v>
      </c>
      <c r="M4" s="156">
        <v>109.8539878200895</v>
      </c>
      <c r="N4" s="156">
        <v>103.99148873725144</v>
      </c>
      <c r="O4" s="156">
        <v>100</v>
      </c>
      <c r="P4" s="156">
        <v>98.20236260914227</v>
      </c>
      <c r="Q4" s="156">
        <v>97.116442879154732</v>
      </c>
      <c r="R4" s="156">
        <v>97.542006016582292</v>
      </c>
      <c r="S4" s="156">
        <v>97.784136767187618</v>
      </c>
      <c r="T4" s="156">
        <v>98.099640472521827</v>
      </c>
      <c r="U4" s="156">
        <v>98.231711791033831</v>
      </c>
      <c r="V4" s="156">
        <v>98.246386381979605</v>
      </c>
      <c r="W4" s="156">
        <v>97.74011299435027</v>
      </c>
      <c r="X4" s="156">
        <v>97.243157971971527</v>
      </c>
      <c r="Y4" s="156">
        <v>96.353804387702681</v>
      </c>
      <c r="Z4" s="156">
        <v>96.183725558013805</v>
      </c>
      <c r="AA4" s="304">
        <v>95.564337680957593</v>
      </c>
      <c r="AB4" s="304">
        <v>95.587257659830669</v>
      </c>
    </row>
    <row r="5" spans="1:28" x14ac:dyDescent="0.2">
      <c r="A5" s="23" t="s">
        <v>9</v>
      </c>
      <c r="B5" s="156">
        <v>171.5613382899628</v>
      </c>
      <c r="C5" s="156">
        <v>171.5613382899628</v>
      </c>
      <c r="D5" s="156">
        <v>169.79553903345723</v>
      </c>
      <c r="E5" s="156">
        <v>169.79553903345723</v>
      </c>
      <c r="F5" s="156">
        <v>183.36431226765799</v>
      </c>
      <c r="G5" s="156">
        <v>183.36431226765799</v>
      </c>
      <c r="H5" s="156">
        <v>148.79182156133828</v>
      </c>
      <c r="I5" s="156">
        <v>137.45353159851302</v>
      </c>
      <c r="J5" s="156">
        <v>117.65799256505575</v>
      </c>
      <c r="K5" s="156">
        <v>114.77695167286245</v>
      </c>
      <c r="L5" s="156">
        <v>116.44981412639405</v>
      </c>
      <c r="M5" s="156">
        <v>117.4721189591078</v>
      </c>
      <c r="N5" s="156">
        <v>101.95167286245353</v>
      </c>
      <c r="O5" s="156">
        <v>100</v>
      </c>
      <c r="P5" s="156">
        <v>98.513011152416368</v>
      </c>
      <c r="Q5" s="156">
        <v>113.28996282527882</v>
      </c>
      <c r="R5" s="156">
        <v>100.92936802973978</v>
      </c>
      <c r="S5" s="156">
        <v>102.97397769516728</v>
      </c>
      <c r="T5" s="156">
        <v>117.19330855018586</v>
      </c>
      <c r="U5" s="156">
        <v>133.55018587360593</v>
      </c>
      <c r="V5" s="156">
        <v>150.55762081784385</v>
      </c>
      <c r="W5" s="156">
        <v>151.39405204460968</v>
      </c>
      <c r="X5" s="156">
        <v>153.20260223048331</v>
      </c>
      <c r="Y5" s="156">
        <v>160.69702602230484</v>
      </c>
      <c r="Z5" s="156">
        <v>173.48535954883917</v>
      </c>
      <c r="AA5" s="304">
        <v>230.39905663550482</v>
      </c>
      <c r="AB5" s="304">
        <v>275.89325120275078</v>
      </c>
    </row>
    <row r="6" spans="1:28" ht="14.25" x14ac:dyDescent="0.2">
      <c r="A6" s="23" t="s">
        <v>225</v>
      </c>
      <c r="B6" s="156">
        <v>99.653106275622818</v>
      </c>
      <c r="C6" s="156">
        <v>99.653106275622818</v>
      </c>
      <c r="D6" s="156">
        <v>99.716177861873206</v>
      </c>
      <c r="E6" s="156">
        <v>99.716177861873206</v>
      </c>
      <c r="F6" s="156">
        <v>100.78839482812991</v>
      </c>
      <c r="G6" s="156">
        <v>100.78839482812991</v>
      </c>
      <c r="H6" s="156">
        <v>108.483128350678</v>
      </c>
      <c r="I6" s="156">
        <v>109.08230842005673</v>
      </c>
      <c r="J6" s="156">
        <v>108.98770104068116</v>
      </c>
      <c r="K6" s="156">
        <v>108.23084200567642</v>
      </c>
      <c r="L6" s="156">
        <v>105.07726269315671</v>
      </c>
      <c r="M6" s="156">
        <v>102.55439924314095</v>
      </c>
      <c r="N6" s="156">
        <v>101.16682434563228</v>
      </c>
      <c r="O6" s="156">
        <v>100</v>
      </c>
      <c r="P6" s="156">
        <v>98.423210343740152</v>
      </c>
      <c r="Q6" s="156">
        <v>97.350993377483434</v>
      </c>
      <c r="R6" s="156">
        <v>95.332702617470829</v>
      </c>
      <c r="S6" s="156">
        <v>94.386628823714915</v>
      </c>
      <c r="T6" s="156">
        <v>96.688741721854299</v>
      </c>
      <c r="U6" s="156">
        <v>97.161778618732257</v>
      </c>
      <c r="V6" s="156">
        <v>96.625670135603883</v>
      </c>
      <c r="W6" s="156">
        <v>97.035635446231439</v>
      </c>
      <c r="X6" s="156">
        <v>97.97004099653104</v>
      </c>
      <c r="Y6" s="156">
        <v>97.888047934405535</v>
      </c>
      <c r="Z6" s="156">
        <v>97.254831976230037</v>
      </c>
      <c r="AA6" s="304">
        <v>96.786324260620603</v>
      </c>
      <c r="AB6" s="304">
        <v>97.400643391928227</v>
      </c>
    </row>
    <row r="7" spans="1:28" ht="14.25" x14ac:dyDescent="0.2">
      <c r="A7" s="24" t="s">
        <v>249</v>
      </c>
      <c r="B7" s="320">
        <v>113.85305664610203</v>
      </c>
      <c r="C7" s="320">
        <v>113.85305664610203</v>
      </c>
      <c r="D7" s="320">
        <v>113.79697139652268</v>
      </c>
      <c r="E7" s="320">
        <v>113.79697139652268</v>
      </c>
      <c r="F7" s="320">
        <v>113.74088614694332</v>
      </c>
      <c r="G7" s="320">
        <v>113.74088614694332</v>
      </c>
      <c r="H7" s="320">
        <v>114.24565339315757</v>
      </c>
      <c r="I7" s="320">
        <v>111.72181716208635</v>
      </c>
      <c r="J7" s="320">
        <v>110.93662366797531</v>
      </c>
      <c r="K7" s="320">
        <v>108.91755468311833</v>
      </c>
      <c r="L7" s="320">
        <v>107.17891194615815</v>
      </c>
      <c r="M7" s="320">
        <v>104.5429052159282</v>
      </c>
      <c r="N7" s="320">
        <v>102.29949523275378</v>
      </c>
      <c r="O7" s="344">
        <v>100</v>
      </c>
      <c r="P7" s="320">
        <v>98.037016264722368</v>
      </c>
      <c r="Q7" s="320">
        <v>96.354458777341549</v>
      </c>
      <c r="R7" s="320">
        <v>96.13011777902409</v>
      </c>
      <c r="S7" s="320">
        <v>95.849691531127291</v>
      </c>
      <c r="T7" s="320">
        <v>96.803140773976409</v>
      </c>
      <c r="U7" s="320">
        <v>96.522714526079611</v>
      </c>
      <c r="V7" s="320">
        <v>95.28883903533368</v>
      </c>
      <c r="W7" s="320">
        <v>93.43802579921477</v>
      </c>
      <c r="X7" s="320">
        <v>92.785193494111013</v>
      </c>
      <c r="Y7" s="320">
        <v>91.259113853056604</v>
      </c>
      <c r="Z7" s="320">
        <v>89.346202252625858</v>
      </c>
      <c r="AA7" s="305">
        <v>89.124661442650691</v>
      </c>
      <c r="AB7" s="305">
        <v>89.181398569208781</v>
      </c>
    </row>
    <row r="8" spans="1:28" x14ac:dyDescent="0.2">
      <c r="A8" s="25" t="s">
        <v>25</v>
      </c>
      <c r="B8" s="322">
        <v>119.89928277124979</v>
      </c>
      <c r="C8" s="322">
        <v>119.89928277124979</v>
      </c>
      <c r="D8" s="322">
        <v>121.16587822371432</v>
      </c>
      <c r="E8" s="322">
        <v>121.16587822371432</v>
      </c>
      <c r="F8" s="322">
        <v>124.06022686810111</v>
      </c>
      <c r="G8" s="322">
        <v>124.06022686810111</v>
      </c>
      <c r="H8" s="322">
        <v>124.0856605117249</v>
      </c>
      <c r="I8" s="322">
        <v>123.24126354341522</v>
      </c>
      <c r="J8" s="322">
        <v>121.13535785136577</v>
      </c>
      <c r="K8" s="322">
        <v>117.06597487156009</v>
      </c>
      <c r="L8" s="322">
        <v>112.60491377994809</v>
      </c>
      <c r="M8" s="322">
        <v>108.61183173101377</v>
      </c>
      <c r="N8" s="322">
        <v>103.27076657001882</v>
      </c>
      <c r="O8" s="343">
        <v>100</v>
      </c>
      <c r="P8" s="322">
        <v>98.234905132509283</v>
      </c>
      <c r="Q8" s="322">
        <v>97.970395238821908</v>
      </c>
      <c r="R8" s="322">
        <v>97.242993031181641</v>
      </c>
      <c r="S8" s="322">
        <v>97.344727605676781</v>
      </c>
      <c r="T8" s="322">
        <v>98.794445292232552</v>
      </c>
      <c r="U8" s="322">
        <v>99.837224680807751</v>
      </c>
      <c r="V8" s="322">
        <v>100.57988707462229</v>
      </c>
      <c r="W8" s="322">
        <v>100.17294877664172</v>
      </c>
      <c r="X8" s="322">
        <v>100.01892263085607</v>
      </c>
      <c r="Y8" s="322">
        <v>99.660918663207667</v>
      </c>
      <c r="Z8" s="322">
        <v>99.965749428759352</v>
      </c>
      <c r="AA8" s="324">
        <v>102.50887227615833</v>
      </c>
      <c r="AB8" s="324">
        <v>105.02789272870605</v>
      </c>
    </row>
    <row r="10" spans="1:28" x14ac:dyDescent="0.2">
      <c r="A10" s="7" t="s">
        <v>28</v>
      </c>
    </row>
    <row r="11" spans="1:28" s="126" customFormat="1" ht="14.25" x14ac:dyDescent="0.2">
      <c r="A11" s="125"/>
      <c r="B11" s="312">
        <v>1998</v>
      </c>
      <c r="C11" s="321">
        <v>1999</v>
      </c>
      <c r="D11" s="312">
        <v>2000</v>
      </c>
      <c r="E11" s="321">
        <v>2001</v>
      </c>
      <c r="F11" s="312">
        <v>2002</v>
      </c>
      <c r="G11" s="321">
        <v>2003</v>
      </c>
      <c r="H11" s="312" t="s">
        <v>214</v>
      </c>
      <c r="I11" s="312">
        <v>2005</v>
      </c>
      <c r="J11" s="312">
        <v>2006</v>
      </c>
      <c r="K11" s="312">
        <v>2007</v>
      </c>
      <c r="L11" s="312">
        <v>2008</v>
      </c>
      <c r="M11" s="312">
        <v>2009</v>
      </c>
      <c r="N11" s="312">
        <v>2010</v>
      </c>
      <c r="O11" s="312">
        <v>2011</v>
      </c>
      <c r="P11" s="312">
        <v>2012</v>
      </c>
      <c r="Q11" s="312">
        <v>2013</v>
      </c>
      <c r="R11" s="312">
        <v>2014</v>
      </c>
      <c r="S11" s="312">
        <v>2015</v>
      </c>
      <c r="T11" s="312" t="s">
        <v>215</v>
      </c>
      <c r="U11" s="312">
        <v>2017</v>
      </c>
      <c r="V11" s="312">
        <v>2018</v>
      </c>
      <c r="W11" s="312">
        <v>2019</v>
      </c>
      <c r="X11" s="312">
        <v>2020</v>
      </c>
      <c r="Y11" s="313">
        <v>2021</v>
      </c>
      <c r="Z11" s="313">
        <v>2022</v>
      </c>
      <c r="AA11" s="323">
        <v>2023</v>
      </c>
      <c r="AB11" s="323">
        <v>2024</v>
      </c>
    </row>
    <row r="12" spans="1:28" x14ac:dyDescent="0.2">
      <c r="A12" s="23" t="s">
        <v>8</v>
      </c>
      <c r="B12" s="156">
        <v>1651.5076462603113</v>
      </c>
      <c r="C12" s="156">
        <v>1651.507646260311</v>
      </c>
      <c r="D12" s="156">
        <v>1678.2753541041429</v>
      </c>
      <c r="E12" s="156">
        <v>1678.2753541041427</v>
      </c>
      <c r="F12" s="156">
        <v>1717.2283617873313</v>
      </c>
      <c r="G12" s="156">
        <v>1717.2283617873316</v>
      </c>
      <c r="H12" s="156">
        <v>1729.4136616266881</v>
      </c>
      <c r="I12" s="156">
        <v>1727.7157100097286</v>
      </c>
      <c r="J12" s="156">
        <v>1709.3378807438141</v>
      </c>
      <c r="K12" s="156">
        <v>1638.4234308590353</v>
      </c>
      <c r="L12" s="156">
        <v>1562.3152466164977</v>
      </c>
      <c r="M12" s="156">
        <v>1495.3959770069175</v>
      </c>
      <c r="N12" s="156">
        <v>1415.5922510098212</v>
      </c>
      <c r="O12" s="156">
        <v>1361.2577992671172</v>
      </c>
      <c r="P12" s="156">
        <v>1336.7873200815245</v>
      </c>
      <c r="Q12" s="156">
        <v>1322.0051530632888</v>
      </c>
      <c r="R12" s="156">
        <v>1327.7981644623273</v>
      </c>
      <c r="S12" s="156">
        <v>1331.0941881893664</v>
      </c>
      <c r="T12" s="156">
        <v>1335.389006985205</v>
      </c>
      <c r="U12" s="156">
        <v>1337.1868381090446</v>
      </c>
      <c r="V12" s="156">
        <v>1337.3865971228045</v>
      </c>
      <c r="W12" s="156">
        <v>1330.4949111480862</v>
      </c>
      <c r="X12" s="156">
        <v>1323.7300721471061</v>
      </c>
      <c r="Y12" s="156">
        <v>1311.6236771181848</v>
      </c>
      <c r="Z12" s="156">
        <v>1309.3084657841428</v>
      </c>
      <c r="AA12" s="304">
        <v>1300.877</v>
      </c>
      <c r="AB12" s="304">
        <v>1301.1890000000001</v>
      </c>
    </row>
    <row r="13" spans="1:28" x14ac:dyDescent="0.2">
      <c r="A13" s="23" t="s">
        <v>9</v>
      </c>
      <c r="B13" s="156">
        <v>177.23982095582735</v>
      </c>
      <c r="C13" s="156">
        <v>177.23982095582735</v>
      </c>
      <c r="D13" s="156">
        <v>175.41557577805881</v>
      </c>
      <c r="E13" s="156">
        <v>175.41557577805881</v>
      </c>
      <c r="F13" s="156">
        <v>189.43345977564863</v>
      </c>
      <c r="G13" s="156">
        <v>189.43345977564863</v>
      </c>
      <c r="H13" s="156">
        <v>153.71665945302252</v>
      </c>
      <c r="I13" s="156">
        <v>142.00308515366666</v>
      </c>
      <c r="J13" s="156">
        <v>121.55233658184042</v>
      </c>
      <c r="K13" s="156">
        <v>118.57593655495492</v>
      </c>
      <c r="L13" s="156">
        <v>120.30416882863037</v>
      </c>
      <c r="M13" s="156">
        <v>121.36031077365426</v>
      </c>
      <c r="N13" s="156">
        <v>105.32615579010977</v>
      </c>
      <c r="O13" s="156">
        <v>103.30988480415508</v>
      </c>
      <c r="P13" s="156">
        <v>101.77367833866579</v>
      </c>
      <c r="Q13" s="156">
        <v>117.03973008946565</v>
      </c>
      <c r="R13" s="156">
        <v>104.27001384508587</v>
      </c>
      <c r="S13" s="156">
        <v>106.38229773513365</v>
      </c>
      <c r="T13" s="156">
        <v>121.07227206137502</v>
      </c>
      <c r="U13" s="156">
        <v>137.97054318175725</v>
      </c>
      <c r="V13" s="156">
        <v>155.54090463079106</v>
      </c>
      <c r="W13" s="156">
        <v>156.40502076762883</v>
      </c>
      <c r="X13" s="156">
        <v>158.2734318812802</v>
      </c>
      <c r="Y13" s="156">
        <v>166.01591246734623</v>
      </c>
      <c r="Z13" s="156">
        <v>179.22752510197998</v>
      </c>
      <c r="AA13" s="304">
        <v>238.02500000000001</v>
      </c>
      <c r="AB13" s="304">
        <v>285.02499999999998</v>
      </c>
    </row>
    <row r="14" spans="1:28" ht="14.25" x14ac:dyDescent="0.2">
      <c r="A14" s="23" t="s">
        <v>225</v>
      </c>
      <c r="B14" s="156">
        <v>317.62120393735165</v>
      </c>
      <c r="C14" s="156">
        <v>317.62120393735165</v>
      </c>
      <c r="D14" s="156">
        <v>317.82223001579297</v>
      </c>
      <c r="E14" s="156">
        <v>317.82223001579297</v>
      </c>
      <c r="F14" s="156">
        <v>321.23967334929614</v>
      </c>
      <c r="G14" s="156">
        <v>321.23967334929614</v>
      </c>
      <c r="H14" s="156">
        <v>345.76485491914229</v>
      </c>
      <c r="I14" s="156">
        <v>347.67460266433517</v>
      </c>
      <c r="J14" s="156">
        <v>347.37306354667322</v>
      </c>
      <c r="K14" s="156">
        <v>344.96075060537692</v>
      </c>
      <c r="L14" s="156">
        <v>334.90944668330883</v>
      </c>
      <c r="M14" s="156">
        <v>326.86840354565436</v>
      </c>
      <c r="N14" s="156">
        <v>322.44582981994444</v>
      </c>
      <c r="O14" s="156">
        <v>318.72684736877926</v>
      </c>
      <c r="P14" s="156">
        <v>313.70119540774522</v>
      </c>
      <c r="Q14" s="156">
        <v>310.28375207424199</v>
      </c>
      <c r="R14" s="156">
        <v>303.85091756411845</v>
      </c>
      <c r="S14" s="156">
        <v>300.83552638749802</v>
      </c>
      <c r="T14" s="156">
        <v>308.17297825060774</v>
      </c>
      <c r="U14" s="156">
        <v>309.68067383891798</v>
      </c>
      <c r="V14" s="156">
        <v>307.97195217216631</v>
      </c>
      <c r="W14" s="156">
        <v>309.27862168203512</v>
      </c>
      <c r="X14" s="156">
        <v>312.25682303414391</v>
      </c>
      <c r="Y14" s="156">
        <v>311.99548913217018</v>
      </c>
      <c r="Z14" s="156">
        <v>309.97725987164142</v>
      </c>
      <c r="AA14" s="304">
        <v>308.48399999999998</v>
      </c>
      <c r="AB14" s="304">
        <v>310.44200000000001</v>
      </c>
    </row>
    <row r="15" spans="1:28" ht="14.25" x14ac:dyDescent="0.2">
      <c r="A15" s="24" t="s">
        <v>249</v>
      </c>
      <c r="B15" s="320">
        <v>206.68767605884392</v>
      </c>
      <c r="C15" s="320">
        <v>206.68767605884392</v>
      </c>
      <c r="D15" s="320">
        <v>206.58585946965241</v>
      </c>
      <c r="E15" s="320">
        <v>206.58585946965241</v>
      </c>
      <c r="F15" s="320">
        <v>206.48404288046089</v>
      </c>
      <c r="G15" s="320">
        <v>206.48404288046089</v>
      </c>
      <c r="H15" s="320">
        <v>207.40039218318483</v>
      </c>
      <c r="I15" s="320">
        <v>202.81864566956517</v>
      </c>
      <c r="J15" s="320">
        <v>201.39321342088351</v>
      </c>
      <c r="K15" s="320">
        <v>197.72781620998776</v>
      </c>
      <c r="L15" s="320">
        <v>194.57150194504976</v>
      </c>
      <c r="M15" s="320">
        <v>189.78612225304695</v>
      </c>
      <c r="N15" s="320">
        <v>185.71345868538504</v>
      </c>
      <c r="O15" s="320">
        <v>181.53897852853154</v>
      </c>
      <c r="P15" s="320">
        <v>177.97539790682731</v>
      </c>
      <c r="Q15" s="320">
        <v>174.92090023108085</v>
      </c>
      <c r="R15" s="320">
        <v>174.51363387431462</v>
      </c>
      <c r="S15" s="320">
        <v>174.00455092835688</v>
      </c>
      <c r="T15" s="320">
        <v>175.73543294461317</v>
      </c>
      <c r="U15" s="320">
        <v>175.22634999865542</v>
      </c>
      <c r="V15" s="320">
        <v>172.98638503644133</v>
      </c>
      <c r="W15" s="320">
        <v>169.62643759312019</v>
      </c>
      <c r="X15" s="320">
        <v>168.44129249493056</v>
      </c>
      <c r="Y15" s="320">
        <v>165.67086310302852</v>
      </c>
      <c r="Z15" s="320">
        <v>162.19818292345275</v>
      </c>
      <c r="AA15" s="305">
        <v>161.79599999999999</v>
      </c>
      <c r="AB15" s="305">
        <v>161.899</v>
      </c>
    </row>
    <row r="16" spans="1:28" x14ac:dyDescent="0.2">
      <c r="A16" s="25" t="s">
        <v>25</v>
      </c>
      <c r="B16" s="322">
        <v>2350.0354204260816</v>
      </c>
      <c r="C16" s="322">
        <v>2350.0354204260816</v>
      </c>
      <c r="D16" s="322">
        <v>2374.8607914195095</v>
      </c>
      <c r="E16" s="322">
        <v>2374.8607914195095</v>
      </c>
      <c r="F16" s="322">
        <v>2431.5902536494718</v>
      </c>
      <c r="G16" s="322">
        <v>2431.5902536494718</v>
      </c>
      <c r="H16" s="322">
        <v>2432.0887550750431</v>
      </c>
      <c r="I16" s="322">
        <v>2415.538507746091</v>
      </c>
      <c r="J16" s="322">
        <v>2374.2625897088246</v>
      </c>
      <c r="K16" s="322">
        <v>2294.502361617489</v>
      </c>
      <c r="L16" s="322">
        <v>2207.0652115723624</v>
      </c>
      <c r="M16" s="322">
        <v>2128.8004877577396</v>
      </c>
      <c r="N16" s="322">
        <v>2024.1151883878626</v>
      </c>
      <c r="O16" s="322">
        <v>1960.0079050594518</v>
      </c>
      <c r="P16" s="322">
        <v>1925.411906124835</v>
      </c>
      <c r="Q16" s="322">
        <v>1920.2274912988983</v>
      </c>
      <c r="R16" s="322">
        <v>1905.970350527572</v>
      </c>
      <c r="S16" s="322">
        <v>1907.9643562298552</v>
      </c>
      <c r="T16" s="322">
        <v>1936.3789374873934</v>
      </c>
      <c r="U16" s="322">
        <v>1956.817495935798</v>
      </c>
      <c r="V16" s="322">
        <v>1971.3737375624667</v>
      </c>
      <c r="W16" s="322">
        <v>1963.397714753333</v>
      </c>
      <c r="X16" s="322">
        <v>1960.378790120076</v>
      </c>
      <c r="Y16" s="322">
        <v>1953.3618840537408</v>
      </c>
      <c r="Z16" s="322">
        <v>1959.336591155607</v>
      </c>
      <c r="AA16" s="324">
        <v>2009.182</v>
      </c>
      <c r="AB16" s="324">
        <v>2058.5549999999998</v>
      </c>
    </row>
    <row r="17" spans="1:20" x14ac:dyDescent="0.2">
      <c r="A17" s="110" t="s">
        <v>10</v>
      </c>
    </row>
    <row r="18" spans="1:20" x14ac:dyDescent="0.2">
      <c r="A18" s="110" t="s">
        <v>20</v>
      </c>
    </row>
    <row r="19" spans="1:20" x14ac:dyDescent="0.2">
      <c r="A19" s="361" t="s">
        <v>260</v>
      </c>
    </row>
    <row r="20" spans="1:20" x14ac:dyDescent="0.2">
      <c r="A20" s="362" t="s">
        <v>247</v>
      </c>
    </row>
    <row r="21" spans="1:20" x14ac:dyDescent="0.2">
      <c r="A21" s="363" t="s">
        <v>24</v>
      </c>
    </row>
    <row r="22" spans="1:20" x14ac:dyDescent="0.2">
      <c r="A22" s="363" t="s">
        <v>23</v>
      </c>
    </row>
    <row r="23" spans="1:20" x14ac:dyDescent="0.2">
      <c r="A23" s="385" t="s">
        <v>269</v>
      </c>
    </row>
    <row r="27" spans="1:20" x14ac:dyDescent="0.2">
      <c r="T27" s="334"/>
    </row>
  </sheetData>
  <pageMargins left="0.08" right="0.08" top="1" bottom="1" header="0.4921259845" footer="0.4921259845"/>
  <pageSetup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1"/>
  <sheetViews>
    <sheetView showGridLines="0" zoomScaleNormal="100" workbookViewId="0">
      <pane xSplit="1" ySplit="4" topLeftCell="B5" activePane="bottomRight" state="frozen"/>
      <selection pane="topRight" activeCell="B1" sqref="B1"/>
      <selection pane="bottomLeft" activeCell="A6" sqref="A6"/>
      <selection pane="bottomRight"/>
    </sheetView>
  </sheetViews>
  <sheetFormatPr baseColWidth="10" defaultColWidth="11.42578125" defaultRowHeight="12.75" x14ac:dyDescent="0.2"/>
  <cols>
    <col min="1" max="1" width="49.42578125" style="2" customWidth="1"/>
    <col min="2" max="6" width="13.85546875" style="2" customWidth="1"/>
    <col min="7" max="7" width="13.85546875" style="3" customWidth="1"/>
    <col min="8" max="8" width="14" style="2" customWidth="1"/>
    <col min="9" max="16384" width="11.42578125" style="2"/>
  </cols>
  <sheetData>
    <row r="1" spans="1:8" x14ac:dyDescent="0.2">
      <c r="A1" s="187" t="s">
        <v>222</v>
      </c>
      <c r="B1" s="15"/>
      <c r="C1" s="15"/>
      <c r="D1" s="15"/>
      <c r="E1" s="15"/>
      <c r="F1" s="15"/>
      <c r="G1" s="15"/>
    </row>
    <row r="2" spans="1:8" x14ac:dyDescent="0.2">
      <c r="A2" s="16" t="s">
        <v>28</v>
      </c>
      <c r="B2" s="15"/>
      <c r="C2" s="15"/>
      <c r="D2" s="15"/>
      <c r="E2" s="15"/>
      <c r="F2" s="15"/>
      <c r="G2" s="15"/>
    </row>
    <row r="3" spans="1:8" ht="12.75" customHeight="1" x14ac:dyDescent="0.2">
      <c r="A3" s="429" t="s">
        <v>0</v>
      </c>
      <c r="B3" s="425">
        <v>2024</v>
      </c>
      <c r="C3" s="426"/>
      <c r="D3" s="426"/>
      <c r="E3" s="426"/>
      <c r="F3" s="426"/>
      <c r="G3" s="453">
        <v>2023</v>
      </c>
      <c r="H3" s="427" t="s">
        <v>300</v>
      </c>
    </row>
    <row r="4" spans="1:8" ht="47.25" customHeight="1" x14ac:dyDescent="0.2">
      <c r="A4" s="430"/>
      <c r="B4" s="191" t="s">
        <v>8</v>
      </c>
      <c r="C4" s="191" t="s">
        <v>9</v>
      </c>
      <c r="D4" s="191" t="s">
        <v>6</v>
      </c>
      <c r="E4" s="191" t="s">
        <v>22</v>
      </c>
      <c r="F4" s="202" t="s">
        <v>1</v>
      </c>
      <c r="G4" s="192" t="s">
        <v>7</v>
      </c>
      <c r="H4" s="428"/>
    </row>
    <row r="5" spans="1:8" x14ac:dyDescent="0.2">
      <c r="A5" s="21" t="s">
        <v>199</v>
      </c>
      <c r="B5" s="270">
        <v>19.085999999999999</v>
      </c>
      <c r="C5" s="270">
        <v>5.6070000000000002</v>
      </c>
      <c r="D5" s="270">
        <v>1.4E-2</v>
      </c>
      <c r="E5" s="270">
        <v>5.0190000000000001</v>
      </c>
      <c r="F5" s="376">
        <v>29.725999999999999</v>
      </c>
      <c r="G5" s="376">
        <v>28.827999999999999</v>
      </c>
      <c r="H5" s="383">
        <v>3.1</v>
      </c>
    </row>
    <row r="6" spans="1:8" x14ac:dyDescent="0.2">
      <c r="A6" s="6" t="s">
        <v>14</v>
      </c>
      <c r="B6" s="271">
        <v>37.869</v>
      </c>
      <c r="C6" s="271">
        <v>14.795999999999999</v>
      </c>
      <c r="D6" s="271">
        <v>210.94900000000001</v>
      </c>
      <c r="E6" s="271">
        <v>15.262</v>
      </c>
      <c r="F6" s="377">
        <v>278.87599999999998</v>
      </c>
      <c r="G6" s="377">
        <v>275.77300000000002</v>
      </c>
      <c r="H6" s="382">
        <v>1.1000000000000001</v>
      </c>
    </row>
    <row r="7" spans="1:8" x14ac:dyDescent="0.2">
      <c r="A7" s="6" t="s">
        <v>15</v>
      </c>
      <c r="B7" s="271">
        <v>6.9770000000000003</v>
      </c>
      <c r="C7" s="271">
        <v>1.8540000000000001</v>
      </c>
      <c r="D7" s="271">
        <v>3.0000000000000001E-3</v>
      </c>
      <c r="E7" s="271">
        <v>0.11799999999999999</v>
      </c>
      <c r="F7" s="377">
        <v>8.952</v>
      </c>
      <c r="G7" s="377">
        <v>8.8550000000000004</v>
      </c>
      <c r="H7" s="382">
        <v>1.1000000000000001</v>
      </c>
    </row>
    <row r="8" spans="1:8" x14ac:dyDescent="0.2">
      <c r="A8" s="6" t="s">
        <v>12</v>
      </c>
      <c r="B8" s="271">
        <v>118.611</v>
      </c>
      <c r="C8" s="271">
        <v>9.7669999999999995</v>
      </c>
      <c r="D8" s="271">
        <v>6.4000000000000001E-2</v>
      </c>
      <c r="E8" s="271">
        <v>1.772</v>
      </c>
      <c r="F8" s="377">
        <v>130.214</v>
      </c>
      <c r="G8" s="377">
        <v>128.60900000000001</v>
      </c>
      <c r="H8" s="382">
        <v>1.2</v>
      </c>
    </row>
    <row r="9" spans="1:8" ht="24" customHeight="1" x14ac:dyDescent="0.2">
      <c r="A9" s="6" t="s">
        <v>173</v>
      </c>
      <c r="B9" s="271">
        <v>800.15800000000002</v>
      </c>
      <c r="C9" s="271">
        <v>208.13</v>
      </c>
      <c r="D9" s="271">
        <v>7.6999999999999999E-2</v>
      </c>
      <c r="E9" s="271">
        <v>134.18299999999999</v>
      </c>
      <c r="F9" s="377">
        <v>1142.548</v>
      </c>
      <c r="G9" s="377">
        <v>1100.423</v>
      </c>
      <c r="H9" s="382">
        <v>3.8</v>
      </c>
    </row>
    <row r="10" spans="1:8" ht="14.25" x14ac:dyDescent="0.2">
      <c r="A10" s="6" t="s">
        <v>258</v>
      </c>
      <c r="B10" s="271">
        <v>2.7770000000000001</v>
      </c>
      <c r="C10" s="271">
        <v>0.92400000000000004</v>
      </c>
      <c r="D10" s="271">
        <v>0.01</v>
      </c>
      <c r="E10" s="271">
        <v>0.11</v>
      </c>
      <c r="F10" s="377">
        <v>3.8210000000000002</v>
      </c>
      <c r="G10" s="377">
        <v>3.7349999999999999</v>
      </c>
      <c r="H10" s="382">
        <v>2.2999999999999998</v>
      </c>
    </row>
    <row r="11" spans="1:8" x14ac:dyDescent="0.2">
      <c r="A11" s="6" t="s">
        <v>174</v>
      </c>
      <c r="B11" s="271">
        <v>179.155</v>
      </c>
      <c r="C11" s="271">
        <v>18.983000000000001</v>
      </c>
      <c r="D11" s="271">
        <v>98.917000000000002</v>
      </c>
      <c r="E11" s="271">
        <v>2.597</v>
      </c>
      <c r="F11" s="377">
        <v>299.65199999999999</v>
      </c>
      <c r="G11" s="377">
        <v>300.34100000000001</v>
      </c>
      <c r="H11" s="382">
        <v>-0.2</v>
      </c>
    </row>
    <row r="12" spans="1:8" x14ac:dyDescent="0.2">
      <c r="A12" s="6" t="s">
        <v>17</v>
      </c>
      <c r="B12" s="271">
        <v>80.444000000000003</v>
      </c>
      <c r="C12" s="271">
        <v>13.581</v>
      </c>
      <c r="D12" s="271">
        <v>0.08</v>
      </c>
      <c r="E12" s="271">
        <v>0.439</v>
      </c>
      <c r="F12" s="377">
        <v>94.543999999999997</v>
      </c>
      <c r="G12" s="377">
        <v>92.54</v>
      </c>
      <c r="H12" s="382">
        <v>2.2000000000000002</v>
      </c>
    </row>
    <row r="13" spans="1:8" x14ac:dyDescent="0.2">
      <c r="A13" s="6" t="s">
        <v>18</v>
      </c>
      <c r="B13" s="271">
        <v>6.5140000000000002</v>
      </c>
      <c r="C13" s="271">
        <v>4.43</v>
      </c>
      <c r="D13" s="271">
        <v>3.5999999999999997E-2</v>
      </c>
      <c r="E13" s="271">
        <v>0.218</v>
      </c>
      <c r="F13" s="377">
        <v>11.198</v>
      </c>
      <c r="G13" s="377">
        <v>10.782</v>
      </c>
      <c r="H13" s="382">
        <v>3.9</v>
      </c>
    </row>
    <row r="14" spans="1:8" x14ac:dyDescent="0.2">
      <c r="A14" s="6" t="s">
        <v>193</v>
      </c>
      <c r="B14" s="271">
        <v>10.186</v>
      </c>
      <c r="C14" s="271">
        <v>2.9910000000000001</v>
      </c>
      <c r="D14" s="271">
        <v>0.01</v>
      </c>
      <c r="E14" s="271">
        <v>0.249</v>
      </c>
      <c r="F14" s="377">
        <v>13.436</v>
      </c>
      <c r="G14" s="377">
        <v>13.683</v>
      </c>
      <c r="H14" s="382">
        <v>-1.8</v>
      </c>
    </row>
    <row r="15" spans="1:8" x14ac:dyDescent="0.2">
      <c r="A15" s="5" t="s">
        <v>200</v>
      </c>
      <c r="B15" s="272">
        <v>3.5680000000000001</v>
      </c>
      <c r="C15" s="272">
        <v>1.8280000000000001</v>
      </c>
      <c r="D15" s="272">
        <v>2E-3</v>
      </c>
      <c r="E15" s="272">
        <v>0.14399999999999999</v>
      </c>
      <c r="F15" s="386">
        <v>5.5419999999999998</v>
      </c>
      <c r="G15" s="386">
        <v>5.6749999999999998</v>
      </c>
      <c r="H15" s="387">
        <v>-2.2999999999999998</v>
      </c>
    </row>
    <row r="16" spans="1:8" x14ac:dyDescent="0.2">
      <c r="A16" s="5" t="s">
        <v>201</v>
      </c>
      <c r="B16" s="272">
        <v>6.6180000000000003</v>
      </c>
      <c r="C16" s="272">
        <v>1.163</v>
      </c>
      <c r="D16" s="272">
        <v>8.0000000000000002E-3</v>
      </c>
      <c r="E16" s="272">
        <v>0.105</v>
      </c>
      <c r="F16" s="386">
        <v>7.8940000000000001</v>
      </c>
      <c r="G16" s="386">
        <v>8.0079999999999991</v>
      </c>
      <c r="H16" s="387">
        <v>-1.4</v>
      </c>
    </row>
    <row r="17" spans="1:8" x14ac:dyDescent="0.2">
      <c r="A17" s="201" t="s">
        <v>223</v>
      </c>
      <c r="B17" s="273">
        <v>39.411999999999999</v>
      </c>
      <c r="C17" s="273">
        <v>3.9620000000000002</v>
      </c>
      <c r="D17" s="273">
        <v>0.28199999999999997</v>
      </c>
      <c r="E17" s="273">
        <v>1.9319999999999999</v>
      </c>
      <c r="F17" s="378">
        <v>45.588000000000001</v>
      </c>
      <c r="G17" s="378">
        <v>45.613</v>
      </c>
      <c r="H17" s="381">
        <v>-0.1</v>
      </c>
    </row>
    <row r="18" spans="1:8" x14ac:dyDescent="0.2">
      <c r="A18" s="22" t="s">
        <v>1</v>
      </c>
      <c r="B18" s="274">
        <v>1301.1890000000001</v>
      </c>
      <c r="C18" s="274">
        <v>285.02499999999998</v>
      </c>
      <c r="D18" s="274">
        <v>310.44200000000001</v>
      </c>
      <c r="E18" s="274">
        <v>161.899</v>
      </c>
      <c r="F18" s="379">
        <v>2058.5549999999998</v>
      </c>
      <c r="G18" s="379">
        <v>2009.182</v>
      </c>
      <c r="H18" s="388">
        <v>2.5</v>
      </c>
    </row>
    <row r="19" spans="1:8" ht="14.25" x14ac:dyDescent="0.2">
      <c r="A19" s="215" t="s">
        <v>27</v>
      </c>
      <c r="B19" s="275">
        <v>602.63499999999999</v>
      </c>
      <c r="C19" s="275">
        <v>226.601</v>
      </c>
      <c r="D19" s="275">
        <v>310.42399999999998</v>
      </c>
      <c r="E19" s="275">
        <v>23.995999999999999</v>
      </c>
      <c r="F19" s="380">
        <v>1163.6559999999999</v>
      </c>
      <c r="G19" s="380">
        <v>1116.556</v>
      </c>
      <c r="H19" s="388">
        <v>4.2</v>
      </c>
    </row>
    <row r="20" spans="1:8" x14ac:dyDescent="0.2">
      <c r="A20" s="111" t="s">
        <v>10</v>
      </c>
      <c r="B20" s="111"/>
      <c r="C20" s="111"/>
      <c r="D20" s="111"/>
      <c r="E20" s="111"/>
      <c r="F20" s="112"/>
      <c r="G20" s="20"/>
    </row>
    <row r="21" spans="1:8" x14ac:dyDescent="0.2">
      <c r="A21" s="111" t="s">
        <v>20</v>
      </c>
      <c r="B21" s="114"/>
      <c r="C21" s="114"/>
      <c r="D21" s="114"/>
      <c r="E21" s="114"/>
      <c r="F21" s="115"/>
      <c r="G21" s="17"/>
    </row>
    <row r="22" spans="1:8" ht="39" customHeight="1" x14ac:dyDescent="0.2">
      <c r="A22" s="431" t="s">
        <v>224</v>
      </c>
      <c r="B22" s="431"/>
      <c r="C22" s="431"/>
      <c r="D22" s="431"/>
      <c r="E22" s="431"/>
      <c r="F22" s="432"/>
      <c r="G22" s="2"/>
    </row>
    <row r="23" spans="1:8" x14ac:dyDescent="0.2">
      <c r="A23" s="360" t="s">
        <v>242</v>
      </c>
      <c r="B23" s="113"/>
      <c r="C23" s="113"/>
      <c r="D23" s="113"/>
      <c r="E23" s="113"/>
      <c r="F23" s="116"/>
      <c r="G23" s="16"/>
    </row>
    <row r="24" spans="1:8" ht="14.25" customHeight="1" x14ac:dyDescent="0.2">
      <c r="A24" s="360" t="s">
        <v>219</v>
      </c>
      <c r="B24" s="116"/>
      <c r="C24" s="116"/>
      <c r="D24" s="116"/>
      <c r="E24" s="116"/>
      <c r="F24" s="116"/>
      <c r="G24" s="97"/>
    </row>
    <row r="25" spans="1:8" ht="14.25" customHeight="1" x14ac:dyDescent="0.2">
      <c r="A25" s="360" t="s">
        <v>26</v>
      </c>
      <c r="B25" s="193"/>
      <c r="C25" s="193"/>
      <c r="D25" s="193"/>
      <c r="E25" s="193"/>
      <c r="F25" s="193"/>
      <c r="G25" s="97"/>
    </row>
    <row r="26" spans="1:8" x14ac:dyDescent="0.2">
      <c r="A26" s="384" t="s">
        <v>270</v>
      </c>
      <c r="B26" s="116"/>
      <c r="C26" s="116"/>
      <c r="D26" s="116"/>
      <c r="E26" s="116"/>
      <c r="F26" s="116"/>
      <c r="G26" s="4"/>
    </row>
    <row r="28" spans="1:8" x14ac:dyDescent="0.2">
      <c r="F28" s="182"/>
    </row>
    <row r="31" spans="1:8" x14ac:dyDescent="0.2">
      <c r="E31" s="182"/>
    </row>
  </sheetData>
  <mergeCells count="4">
    <mergeCell ref="H3:H4"/>
    <mergeCell ref="A22:F22"/>
    <mergeCell ref="A3:A4"/>
    <mergeCell ref="B3:F3"/>
  </mergeCells>
  <pageMargins left="0.08" right="0.08" top="1" bottom="1" header="0.4921259845" footer="0.4921259845"/>
  <pageSetup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4D6D2-27F4-4EDB-8E6B-E23C0EC2E5C5}">
  <dimension ref="A1:K26"/>
  <sheetViews>
    <sheetView showGridLines="0" workbookViewId="0"/>
  </sheetViews>
  <sheetFormatPr baseColWidth="10" defaultColWidth="28.85546875" defaultRowHeight="12.75" x14ac:dyDescent="0.2"/>
  <cols>
    <col min="1" max="1" width="46" style="58" customWidth="1"/>
    <col min="2" max="4" width="11.7109375" style="58" customWidth="1"/>
    <col min="5" max="5" width="13.5703125" style="58" customWidth="1"/>
    <col min="6" max="8" width="11.7109375" style="58" customWidth="1"/>
    <col min="9" max="9" width="13.5703125" style="58" customWidth="1"/>
    <col min="10" max="11" width="14.85546875" style="58" customWidth="1"/>
    <col min="12" max="16384" width="28.85546875" style="58"/>
  </cols>
  <sheetData>
    <row r="1" spans="1:11" s="205" customFormat="1" x14ac:dyDescent="0.2">
      <c r="A1" s="204" t="s">
        <v>29</v>
      </c>
      <c r="B1" s="204"/>
      <c r="C1" s="204"/>
      <c r="D1" s="204"/>
      <c r="E1" s="204"/>
      <c r="F1" s="204"/>
      <c r="G1" s="204"/>
      <c r="H1" s="204"/>
    </row>
    <row r="2" spans="1:11" s="205" customFormat="1" x14ac:dyDescent="0.2">
      <c r="A2" s="206" t="s">
        <v>28</v>
      </c>
      <c r="B2" s="204"/>
      <c r="C2" s="204"/>
      <c r="D2" s="204"/>
      <c r="E2" s="204"/>
      <c r="F2" s="204"/>
      <c r="G2" s="204"/>
      <c r="H2" s="204"/>
    </row>
    <row r="3" spans="1:11" x14ac:dyDescent="0.2">
      <c r="A3" s="434"/>
      <c r="B3" s="436">
        <v>2024</v>
      </c>
      <c r="C3" s="437"/>
      <c r="D3" s="437"/>
      <c r="E3" s="437"/>
      <c r="F3" s="437"/>
      <c r="G3" s="454">
        <v>2023</v>
      </c>
      <c r="H3" s="438" t="s">
        <v>264</v>
      </c>
      <c r="I3" s="225"/>
    </row>
    <row r="4" spans="1:11" ht="30" customHeight="1" x14ac:dyDescent="0.2">
      <c r="A4" s="435"/>
      <c r="B4" s="209" t="s">
        <v>3</v>
      </c>
      <c r="C4" s="209" t="s">
        <v>4</v>
      </c>
      <c r="D4" s="209" t="s">
        <v>5</v>
      </c>
      <c r="E4" s="209" t="s">
        <v>259</v>
      </c>
      <c r="F4" s="209" t="s">
        <v>1</v>
      </c>
      <c r="G4" s="192" t="s">
        <v>7</v>
      </c>
      <c r="H4" s="439"/>
      <c r="I4" s="225"/>
    </row>
    <row r="5" spans="1:11" x14ac:dyDescent="0.2">
      <c r="A5" s="210" t="s">
        <v>13</v>
      </c>
      <c r="B5" s="276">
        <v>11.122</v>
      </c>
      <c r="C5" s="276">
        <v>6.8120000000000003</v>
      </c>
      <c r="D5" s="276">
        <v>1.1339999999999999</v>
      </c>
      <c r="E5" s="276">
        <v>1.7999999999999999E-2</v>
      </c>
      <c r="F5" s="389">
        <v>19.085999999999999</v>
      </c>
      <c r="G5" s="389">
        <v>18.952999999999999</v>
      </c>
      <c r="H5" s="389">
        <v>0.7</v>
      </c>
      <c r="I5" s="328"/>
      <c r="J5" s="211"/>
      <c r="K5" s="211"/>
    </row>
    <row r="6" spans="1:11" x14ac:dyDescent="0.2">
      <c r="A6" s="210" t="s">
        <v>14</v>
      </c>
      <c r="B6" s="277">
        <v>8.7159999999999993</v>
      </c>
      <c r="C6" s="277">
        <v>12.930999999999999</v>
      </c>
      <c r="D6" s="277">
        <v>16.155999999999999</v>
      </c>
      <c r="E6" s="277">
        <v>6.6000000000000003E-2</v>
      </c>
      <c r="F6" s="390">
        <v>37.869</v>
      </c>
      <c r="G6" s="390">
        <v>37.537999999999997</v>
      </c>
      <c r="H6" s="390">
        <v>0.9</v>
      </c>
      <c r="I6" s="328"/>
      <c r="J6" s="211"/>
      <c r="K6" s="211"/>
    </row>
    <row r="7" spans="1:11" x14ac:dyDescent="0.2">
      <c r="A7" s="210" t="s">
        <v>15</v>
      </c>
      <c r="B7" s="277">
        <v>3.8940000000000001</v>
      </c>
      <c r="C7" s="277">
        <v>1.6060000000000001</v>
      </c>
      <c r="D7" s="277">
        <v>1.462</v>
      </c>
      <c r="E7" s="277">
        <v>1.4999999999999999E-2</v>
      </c>
      <c r="F7" s="390">
        <v>6.9770000000000003</v>
      </c>
      <c r="G7" s="390">
        <v>7.0069999999999997</v>
      </c>
      <c r="H7" s="390">
        <v>-0.4</v>
      </c>
      <c r="I7" s="328"/>
      <c r="J7" s="211"/>
      <c r="K7" s="211"/>
    </row>
    <row r="8" spans="1:11" x14ac:dyDescent="0.2">
      <c r="A8" s="210" t="s">
        <v>12</v>
      </c>
      <c r="B8" s="277">
        <v>42.494999999999997</v>
      </c>
      <c r="C8" s="277">
        <v>48.295000000000002</v>
      </c>
      <c r="D8" s="277">
        <v>27.727</v>
      </c>
      <c r="E8" s="277">
        <v>9.4E-2</v>
      </c>
      <c r="F8" s="390">
        <v>118.611</v>
      </c>
      <c r="G8" s="390">
        <v>118.41500000000001</v>
      </c>
      <c r="H8" s="390">
        <v>0.2</v>
      </c>
      <c r="I8" s="328"/>
      <c r="J8" s="211"/>
      <c r="K8" s="211"/>
    </row>
    <row r="9" spans="1:11" ht="25.5" x14ac:dyDescent="0.2">
      <c r="A9" s="210" t="s">
        <v>173</v>
      </c>
      <c r="B9" s="277">
        <v>754.58500000000004</v>
      </c>
      <c r="C9" s="277">
        <v>19.501999999999999</v>
      </c>
      <c r="D9" s="277">
        <v>24.291</v>
      </c>
      <c r="E9" s="277">
        <v>1.78</v>
      </c>
      <c r="F9" s="390">
        <v>800.15800000000002</v>
      </c>
      <c r="G9" s="390">
        <v>801.53300000000002</v>
      </c>
      <c r="H9" s="390">
        <v>-0.2</v>
      </c>
      <c r="I9" s="328"/>
      <c r="J9" s="211"/>
      <c r="K9" s="211"/>
    </row>
    <row r="10" spans="1:11" ht="14.25" x14ac:dyDescent="0.2">
      <c r="A10" s="210" t="s">
        <v>250</v>
      </c>
      <c r="B10" s="277">
        <v>0.96299999999999997</v>
      </c>
      <c r="C10" s="277">
        <v>0.53</v>
      </c>
      <c r="D10" s="277">
        <v>1.2250000000000001</v>
      </c>
      <c r="E10" s="277">
        <v>5.8999999999999997E-2</v>
      </c>
      <c r="F10" s="390">
        <v>2.7770000000000001</v>
      </c>
      <c r="G10" s="390">
        <v>2.83</v>
      </c>
      <c r="H10" s="390">
        <v>-1.9</v>
      </c>
      <c r="I10" s="328"/>
      <c r="J10" s="211"/>
      <c r="K10" s="211"/>
    </row>
    <row r="11" spans="1:11" s="82" customFormat="1" x14ac:dyDescent="0.2">
      <c r="A11" s="210" t="s">
        <v>16</v>
      </c>
      <c r="B11" s="277">
        <v>20.847999999999999</v>
      </c>
      <c r="C11" s="277">
        <v>129.69399999999999</v>
      </c>
      <c r="D11" s="277">
        <v>28.581</v>
      </c>
      <c r="E11" s="277">
        <v>3.2000000000000001E-2</v>
      </c>
      <c r="F11" s="390">
        <v>179.155</v>
      </c>
      <c r="G11" s="390">
        <v>179.828</v>
      </c>
      <c r="H11" s="390">
        <v>-0.4</v>
      </c>
      <c r="I11" s="328"/>
      <c r="J11" s="211"/>
      <c r="K11" s="211"/>
    </row>
    <row r="12" spans="1:11" s="213" customFormat="1" x14ac:dyDescent="0.2">
      <c r="A12" s="210" t="s">
        <v>17</v>
      </c>
      <c r="B12" s="277">
        <v>26.940999999999999</v>
      </c>
      <c r="C12" s="277">
        <v>41.866999999999997</v>
      </c>
      <c r="D12" s="277">
        <v>11.612</v>
      </c>
      <c r="E12" s="277">
        <v>2.4E-2</v>
      </c>
      <c r="F12" s="390">
        <v>80.444000000000003</v>
      </c>
      <c r="G12" s="390">
        <v>79.040000000000006</v>
      </c>
      <c r="H12" s="390">
        <v>1.8</v>
      </c>
      <c r="I12" s="328"/>
      <c r="J12" s="211"/>
      <c r="K12" s="211"/>
    </row>
    <row r="13" spans="1:11" x14ac:dyDescent="0.2">
      <c r="A13" s="210" t="s">
        <v>18</v>
      </c>
      <c r="B13" s="277">
        <v>3.8519999999999999</v>
      </c>
      <c r="C13" s="277">
        <v>1.052</v>
      </c>
      <c r="D13" s="277">
        <v>1.522</v>
      </c>
      <c r="E13" s="277">
        <v>8.7999999999999995E-2</v>
      </c>
      <c r="F13" s="390">
        <v>6.5140000000000002</v>
      </c>
      <c r="G13" s="390">
        <v>6.3849999999999998</v>
      </c>
      <c r="H13" s="390">
        <v>2</v>
      </c>
      <c r="I13" s="328"/>
      <c r="J13" s="211"/>
      <c r="K13" s="211"/>
    </row>
    <row r="14" spans="1:11" x14ac:dyDescent="0.2">
      <c r="A14" s="210" t="s">
        <v>193</v>
      </c>
      <c r="B14" s="277">
        <v>6.35</v>
      </c>
      <c r="C14" s="277">
        <v>2.391</v>
      </c>
      <c r="D14" s="277">
        <v>1.4330000000000001</v>
      </c>
      <c r="E14" s="277">
        <v>1.2E-2</v>
      </c>
      <c r="F14" s="390">
        <v>10.186</v>
      </c>
      <c r="G14" s="390">
        <v>10.103</v>
      </c>
      <c r="H14" s="390">
        <v>0.8</v>
      </c>
      <c r="I14" s="328"/>
      <c r="J14" s="211"/>
      <c r="K14" s="211"/>
    </row>
    <row r="15" spans="1:11" x14ac:dyDescent="0.2">
      <c r="A15" s="212" t="s">
        <v>190</v>
      </c>
      <c r="B15" s="278">
        <v>1.9930000000000001</v>
      </c>
      <c r="C15" s="278">
        <v>0.99399999999999999</v>
      </c>
      <c r="D15" s="278">
        <v>0.57299999999999995</v>
      </c>
      <c r="E15" s="278">
        <v>8.0000000000000002E-3</v>
      </c>
      <c r="F15" s="391">
        <v>3.5680000000000001</v>
      </c>
      <c r="G15" s="391">
        <v>3.544</v>
      </c>
      <c r="H15" s="391">
        <v>0.7</v>
      </c>
      <c r="I15" s="328"/>
      <c r="J15" s="211"/>
      <c r="K15" s="211"/>
    </row>
    <row r="16" spans="1:11" s="82" customFormat="1" x14ac:dyDescent="0.2">
      <c r="A16" s="212" t="s">
        <v>11</v>
      </c>
      <c r="B16" s="278">
        <v>4.3570000000000002</v>
      </c>
      <c r="C16" s="278">
        <v>1.397</v>
      </c>
      <c r="D16" s="278">
        <v>0.86</v>
      </c>
      <c r="E16" s="278">
        <v>4.0000000000000001E-3</v>
      </c>
      <c r="F16" s="391">
        <v>6.6180000000000003</v>
      </c>
      <c r="G16" s="391">
        <v>6.5590000000000002</v>
      </c>
      <c r="H16" s="391">
        <v>0.9</v>
      </c>
      <c r="I16" s="328"/>
      <c r="J16" s="211"/>
      <c r="K16" s="211"/>
    </row>
    <row r="17" spans="1:11" x14ac:dyDescent="0.2">
      <c r="A17" s="214" t="s">
        <v>223</v>
      </c>
      <c r="B17" s="279">
        <v>17.498000000000001</v>
      </c>
      <c r="C17" s="279">
        <v>13.361000000000001</v>
      </c>
      <c r="D17" s="279">
        <v>8.5259999999999998</v>
      </c>
      <c r="E17" s="279">
        <v>2.7E-2</v>
      </c>
      <c r="F17" s="392">
        <v>39.411999999999999</v>
      </c>
      <c r="G17" s="392">
        <v>39.244999999999997</v>
      </c>
      <c r="H17" s="392">
        <v>0.4</v>
      </c>
      <c r="I17" s="328"/>
      <c r="J17" s="211"/>
      <c r="K17" s="211"/>
    </row>
    <row r="18" spans="1:11" s="181" customFormat="1" x14ac:dyDescent="0.2">
      <c r="A18" s="215" t="s">
        <v>1</v>
      </c>
      <c r="B18" s="280">
        <v>897.26400000000001</v>
      </c>
      <c r="C18" s="280">
        <v>278.041</v>
      </c>
      <c r="D18" s="280">
        <v>123.669</v>
      </c>
      <c r="E18" s="280">
        <v>2.2149999999999999</v>
      </c>
      <c r="F18" s="393">
        <v>1301.1890000000001</v>
      </c>
      <c r="G18" s="393">
        <v>1300.877</v>
      </c>
      <c r="H18" s="394">
        <v>0</v>
      </c>
      <c r="I18" s="328"/>
      <c r="J18" s="211"/>
      <c r="K18" s="211"/>
    </row>
    <row r="19" spans="1:11" s="181" customFormat="1" ht="14.25" x14ac:dyDescent="0.2">
      <c r="A19" s="215" t="s">
        <v>252</v>
      </c>
      <c r="B19" s="280">
        <v>199.18299999999999</v>
      </c>
      <c r="C19" s="280">
        <v>277.56799999999998</v>
      </c>
      <c r="D19" s="280">
        <v>123.669</v>
      </c>
      <c r="E19" s="280">
        <v>2.2149999999999999</v>
      </c>
      <c r="F19" s="393">
        <v>602.63499999999999</v>
      </c>
      <c r="G19" s="393">
        <v>600.08500000000004</v>
      </c>
      <c r="H19" s="395">
        <v>0.4</v>
      </c>
      <c r="I19" s="328"/>
      <c r="J19" s="211"/>
      <c r="K19" s="211"/>
    </row>
    <row r="20" spans="1:11" s="217" customFormat="1" x14ac:dyDescent="0.2">
      <c r="A20" s="216" t="s">
        <v>10</v>
      </c>
      <c r="B20" s="216"/>
      <c r="C20" s="216"/>
      <c r="D20" s="216"/>
      <c r="E20" s="216"/>
      <c r="F20" s="216"/>
      <c r="G20" s="216"/>
      <c r="H20" s="216"/>
    </row>
    <row r="21" spans="1:11" s="217" customFormat="1" x14ac:dyDescent="0.2">
      <c r="A21" s="218" t="s">
        <v>21</v>
      </c>
      <c r="B21" s="219"/>
      <c r="C21" s="219"/>
      <c r="D21" s="219"/>
      <c r="E21" s="219"/>
      <c r="F21" s="219"/>
      <c r="G21" s="219"/>
      <c r="H21" s="219"/>
    </row>
    <row r="22" spans="1:11" s="217" customFormat="1" x14ac:dyDescent="0.2">
      <c r="A22" s="220" t="s">
        <v>251</v>
      </c>
      <c r="B22" s="221"/>
      <c r="C22" s="221"/>
      <c r="D22" s="221"/>
      <c r="E22" s="221"/>
      <c r="F22" s="221"/>
      <c r="G22" s="221"/>
      <c r="H22" s="221"/>
    </row>
    <row r="23" spans="1:11" s="217" customFormat="1" x14ac:dyDescent="0.2">
      <c r="A23" s="222" t="s">
        <v>253</v>
      </c>
      <c r="B23" s="219"/>
      <c r="C23" s="219"/>
      <c r="D23" s="219"/>
      <c r="E23" s="219"/>
      <c r="F23" s="219"/>
      <c r="G23" s="219"/>
      <c r="H23" s="219"/>
    </row>
    <row r="24" spans="1:11" s="217" customFormat="1" x14ac:dyDescent="0.2">
      <c r="A24" s="222" t="s">
        <v>254</v>
      </c>
      <c r="B24" s="219"/>
      <c r="C24" s="219"/>
      <c r="D24" s="219"/>
      <c r="E24" s="219"/>
      <c r="F24" s="219"/>
      <c r="G24" s="219"/>
      <c r="H24" s="219"/>
    </row>
    <row r="25" spans="1:11" s="217" customFormat="1" ht="36" customHeight="1" x14ac:dyDescent="0.2">
      <c r="A25" s="433" t="s">
        <v>19</v>
      </c>
      <c r="B25" s="433"/>
      <c r="C25" s="433"/>
      <c r="D25" s="433"/>
      <c r="E25" s="433"/>
      <c r="F25" s="433"/>
      <c r="G25" s="433"/>
      <c r="H25" s="433"/>
    </row>
    <row r="26" spans="1:11" x14ac:dyDescent="0.2">
      <c r="A26" s="396" t="s">
        <v>271</v>
      </c>
      <c r="B26" s="223"/>
      <c r="C26" s="224"/>
      <c r="D26" s="224"/>
      <c r="E26" s="224"/>
      <c r="F26" s="223"/>
      <c r="G26" s="223"/>
      <c r="H26" s="223"/>
    </row>
  </sheetData>
  <mergeCells count="4">
    <mergeCell ref="A25:H25"/>
    <mergeCell ref="A3:A4"/>
    <mergeCell ref="B3:F3"/>
    <mergeCell ref="H3:H4"/>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58"/>
  <sheetViews>
    <sheetView showGridLines="0" zoomScaleNormal="100" workbookViewId="0"/>
  </sheetViews>
  <sheetFormatPr baseColWidth="10" defaultRowHeight="12.75" x14ac:dyDescent="0.2"/>
  <cols>
    <col min="1" max="1" width="50.42578125" style="58" customWidth="1"/>
    <col min="2" max="9" width="11.42578125" style="58"/>
    <col min="10" max="10" width="11.85546875" style="58" customWidth="1"/>
    <col min="11" max="16384" width="11.42578125" style="58"/>
  </cols>
  <sheetData>
    <row r="1" spans="1:12" ht="12.75" customHeight="1" x14ac:dyDescent="0.2">
      <c r="A1" s="13" t="s">
        <v>272</v>
      </c>
      <c r="B1" s="13"/>
      <c r="C1" s="13"/>
      <c r="D1" s="13"/>
      <c r="E1" s="289"/>
      <c r="F1" s="289"/>
      <c r="G1" s="288"/>
      <c r="H1" s="288"/>
      <c r="I1" s="288"/>
      <c r="J1" s="288"/>
      <c r="K1" s="288"/>
      <c r="L1" s="288"/>
    </row>
    <row r="2" spans="1:12" x14ac:dyDescent="0.2">
      <c r="A2" s="83" t="s">
        <v>28</v>
      </c>
      <c r="B2" s="306"/>
      <c r="C2" s="306"/>
      <c r="D2" s="106"/>
      <c r="E2" s="106"/>
      <c r="F2" s="106"/>
      <c r="G2" s="288"/>
      <c r="H2" s="288"/>
      <c r="I2" s="288"/>
      <c r="J2" s="288"/>
      <c r="K2" s="288"/>
      <c r="L2" s="288"/>
    </row>
    <row r="3" spans="1:12" x14ac:dyDescent="0.2">
      <c r="A3" s="442"/>
      <c r="B3" s="444" t="s">
        <v>3</v>
      </c>
      <c r="C3" s="444"/>
      <c r="D3" s="444" t="s">
        <v>4</v>
      </c>
      <c r="E3" s="444"/>
      <c r="F3" s="444" t="s">
        <v>5</v>
      </c>
      <c r="G3" s="444"/>
      <c r="H3" s="444" t="s">
        <v>279</v>
      </c>
      <c r="I3" s="444"/>
      <c r="J3" s="444" t="s">
        <v>1</v>
      </c>
      <c r="K3" s="444"/>
    </row>
    <row r="4" spans="1:12" ht="38.25" x14ac:dyDescent="0.2">
      <c r="A4" s="443"/>
      <c r="B4" s="72" t="s">
        <v>2</v>
      </c>
      <c r="C4" s="73" t="s">
        <v>273</v>
      </c>
      <c r="D4" s="72" t="s">
        <v>2</v>
      </c>
      <c r="E4" s="73" t="s">
        <v>273</v>
      </c>
      <c r="F4" s="72" t="s">
        <v>2</v>
      </c>
      <c r="G4" s="73" t="s">
        <v>273</v>
      </c>
      <c r="H4" s="72" t="s">
        <v>2</v>
      </c>
      <c r="I4" s="73" t="s">
        <v>273</v>
      </c>
      <c r="J4" s="72" t="s">
        <v>2</v>
      </c>
      <c r="K4" s="73" t="s">
        <v>273</v>
      </c>
    </row>
    <row r="5" spans="1:12" x14ac:dyDescent="0.2">
      <c r="A5" s="74" t="s">
        <v>13</v>
      </c>
      <c r="B5" s="78">
        <v>17.47</v>
      </c>
      <c r="C5" s="123">
        <v>1.1000000000000001</v>
      </c>
      <c r="D5" s="78">
        <v>7.0049999999999999</v>
      </c>
      <c r="E5" s="123">
        <v>5.2</v>
      </c>
      <c r="F5" s="78">
        <v>1.6719999999999999</v>
      </c>
      <c r="G5" s="123">
        <v>13.6</v>
      </c>
      <c r="H5" s="78">
        <v>3.5790000000000002</v>
      </c>
      <c r="I5" s="123">
        <v>5</v>
      </c>
      <c r="J5" s="135">
        <v>29.725999999999999</v>
      </c>
      <c r="K5" s="136">
        <v>3.1</v>
      </c>
    </row>
    <row r="6" spans="1:12" x14ac:dyDescent="0.2">
      <c r="A6" s="74" t="s">
        <v>14</v>
      </c>
      <c r="B6" s="293">
        <v>45.392000000000003</v>
      </c>
      <c r="C6" s="294">
        <v>-10.7</v>
      </c>
      <c r="D6" s="293">
        <v>106.736</v>
      </c>
      <c r="E6" s="295">
        <v>0</v>
      </c>
      <c r="F6" s="293">
        <v>119.694</v>
      </c>
      <c r="G6" s="295">
        <v>1.3</v>
      </c>
      <c r="H6" s="79">
        <v>7.0540000000000003</v>
      </c>
      <c r="I6" s="123">
        <v>11656.7</v>
      </c>
      <c r="J6" s="137">
        <v>278.87599999999998</v>
      </c>
      <c r="K6" s="138">
        <v>1.1000000000000001</v>
      </c>
      <c r="L6" s="292"/>
    </row>
    <row r="7" spans="1:12" x14ac:dyDescent="0.2">
      <c r="A7" s="74" t="s">
        <v>15</v>
      </c>
      <c r="B7" s="293">
        <v>4.2050000000000001</v>
      </c>
      <c r="C7" s="295">
        <v>4.8</v>
      </c>
      <c r="D7" s="293">
        <v>1.607</v>
      </c>
      <c r="E7" s="295">
        <v>-3.1</v>
      </c>
      <c r="F7" s="293">
        <v>1.601</v>
      </c>
      <c r="G7" s="295">
        <v>-8.9</v>
      </c>
      <c r="H7" s="79">
        <v>1.5389999999999999</v>
      </c>
      <c r="I7" s="123">
        <v>7.8</v>
      </c>
      <c r="J7" s="137">
        <v>8.952</v>
      </c>
      <c r="K7" s="138">
        <v>1.1000000000000001</v>
      </c>
    </row>
    <row r="8" spans="1:12" x14ac:dyDescent="0.2">
      <c r="A8" s="74" t="s">
        <v>12</v>
      </c>
      <c r="B8" s="293">
        <v>46.21</v>
      </c>
      <c r="C8" s="295">
        <v>2.2999999999999998</v>
      </c>
      <c r="D8" s="293">
        <v>50.103000000000002</v>
      </c>
      <c r="E8" s="295">
        <v>1.2</v>
      </c>
      <c r="F8" s="293">
        <v>33.029000000000003</v>
      </c>
      <c r="G8" s="295">
        <v>-0.6</v>
      </c>
      <c r="H8" s="79">
        <v>0.872</v>
      </c>
      <c r="I8" s="123">
        <v>20.399999999999999</v>
      </c>
      <c r="J8" s="137">
        <v>130.214</v>
      </c>
      <c r="K8" s="138">
        <v>1.2</v>
      </c>
    </row>
    <row r="9" spans="1:12" ht="25.5" customHeight="1" x14ac:dyDescent="0.2">
      <c r="A9" s="74" t="s">
        <v>301</v>
      </c>
      <c r="B9" s="293">
        <v>946.63099999999997</v>
      </c>
      <c r="C9" s="295">
        <v>0.4</v>
      </c>
      <c r="D9" s="340">
        <v>28.042999999999999</v>
      </c>
      <c r="E9" s="294">
        <v>10.1</v>
      </c>
      <c r="F9" s="340">
        <v>154.56</v>
      </c>
      <c r="G9" s="294">
        <v>29</v>
      </c>
      <c r="H9" s="341">
        <v>13.314</v>
      </c>
      <c r="I9" s="342">
        <v>5.6</v>
      </c>
      <c r="J9" s="137">
        <v>1142.548</v>
      </c>
      <c r="K9" s="138">
        <v>3.8</v>
      </c>
    </row>
    <row r="10" spans="1:12" ht="14.25" x14ac:dyDescent="0.2">
      <c r="A10" s="74" t="s">
        <v>258</v>
      </c>
      <c r="B10" s="293">
        <v>1.0840000000000001</v>
      </c>
      <c r="C10" s="295">
        <v>-0.8</v>
      </c>
      <c r="D10" s="293">
        <v>0.68400000000000005</v>
      </c>
      <c r="E10" s="295">
        <v>0.7</v>
      </c>
      <c r="F10" s="293">
        <v>1.415</v>
      </c>
      <c r="G10" s="295">
        <v>0.7</v>
      </c>
      <c r="H10" s="79">
        <v>0.63800000000000001</v>
      </c>
      <c r="I10" s="123">
        <v>14.3</v>
      </c>
      <c r="J10" s="137">
        <v>3.8210000000000002</v>
      </c>
      <c r="K10" s="138">
        <v>2.2999999999999998</v>
      </c>
    </row>
    <row r="11" spans="1:12" x14ac:dyDescent="0.2">
      <c r="A11" s="74" t="s">
        <v>16</v>
      </c>
      <c r="B11" s="293">
        <v>30.992999999999999</v>
      </c>
      <c r="C11" s="295">
        <v>2.5</v>
      </c>
      <c r="D11" s="293">
        <v>215.19200000000001</v>
      </c>
      <c r="E11" s="295">
        <v>1.4</v>
      </c>
      <c r="F11" s="293">
        <v>50.087000000000003</v>
      </c>
      <c r="G11" s="295">
        <v>-7.8</v>
      </c>
      <c r="H11" s="79">
        <v>3.38</v>
      </c>
      <c r="I11" s="123">
        <v>-5.5</v>
      </c>
      <c r="J11" s="137">
        <v>299.65199999999999</v>
      </c>
      <c r="K11" s="138">
        <v>-0.2</v>
      </c>
    </row>
    <row r="12" spans="1:12" ht="14.25" x14ac:dyDescent="0.2">
      <c r="A12" s="74" t="s">
        <v>302</v>
      </c>
      <c r="B12" s="296">
        <v>33.194000000000003</v>
      </c>
      <c r="C12" s="295">
        <v>8.1</v>
      </c>
      <c r="D12" s="296">
        <v>46.387</v>
      </c>
      <c r="E12" s="295">
        <v>127.4</v>
      </c>
      <c r="F12" s="296">
        <v>14.759</v>
      </c>
      <c r="G12" s="295">
        <v>-64.2</v>
      </c>
      <c r="H12" s="81">
        <v>0.20399999999999999</v>
      </c>
      <c r="I12" s="123">
        <v>-3.8</v>
      </c>
      <c r="J12" s="141">
        <v>94.543999999999997</v>
      </c>
      <c r="K12" s="138">
        <v>2.2000000000000002</v>
      </c>
    </row>
    <row r="13" spans="1:12" x14ac:dyDescent="0.2">
      <c r="A13" s="74" t="s">
        <v>18</v>
      </c>
      <c r="B13" s="293">
        <v>5.3529999999999998</v>
      </c>
      <c r="C13" s="295">
        <v>3.1</v>
      </c>
      <c r="D13" s="293">
        <v>1.3660000000000001</v>
      </c>
      <c r="E13" s="295">
        <v>5</v>
      </c>
      <c r="F13" s="293">
        <v>2.0760000000000001</v>
      </c>
      <c r="G13" s="295">
        <v>2.2999999999999998</v>
      </c>
      <c r="H13" s="79">
        <v>2.403</v>
      </c>
      <c r="I13" s="123">
        <v>6.4</v>
      </c>
      <c r="J13" s="137">
        <v>11.198</v>
      </c>
      <c r="K13" s="138">
        <v>3.9</v>
      </c>
    </row>
    <row r="14" spans="1:12" x14ac:dyDescent="0.2">
      <c r="A14" s="74" t="s">
        <v>193</v>
      </c>
      <c r="B14" s="293">
        <v>8.6229999999999993</v>
      </c>
      <c r="C14" s="295">
        <v>3.3</v>
      </c>
      <c r="D14" s="293">
        <v>2.992</v>
      </c>
      <c r="E14" s="295">
        <v>-1.6</v>
      </c>
      <c r="F14" s="293">
        <v>1.784</v>
      </c>
      <c r="G14" s="295">
        <v>-20.7</v>
      </c>
      <c r="H14" s="79">
        <v>3.6999999999999998E-2</v>
      </c>
      <c r="I14" s="123">
        <v>-15.9</v>
      </c>
      <c r="J14" s="137">
        <v>13.436</v>
      </c>
      <c r="K14" s="138">
        <v>-1.8</v>
      </c>
    </row>
    <row r="15" spans="1:12" s="82" customFormat="1" x14ac:dyDescent="0.2">
      <c r="A15" s="75" t="s">
        <v>190</v>
      </c>
      <c r="B15" s="297">
        <v>3.468</v>
      </c>
      <c r="C15" s="298">
        <v>3.3</v>
      </c>
      <c r="D15" s="297">
        <v>1.3149999999999999</v>
      </c>
      <c r="E15" s="298">
        <v>-1.5</v>
      </c>
      <c r="F15" s="297">
        <v>0.73</v>
      </c>
      <c r="G15" s="298">
        <v>-23</v>
      </c>
      <c r="H15" s="80">
        <v>2.9000000000000001E-2</v>
      </c>
      <c r="I15" s="124">
        <v>-19.399999999999999</v>
      </c>
      <c r="J15" s="139">
        <v>5.5419999999999998</v>
      </c>
      <c r="K15" s="140">
        <v>-2.2999999999999998</v>
      </c>
    </row>
    <row r="16" spans="1:12" s="82" customFormat="1" x14ac:dyDescent="0.2">
      <c r="A16" s="75" t="s">
        <v>11</v>
      </c>
      <c r="B16" s="297">
        <v>5.1550000000000002</v>
      </c>
      <c r="C16" s="298">
        <v>3.3</v>
      </c>
      <c r="D16" s="297">
        <v>1.677</v>
      </c>
      <c r="E16" s="298">
        <v>-1.7</v>
      </c>
      <c r="F16" s="297">
        <v>1.054</v>
      </c>
      <c r="G16" s="298">
        <v>-19.100000000000001</v>
      </c>
      <c r="H16" s="80">
        <v>8.0000000000000002E-3</v>
      </c>
      <c r="I16" s="124">
        <v>0</v>
      </c>
      <c r="J16" s="139">
        <v>7.8940000000000001</v>
      </c>
      <c r="K16" s="140">
        <v>-1.4</v>
      </c>
    </row>
    <row r="17" spans="1:12" ht="13.5" customHeight="1" x14ac:dyDescent="0.2">
      <c r="A17" s="265" t="s">
        <v>223</v>
      </c>
      <c r="B17" s="299">
        <v>18.937999999999999</v>
      </c>
      <c r="C17" s="300">
        <v>4</v>
      </c>
      <c r="D17" s="299">
        <v>14.602</v>
      </c>
      <c r="E17" s="300">
        <v>-0.6</v>
      </c>
      <c r="F17" s="299">
        <v>10.305</v>
      </c>
      <c r="G17" s="300">
        <v>-6.3</v>
      </c>
      <c r="H17" s="132">
        <v>1.7430000000000001</v>
      </c>
      <c r="I17" s="133">
        <v>1.3</v>
      </c>
      <c r="J17" s="142">
        <v>45.588000000000001</v>
      </c>
      <c r="K17" s="143">
        <v>-0.1</v>
      </c>
    </row>
    <row r="18" spans="1:12" x14ac:dyDescent="0.2">
      <c r="A18" s="76" t="s">
        <v>1</v>
      </c>
      <c r="B18" s="302">
        <v>1158.0930000000001</v>
      </c>
      <c r="C18" s="301">
        <v>0.4</v>
      </c>
      <c r="D18" s="302">
        <v>474.71699999999998</v>
      </c>
      <c r="E18" s="301">
        <v>7.3</v>
      </c>
      <c r="F18" s="302">
        <v>390.98200000000003</v>
      </c>
      <c r="G18" s="301">
        <v>1.1000000000000001</v>
      </c>
      <c r="H18" s="398">
        <v>34.762999999999998</v>
      </c>
      <c r="I18" s="134">
        <v>30.7</v>
      </c>
      <c r="J18" s="398">
        <v>2058.5549999999998</v>
      </c>
      <c r="K18" s="399">
        <v>2.5</v>
      </c>
      <c r="L18" s="292"/>
    </row>
    <row r="19" spans="1:12" ht="14.25" x14ac:dyDescent="0.2">
      <c r="A19" s="76" t="s">
        <v>278</v>
      </c>
      <c r="B19" s="302">
        <v>263.714</v>
      </c>
      <c r="C19" s="303">
        <v>0.8</v>
      </c>
      <c r="D19" s="302">
        <v>474.197</v>
      </c>
      <c r="E19" s="303">
        <v>7.4</v>
      </c>
      <c r="F19" s="302">
        <v>390.98200000000003</v>
      </c>
      <c r="G19" s="303">
        <v>1.1000000000000001</v>
      </c>
      <c r="H19" s="285">
        <v>34.762999999999998</v>
      </c>
      <c r="I19" s="286">
        <v>30.7</v>
      </c>
      <c r="J19" s="285">
        <v>1163.6559999999999</v>
      </c>
      <c r="K19" s="400">
        <v>4.2</v>
      </c>
      <c r="L19" s="292"/>
    </row>
    <row r="20" spans="1:12" x14ac:dyDescent="0.2">
      <c r="A20" s="117" t="s">
        <v>10</v>
      </c>
      <c r="B20" s="1"/>
      <c r="C20" s="1"/>
      <c r="D20" s="1"/>
      <c r="E20" s="1"/>
      <c r="F20" s="1"/>
      <c r="G20" s="1"/>
      <c r="H20" s="1"/>
      <c r="I20" s="1"/>
      <c r="J20" s="77"/>
    </row>
    <row r="21" spans="1:12" x14ac:dyDescent="0.2">
      <c r="A21" s="183" t="s">
        <v>192</v>
      </c>
      <c r="B21" s="14"/>
      <c r="C21" s="14"/>
      <c r="D21" s="14"/>
      <c r="E21" s="14"/>
      <c r="F21" s="14"/>
      <c r="G21" s="14"/>
      <c r="H21" s="14"/>
      <c r="I21" s="287"/>
      <c r="J21" s="287"/>
      <c r="K21" s="339"/>
      <c r="L21" s="339"/>
    </row>
    <row r="22" spans="1:12" ht="25.5" customHeight="1" x14ac:dyDescent="0.2">
      <c r="A22" s="440" t="s">
        <v>274</v>
      </c>
      <c r="B22" s="441"/>
      <c r="C22" s="441"/>
      <c r="D22" s="441"/>
      <c r="E22" s="441"/>
      <c r="F22" s="441"/>
      <c r="G22" s="441"/>
      <c r="H22" s="441"/>
      <c r="I22" s="441"/>
      <c r="J22" s="441"/>
      <c r="K22" s="441"/>
      <c r="L22" s="339"/>
    </row>
    <row r="23" spans="1:12" s="119" customFormat="1" x14ac:dyDescent="0.2">
      <c r="A23" s="345" t="s">
        <v>275</v>
      </c>
      <c r="J23" s="58"/>
      <c r="K23" s="58"/>
      <c r="L23" s="58"/>
    </row>
    <row r="24" spans="1:12" s="119" customFormat="1" x14ac:dyDescent="0.2">
      <c r="A24" s="345" t="s">
        <v>276</v>
      </c>
      <c r="J24" s="58"/>
      <c r="K24" s="58"/>
      <c r="L24" s="58"/>
    </row>
    <row r="25" spans="1:12" x14ac:dyDescent="0.2">
      <c r="A25" s="118" t="s">
        <v>277</v>
      </c>
      <c r="B25" s="14"/>
      <c r="C25" s="14"/>
      <c r="D25" s="14"/>
      <c r="E25" s="14"/>
      <c r="F25" s="14"/>
      <c r="G25" s="14"/>
      <c r="H25" s="14"/>
      <c r="I25" s="14"/>
    </row>
    <row r="26" spans="1:12" x14ac:dyDescent="0.2">
      <c r="A26" s="397" t="s">
        <v>303</v>
      </c>
      <c r="B26" s="14"/>
      <c r="C26" s="14"/>
      <c r="D26" s="14"/>
      <c r="E26" s="14"/>
      <c r="F26" s="14"/>
      <c r="G26" s="14"/>
      <c r="H26" s="14"/>
      <c r="I26" s="14"/>
    </row>
    <row r="27" spans="1:12" x14ac:dyDescent="0.2">
      <c r="A27" s="402" t="s">
        <v>286</v>
      </c>
    </row>
    <row r="29" spans="1:12" x14ac:dyDescent="0.2">
      <c r="H29" s="401"/>
    </row>
    <row r="36" ht="13.5" customHeight="1" x14ac:dyDescent="0.2"/>
    <row r="58" spans="10:12" x14ac:dyDescent="0.2">
      <c r="J58" s="339"/>
      <c r="K58" s="339"/>
      <c r="L58" s="339"/>
    </row>
  </sheetData>
  <mergeCells count="7">
    <mergeCell ref="A22:K22"/>
    <mergeCell ref="A3:A4"/>
    <mergeCell ref="B3:C3"/>
    <mergeCell ref="D3:E3"/>
    <mergeCell ref="F3:G3"/>
    <mergeCell ref="J3:K3"/>
    <mergeCell ref="H3:I3"/>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48"/>
  <sheetViews>
    <sheetView showGridLines="0" zoomScaleNormal="100" workbookViewId="0">
      <pane xSplit="1" ySplit="4" topLeftCell="B5" activePane="bottomRight" state="frozen"/>
      <selection pane="topRight" activeCell="B1" sqref="B1"/>
      <selection pane="bottomLeft" activeCell="A5" sqref="A5"/>
      <selection pane="bottomRight"/>
    </sheetView>
  </sheetViews>
  <sheetFormatPr baseColWidth="10" defaultColWidth="11.42578125" defaultRowHeight="12.75" x14ac:dyDescent="0.2"/>
  <cols>
    <col min="1" max="1" width="59" style="263" customWidth="1"/>
    <col min="2" max="5" width="12.28515625" style="264" customWidth="1"/>
    <col min="6" max="7" width="12.28515625" style="263" customWidth="1"/>
    <col min="8" max="8" width="13.85546875" style="263" customWidth="1"/>
    <col min="9" max="16384" width="11.42578125" style="227"/>
  </cols>
  <sheetData>
    <row r="1" spans="1:8" x14ac:dyDescent="0.2">
      <c r="A1" s="226" t="s">
        <v>218</v>
      </c>
      <c r="B1" s="226"/>
      <c r="C1" s="226"/>
      <c r="D1" s="226"/>
      <c r="E1" s="226"/>
      <c r="F1" s="226"/>
      <c r="G1" s="226"/>
      <c r="H1" s="262"/>
    </row>
    <row r="2" spans="1:8" ht="12.75" customHeight="1" x14ac:dyDescent="0.2">
      <c r="A2" s="228" t="s">
        <v>28</v>
      </c>
      <c r="B2" s="226"/>
      <c r="C2" s="226"/>
      <c r="D2" s="226"/>
      <c r="E2" s="226"/>
      <c r="F2" s="226"/>
      <c r="G2" s="226"/>
      <c r="H2" s="262"/>
    </row>
    <row r="3" spans="1:8" ht="27" customHeight="1" x14ac:dyDescent="0.2">
      <c r="A3" s="448"/>
      <c r="B3" s="450" t="s">
        <v>293</v>
      </c>
      <c r="C3" s="451"/>
      <c r="D3" s="450" t="s">
        <v>240</v>
      </c>
      <c r="E3" s="451"/>
      <c r="F3" s="452" t="s">
        <v>294</v>
      </c>
      <c r="G3" s="451"/>
      <c r="H3" s="262"/>
    </row>
    <row r="4" spans="1:8" s="229" customFormat="1" ht="51" x14ac:dyDescent="0.2">
      <c r="A4" s="449"/>
      <c r="B4" s="207" t="s">
        <v>7</v>
      </c>
      <c r="C4" s="208" t="s">
        <v>54</v>
      </c>
      <c r="D4" s="207" t="s">
        <v>7</v>
      </c>
      <c r="E4" s="208" t="s">
        <v>54</v>
      </c>
      <c r="F4" s="207" t="s">
        <v>7</v>
      </c>
      <c r="G4" s="208" t="s">
        <v>53</v>
      </c>
      <c r="H4" s="262"/>
    </row>
    <row r="5" spans="1:8" ht="15" customHeight="1" x14ac:dyDescent="0.2">
      <c r="A5" s="230" t="s">
        <v>52</v>
      </c>
      <c r="B5" s="231">
        <v>581.71100000000001</v>
      </c>
      <c r="C5" s="196">
        <v>55</v>
      </c>
      <c r="D5" s="231">
        <v>583.60900000000004</v>
      </c>
      <c r="E5" s="196">
        <v>55</v>
      </c>
      <c r="F5" s="231">
        <f t="shared" ref="F5:F40" si="0">B5-D5</f>
        <v>-1.8980000000000246</v>
      </c>
      <c r="G5" s="196">
        <f t="shared" ref="G5:G40" si="1">C5-E5</f>
        <v>0</v>
      </c>
      <c r="H5" s="329"/>
    </row>
    <row r="6" spans="1:8" x14ac:dyDescent="0.2">
      <c r="A6" s="33" t="s">
        <v>51</v>
      </c>
      <c r="B6" s="32">
        <v>89.245000000000005</v>
      </c>
      <c r="C6" s="31">
        <v>43</v>
      </c>
      <c r="D6" s="32">
        <v>88.528000000000006</v>
      </c>
      <c r="E6" s="31">
        <v>43</v>
      </c>
      <c r="F6" s="32">
        <f t="shared" si="0"/>
        <v>0.71699999999999875</v>
      </c>
      <c r="G6" s="31">
        <f t="shared" si="1"/>
        <v>0</v>
      </c>
      <c r="H6" s="329"/>
    </row>
    <row r="7" spans="1:8" x14ac:dyDescent="0.2">
      <c r="A7" s="30" t="s">
        <v>50</v>
      </c>
      <c r="B7" s="29">
        <v>12.888</v>
      </c>
      <c r="C7" s="28">
        <v>40</v>
      </c>
      <c r="D7" s="29">
        <v>12.760999999999999</v>
      </c>
      <c r="E7" s="28">
        <v>40</v>
      </c>
      <c r="F7" s="29">
        <f t="shared" si="0"/>
        <v>0.12700000000000067</v>
      </c>
      <c r="G7" s="28">
        <f t="shared" si="1"/>
        <v>0</v>
      </c>
      <c r="H7" s="329"/>
    </row>
    <row r="8" spans="1:8" x14ac:dyDescent="0.2">
      <c r="A8" s="30" t="s">
        <v>49</v>
      </c>
      <c r="B8" s="29">
        <v>13.459</v>
      </c>
      <c r="C8" s="28">
        <v>63</v>
      </c>
      <c r="D8" s="29">
        <v>13.211</v>
      </c>
      <c r="E8" s="28">
        <v>63</v>
      </c>
      <c r="F8" s="29">
        <f t="shared" si="0"/>
        <v>0.24799999999999933</v>
      </c>
      <c r="G8" s="28">
        <f t="shared" si="1"/>
        <v>0</v>
      </c>
      <c r="H8" s="329"/>
    </row>
    <row r="9" spans="1:8" x14ac:dyDescent="0.2">
      <c r="A9" s="232" t="s">
        <v>48</v>
      </c>
      <c r="B9" s="233">
        <v>62.898000000000003</v>
      </c>
      <c r="C9" s="234">
        <v>40</v>
      </c>
      <c r="D9" s="233">
        <v>62.555999999999997</v>
      </c>
      <c r="E9" s="234">
        <v>40</v>
      </c>
      <c r="F9" s="233">
        <f t="shared" si="0"/>
        <v>0.34200000000000585</v>
      </c>
      <c r="G9" s="234">
        <f t="shared" si="1"/>
        <v>0</v>
      </c>
      <c r="H9" s="329"/>
    </row>
    <row r="10" spans="1:8" x14ac:dyDescent="0.2">
      <c r="A10" s="33" t="s">
        <v>195</v>
      </c>
      <c r="B10" s="32">
        <v>490.99900000000002</v>
      </c>
      <c r="C10" s="31">
        <v>58</v>
      </c>
      <c r="D10" s="32">
        <v>493.71100000000001</v>
      </c>
      <c r="E10" s="31">
        <v>58</v>
      </c>
      <c r="F10" s="32">
        <f t="shared" si="0"/>
        <v>-2.7119999999999891</v>
      </c>
      <c r="G10" s="31">
        <f t="shared" si="1"/>
        <v>0</v>
      </c>
      <c r="H10" s="329"/>
    </row>
    <row r="11" spans="1:8" x14ac:dyDescent="0.2">
      <c r="A11" s="30" t="s">
        <v>47</v>
      </c>
      <c r="B11" s="29">
        <v>79.668000000000006</v>
      </c>
      <c r="C11" s="28">
        <v>58</v>
      </c>
      <c r="D11" s="29">
        <v>77.481999999999999</v>
      </c>
      <c r="E11" s="28">
        <v>58</v>
      </c>
      <c r="F11" s="29">
        <f t="shared" si="0"/>
        <v>2.186000000000007</v>
      </c>
      <c r="G11" s="28">
        <f t="shared" si="1"/>
        <v>0</v>
      </c>
      <c r="H11" s="329"/>
    </row>
    <row r="12" spans="1:8" x14ac:dyDescent="0.2">
      <c r="A12" s="30" t="s">
        <v>255</v>
      </c>
      <c r="B12" s="233">
        <v>48.036999999999999</v>
      </c>
      <c r="C12" s="28">
        <v>43</v>
      </c>
      <c r="D12" s="233">
        <v>46.844000000000001</v>
      </c>
      <c r="E12" s="28">
        <v>42</v>
      </c>
      <c r="F12" s="233">
        <f t="shared" si="0"/>
        <v>1.1929999999999978</v>
      </c>
      <c r="G12" s="28">
        <f t="shared" si="1"/>
        <v>1</v>
      </c>
      <c r="H12" s="329"/>
    </row>
    <row r="13" spans="1:8" x14ac:dyDescent="0.2">
      <c r="A13" s="30" t="s">
        <v>46</v>
      </c>
      <c r="B13" s="283">
        <v>308.18400000000003</v>
      </c>
      <c r="C13" s="28">
        <v>60</v>
      </c>
      <c r="D13" s="283">
        <v>312.71100000000001</v>
      </c>
      <c r="E13" s="28">
        <v>60</v>
      </c>
      <c r="F13" s="29">
        <f t="shared" si="0"/>
        <v>-4.5269999999999868</v>
      </c>
      <c r="G13" s="28">
        <f t="shared" si="1"/>
        <v>0</v>
      </c>
      <c r="H13" s="329"/>
    </row>
    <row r="14" spans="1:8" s="10" customFormat="1" x14ac:dyDescent="0.2">
      <c r="A14" s="30" t="s">
        <v>45</v>
      </c>
      <c r="B14" s="29">
        <v>3.8759999999999999</v>
      </c>
      <c r="C14" s="28">
        <v>28</v>
      </c>
      <c r="D14" s="29">
        <v>4.0359999999999996</v>
      </c>
      <c r="E14" s="28">
        <v>26</v>
      </c>
      <c r="F14" s="29">
        <f t="shared" si="0"/>
        <v>-0.1599999999999997</v>
      </c>
      <c r="G14" s="28">
        <f t="shared" si="1"/>
        <v>2</v>
      </c>
      <c r="H14" s="329"/>
    </row>
    <row r="15" spans="1:8" s="10" customFormat="1" x14ac:dyDescent="0.2">
      <c r="A15" s="232" t="s">
        <v>227</v>
      </c>
      <c r="B15" s="283">
        <v>51.234000000000002</v>
      </c>
      <c r="C15" s="234">
        <v>57</v>
      </c>
      <c r="D15" s="283">
        <v>52.637999999999998</v>
      </c>
      <c r="E15" s="234">
        <v>56</v>
      </c>
      <c r="F15" s="233">
        <f t="shared" si="0"/>
        <v>-1.4039999999999964</v>
      </c>
      <c r="G15" s="234">
        <f t="shared" si="1"/>
        <v>1</v>
      </c>
      <c r="H15" s="329"/>
    </row>
    <row r="16" spans="1:8" s="10" customFormat="1" x14ac:dyDescent="0.2">
      <c r="A16" s="235" t="s">
        <v>233</v>
      </c>
      <c r="B16" s="236">
        <v>1.4670000000000001</v>
      </c>
      <c r="C16" s="237">
        <v>67</v>
      </c>
      <c r="D16" s="236">
        <v>1.37</v>
      </c>
      <c r="E16" s="237">
        <v>69</v>
      </c>
      <c r="F16" s="236">
        <f t="shared" si="0"/>
        <v>9.6999999999999975E-2</v>
      </c>
      <c r="G16" s="237">
        <f t="shared" si="1"/>
        <v>-2</v>
      </c>
      <c r="H16" s="329"/>
    </row>
    <row r="17" spans="1:8" s="10" customFormat="1" x14ac:dyDescent="0.2">
      <c r="A17" s="238" t="s">
        <v>44</v>
      </c>
      <c r="B17" s="239">
        <v>629.56200000000001</v>
      </c>
      <c r="C17" s="240">
        <v>74</v>
      </c>
      <c r="D17" s="239">
        <v>624.10299999999995</v>
      </c>
      <c r="E17" s="240">
        <v>74</v>
      </c>
      <c r="F17" s="239">
        <f t="shared" si="0"/>
        <v>5.45900000000006</v>
      </c>
      <c r="G17" s="240">
        <f t="shared" si="1"/>
        <v>0</v>
      </c>
      <c r="H17" s="329"/>
    </row>
    <row r="18" spans="1:8" s="10" customFormat="1" x14ac:dyDescent="0.2">
      <c r="A18" s="235" t="s">
        <v>43</v>
      </c>
      <c r="B18" s="236">
        <v>453.31400000000002</v>
      </c>
      <c r="C18" s="237">
        <v>79</v>
      </c>
      <c r="D18" s="236">
        <v>447.21100000000001</v>
      </c>
      <c r="E18" s="237">
        <v>79</v>
      </c>
      <c r="F18" s="236">
        <f t="shared" si="0"/>
        <v>6.1030000000000086</v>
      </c>
      <c r="G18" s="237">
        <f t="shared" si="1"/>
        <v>0</v>
      </c>
      <c r="H18" s="329"/>
    </row>
    <row r="19" spans="1:8" s="10" customFormat="1" x14ac:dyDescent="0.2">
      <c r="A19" s="232" t="s">
        <v>42</v>
      </c>
      <c r="B19" s="233">
        <v>343.71800000000002</v>
      </c>
      <c r="C19" s="234">
        <v>85</v>
      </c>
      <c r="D19" s="233">
        <v>340.03300000000002</v>
      </c>
      <c r="E19" s="234">
        <v>85</v>
      </c>
      <c r="F19" s="233">
        <f t="shared" si="0"/>
        <v>3.6850000000000023</v>
      </c>
      <c r="G19" s="234">
        <f t="shared" si="1"/>
        <v>0</v>
      </c>
      <c r="H19" s="329"/>
    </row>
    <row r="20" spans="1:8" s="10" customFormat="1" x14ac:dyDescent="0.2">
      <c r="A20" s="232" t="s">
        <v>41</v>
      </c>
      <c r="B20" s="233">
        <v>54.744</v>
      </c>
      <c r="C20" s="234">
        <v>51</v>
      </c>
      <c r="D20" s="233">
        <v>55.497</v>
      </c>
      <c r="E20" s="234">
        <v>51</v>
      </c>
      <c r="F20" s="233">
        <f t="shared" si="0"/>
        <v>-0.75300000000000011</v>
      </c>
      <c r="G20" s="234">
        <f t="shared" si="1"/>
        <v>0</v>
      </c>
      <c r="H20" s="329"/>
    </row>
    <row r="21" spans="1:8" s="10" customFormat="1" x14ac:dyDescent="0.2">
      <c r="A21" s="232" t="s">
        <v>40</v>
      </c>
      <c r="B21" s="233">
        <v>3.42</v>
      </c>
      <c r="C21" s="234">
        <v>37</v>
      </c>
      <c r="D21" s="233">
        <v>3.11</v>
      </c>
      <c r="E21" s="234">
        <v>37</v>
      </c>
      <c r="F21" s="233">
        <f t="shared" si="0"/>
        <v>0.31000000000000005</v>
      </c>
      <c r="G21" s="234">
        <f t="shared" si="1"/>
        <v>0</v>
      </c>
      <c r="H21" s="329"/>
    </row>
    <row r="22" spans="1:8" s="10" customFormat="1" ht="27" x14ac:dyDescent="0.2">
      <c r="A22" s="232" t="s">
        <v>298</v>
      </c>
      <c r="B22" s="233">
        <v>2.2850000000000001</v>
      </c>
      <c r="C22" s="234">
        <v>31</v>
      </c>
      <c r="D22" s="366" t="s">
        <v>296</v>
      </c>
      <c r="E22" s="403" t="s">
        <v>296</v>
      </c>
      <c r="F22" s="404" t="s">
        <v>296</v>
      </c>
      <c r="G22" s="403" t="s">
        <v>296</v>
      </c>
      <c r="H22" s="329"/>
    </row>
    <row r="23" spans="1:8" s="10" customFormat="1" x14ac:dyDescent="0.2">
      <c r="A23" s="232" t="s">
        <v>227</v>
      </c>
      <c r="B23" s="233">
        <v>49.146999999999998</v>
      </c>
      <c r="C23" s="234">
        <v>72</v>
      </c>
      <c r="D23" s="233">
        <v>48.570999999999998</v>
      </c>
      <c r="E23" s="234">
        <v>72</v>
      </c>
      <c r="F23" s="233">
        <f t="shared" si="0"/>
        <v>0.57600000000000051</v>
      </c>
      <c r="G23" s="284">
        <f t="shared" si="1"/>
        <v>0</v>
      </c>
      <c r="H23" s="329"/>
    </row>
    <row r="24" spans="1:8" s="10" customFormat="1" x14ac:dyDescent="0.2">
      <c r="A24" s="235" t="s">
        <v>39</v>
      </c>
      <c r="B24" s="241">
        <v>175.24</v>
      </c>
      <c r="C24" s="237">
        <v>62</v>
      </c>
      <c r="D24" s="241">
        <v>176.089</v>
      </c>
      <c r="E24" s="237">
        <v>61</v>
      </c>
      <c r="F24" s="241">
        <f t="shared" si="0"/>
        <v>-0.84899999999998954</v>
      </c>
      <c r="G24" s="237">
        <f t="shared" si="1"/>
        <v>1</v>
      </c>
      <c r="H24" s="329"/>
    </row>
    <row r="25" spans="1:8" s="10" customFormat="1" x14ac:dyDescent="0.2">
      <c r="A25" s="232" t="s">
        <v>38</v>
      </c>
      <c r="B25" s="233">
        <v>11.512</v>
      </c>
      <c r="C25" s="234">
        <v>87</v>
      </c>
      <c r="D25" s="233">
        <v>11.522</v>
      </c>
      <c r="E25" s="234">
        <v>87</v>
      </c>
      <c r="F25" s="233">
        <f t="shared" si="0"/>
        <v>-9.9999999999997868E-3</v>
      </c>
      <c r="G25" s="234">
        <f t="shared" si="1"/>
        <v>0</v>
      </c>
      <c r="H25" s="329"/>
    </row>
    <row r="26" spans="1:8" s="10" customFormat="1" ht="25.5" x14ac:dyDescent="0.2">
      <c r="A26" s="242" t="s">
        <v>37</v>
      </c>
      <c r="B26" s="243">
        <v>157.09899999999999</v>
      </c>
      <c r="C26" s="234">
        <v>60</v>
      </c>
      <c r="D26" s="243">
        <v>155.863</v>
      </c>
      <c r="E26" s="234">
        <v>60</v>
      </c>
      <c r="F26" s="243">
        <f t="shared" si="0"/>
        <v>1.23599999999999</v>
      </c>
      <c r="G26" s="234">
        <f t="shared" si="1"/>
        <v>0</v>
      </c>
      <c r="H26" s="330"/>
    </row>
    <row r="27" spans="1:8" s="244" customFormat="1" ht="27" x14ac:dyDescent="0.2">
      <c r="A27" s="232" t="s">
        <v>298</v>
      </c>
      <c r="B27" s="233">
        <v>0.191</v>
      </c>
      <c r="C27" s="284">
        <v>29</v>
      </c>
      <c r="D27" s="233">
        <v>2.0760000000000001</v>
      </c>
      <c r="E27" s="234">
        <v>30</v>
      </c>
      <c r="F27" s="233">
        <f t="shared" si="0"/>
        <v>-1.885</v>
      </c>
      <c r="G27" s="234">
        <f t="shared" si="1"/>
        <v>-1</v>
      </c>
      <c r="H27" s="329"/>
    </row>
    <row r="28" spans="1:8" s="244" customFormat="1" x14ac:dyDescent="0.2">
      <c r="A28" s="232" t="s">
        <v>228</v>
      </c>
      <c r="B28" s="233">
        <v>6.4379999999999997</v>
      </c>
      <c r="C28" s="234">
        <v>56</v>
      </c>
      <c r="D28" s="233">
        <v>6.6280000000000001</v>
      </c>
      <c r="E28" s="234">
        <v>55</v>
      </c>
      <c r="F28" s="233">
        <f t="shared" si="0"/>
        <v>-0.19000000000000039</v>
      </c>
      <c r="G28" s="284">
        <f t="shared" si="1"/>
        <v>1</v>
      </c>
      <c r="H28" s="329"/>
    </row>
    <row r="29" spans="1:8" s="244" customFormat="1" x14ac:dyDescent="0.2">
      <c r="A29" s="245" t="s">
        <v>234</v>
      </c>
      <c r="B29" s="246">
        <v>1.008</v>
      </c>
      <c r="C29" s="247">
        <v>66</v>
      </c>
      <c r="D29" s="246">
        <v>0.80300000000000005</v>
      </c>
      <c r="E29" s="247">
        <v>81</v>
      </c>
      <c r="F29" s="246">
        <f t="shared" si="0"/>
        <v>0.20499999999999996</v>
      </c>
      <c r="G29" s="247">
        <f t="shared" si="1"/>
        <v>-15</v>
      </c>
      <c r="H29" s="329"/>
    </row>
    <row r="30" spans="1:8" s="10" customFormat="1" x14ac:dyDescent="0.2">
      <c r="A30" s="248" t="s">
        <v>36</v>
      </c>
      <c r="B30" s="241">
        <v>290.31900000000002</v>
      </c>
      <c r="C30" s="249">
        <v>46</v>
      </c>
      <c r="D30" s="241">
        <v>295.72399999999999</v>
      </c>
      <c r="E30" s="249">
        <v>46</v>
      </c>
      <c r="F30" s="241">
        <f t="shared" si="0"/>
        <v>-5.4049999999999727</v>
      </c>
      <c r="G30" s="249">
        <f t="shared" si="1"/>
        <v>0</v>
      </c>
      <c r="H30" s="329"/>
    </row>
    <row r="31" spans="1:8" s="10" customFormat="1" x14ac:dyDescent="0.2">
      <c r="A31" s="235" t="s">
        <v>35</v>
      </c>
      <c r="B31" s="236">
        <v>137.75299999999999</v>
      </c>
      <c r="C31" s="237">
        <v>24</v>
      </c>
      <c r="D31" s="236">
        <v>109.286</v>
      </c>
      <c r="E31" s="237">
        <v>23</v>
      </c>
      <c r="F31" s="236">
        <f t="shared" si="0"/>
        <v>28.466999999999985</v>
      </c>
      <c r="G31" s="237">
        <f t="shared" si="1"/>
        <v>1</v>
      </c>
      <c r="H31" s="329"/>
    </row>
    <row r="32" spans="1:8" s="10" customFormat="1" x14ac:dyDescent="0.2">
      <c r="A32" s="232" t="s">
        <v>34</v>
      </c>
      <c r="B32" s="233">
        <v>60.692</v>
      </c>
      <c r="C32" s="234">
        <v>21</v>
      </c>
      <c r="D32" s="233">
        <v>61.418999999999997</v>
      </c>
      <c r="E32" s="234">
        <v>21</v>
      </c>
      <c r="F32" s="233">
        <f t="shared" si="0"/>
        <v>-0.72699999999999676</v>
      </c>
      <c r="G32" s="234">
        <f t="shared" si="1"/>
        <v>0</v>
      </c>
      <c r="H32" s="329"/>
    </row>
    <row r="33" spans="1:8" s="10" customFormat="1" x14ac:dyDescent="0.2">
      <c r="A33" s="232" t="s">
        <v>33</v>
      </c>
      <c r="B33" s="233">
        <v>48.798000000000002</v>
      </c>
      <c r="C33" s="234">
        <v>25</v>
      </c>
      <c r="D33" s="233">
        <v>46.959000000000003</v>
      </c>
      <c r="E33" s="234">
        <v>25</v>
      </c>
      <c r="F33" s="233">
        <f t="shared" si="0"/>
        <v>1.8389999999999986</v>
      </c>
      <c r="G33" s="234">
        <f t="shared" si="1"/>
        <v>0</v>
      </c>
      <c r="H33" s="329"/>
    </row>
    <row r="34" spans="1:8" s="10" customFormat="1" ht="14.25" x14ac:dyDescent="0.2">
      <c r="A34" s="232" t="s">
        <v>299</v>
      </c>
      <c r="B34" s="233">
        <v>27.37</v>
      </c>
      <c r="C34" s="234">
        <v>26</v>
      </c>
      <c r="D34" s="366" t="s">
        <v>296</v>
      </c>
      <c r="E34" s="403" t="s">
        <v>296</v>
      </c>
      <c r="F34" s="404" t="s">
        <v>296</v>
      </c>
      <c r="G34" s="403" t="s">
        <v>296</v>
      </c>
      <c r="H34" s="329"/>
    </row>
    <row r="35" spans="1:8" s="244" customFormat="1" x14ac:dyDescent="0.2">
      <c r="A35" s="232" t="s">
        <v>228</v>
      </c>
      <c r="B35" s="283">
        <v>0.89300000000000002</v>
      </c>
      <c r="C35" s="284">
        <v>86</v>
      </c>
      <c r="D35" s="283">
        <v>0.90800000000000003</v>
      </c>
      <c r="E35" s="284">
        <v>86</v>
      </c>
      <c r="F35" s="283">
        <f t="shared" si="0"/>
        <v>-1.5000000000000013E-2</v>
      </c>
      <c r="G35" s="284">
        <f t="shared" si="1"/>
        <v>0</v>
      </c>
      <c r="H35" s="329"/>
    </row>
    <row r="36" spans="1:8" s="10" customFormat="1" x14ac:dyDescent="0.2">
      <c r="A36" s="235" t="s">
        <v>32</v>
      </c>
      <c r="B36" s="241">
        <v>151.649</v>
      </c>
      <c r="C36" s="249">
        <v>66</v>
      </c>
      <c r="D36" s="241">
        <v>185.55600000000001</v>
      </c>
      <c r="E36" s="249">
        <v>60</v>
      </c>
      <c r="F36" s="241">
        <f t="shared" si="0"/>
        <v>-33.907000000000011</v>
      </c>
      <c r="G36" s="249">
        <f t="shared" si="1"/>
        <v>6</v>
      </c>
      <c r="H36" s="329"/>
    </row>
    <row r="37" spans="1:8" s="10" customFormat="1" x14ac:dyDescent="0.2">
      <c r="A37" s="232" t="s">
        <v>31</v>
      </c>
      <c r="B37" s="243">
        <v>142.142</v>
      </c>
      <c r="C37" s="234">
        <v>67</v>
      </c>
      <c r="D37" s="243">
        <v>148.648</v>
      </c>
      <c r="E37" s="234">
        <v>68</v>
      </c>
      <c r="F37" s="243">
        <f t="shared" si="0"/>
        <v>-6.5060000000000002</v>
      </c>
      <c r="G37" s="234">
        <f t="shared" si="1"/>
        <v>-1</v>
      </c>
      <c r="H37" s="329"/>
    </row>
    <row r="38" spans="1:8" s="10" customFormat="1" ht="14.25" x14ac:dyDescent="0.2">
      <c r="A38" s="232" t="s">
        <v>299</v>
      </c>
      <c r="B38" s="243">
        <v>8.2000000000000003E-2</v>
      </c>
      <c r="C38" s="284">
        <v>34</v>
      </c>
      <c r="D38" s="243">
        <v>27.126000000000001</v>
      </c>
      <c r="E38" s="234">
        <v>26</v>
      </c>
      <c r="F38" s="243">
        <f t="shared" si="0"/>
        <v>-27.044</v>
      </c>
      <c r="G38" s="234">
        <f t="shared" si="1"/>
        <v>8</v>
      </c>
      <c r="H38" s="329"/>
    </row>
    <row r="39" spans="1:8" s="244" customFormat="1" x14ac:dyDescent="0.2">
      <c r="A39" s="232" t="s">
        <v>229</v>
      </c>
      <c r="B39" s="233">
        <v>9.4250000000000007</v>
      </c>
      <c r="C39" s="234">
        <v>41</v>
      </c>
      <c r="D39" s="233">
        <v>9.782</v>
      </c>
      <c r="E39" s="234">
        <v>42</v>
      </c>
      <c r="F39" s="233">
        <f t="shared" si="0"/>
        <v>-0.35699999999999932</v>
      </c>
      <c r="G39" s="234">
        <f t="shared" si="1"/>
        <v>-1</v>
      </c>
      <c r="H39" s="329"/>
    </row>
    <row r="40" spans="1:8" s="10" customFormat="1" x14ac:dyDescent="0.2">
      <c r="A40" s="235" t="s">
        <v>230</v>
      </c>
      <c r="B40" s="241">
        <v>0.91700000000000004</v>
      </c>
      <c r="C40" s="237">
        <v>52</v>
      </c>
      <c r="D40" s="241">
        <v>0.88200000000000001</v>
      </c>
      <c r="E40" s="237">
        <v>54</v>
      </c>
      <c r="F40" s="241">
        <f t="shared" si="0"/>
        <v>3.5000000000000031E-2</v>
      </c>
      <c r="G40" s="237">
        <f t="shared" si="1"/>
        <v>-2</v>
      </c>
      <c r="H40" s="329"/>
    </row>
    <row r="41" spans="1:8" s="10" customFormat="1" x14ac:dyDescent="0.2">
      <c r="A41" s="250" t="s">
        <v>231</v>
      </c>
      <c r="B41" s="251">
        <v>0.14399999999999999</v>
      </c>
      <c r="C41" s="252">
        <v>43</v>
      </c>
      <c r="D41" s="251">
        <v>8.5999999999999993E-2</v>
      </c>
      <c r="E41" s="252">
        <v>49</v>
      </c>
      <c r="F41" s="251">
        <f>B41-D41</f>
        <v>5.7999999999999996E-2</v>
      </c>
      <c r="G41" s="252" t="s">
        <v>232</v>
      </c>
      <c r="H41" s="329"/>
    </row>
    <row r="42" spans="1:8" s="10" customFormat="1" x14ac:dyDescent="0.2">
      <c r="A42" s="253" t="s">
        <v>1</v>
      </c>
      <c r="B42" s="194">
        <v>1501.7360000000001</v>
      </c>
      <c r="C42" s="195">
        <v>62</v>
      </c>
      <c r="D42" s="194">
        <v>1503.5219999999999</v>
      </c>
      <c r="E42" s="195">
        <v>61</v>
      </c>
      <c r="F42" s="194">
        <f>B42-D42</f>
        <v>-1.7859999999998308</v>
      </c>
      <c r="G42" s="195">
        <f>C42-E42</f>
        <v>1</v>
      </c>
      <c r="H42" s="329"/>
    </row>
    <row r="43" spans="1:8" s="10" customFormat="1" x14ac:dyDescent="0.2">
      <c r="A43" s="254" t="s">
        <v>10</v>
      </c>
      <c r="B43" s="255"/>
      <c r="C43" s="255"/>
      <c r="D43" s="255"/>
      <c r="E43" s="255"/>
      <c r="F43" s="256"/>
      <c r="G43" s="256"/>
      <c r="H43" s="255"/>
    </row>
    <row r="44" spans="1:8" x14ac:dyDescent="0.2">
      <c r="A44" s="254" t="s">
        <v>55</v>
      </c>
      <c r="B44" s="257"/>
      <c r="C44" s="257"/>
      <c r="D44" s="257"/>
      <c r="E44" s="257"/>
      <c r="F44" s="257"/>
      <c r="G44" s="257"/>
      <c r="H44" s="257"/>
    </row>
    <row r="45" spans="1:8" x14ac:dyDescent="0.2">
      <c r="A45" s="447" t="s">
        <v>304</v>
      </c>
      <c r="B45" s="447"/>
      <c r="C45" s="447"/>
      <c r="D45" s="447"/>
      <c r="E45" s="447"/>
      <c r="F45" s="447"/>
      <c r="G45" s="447"/>
      <c r="H45" s="258"/>
    </row>
    <row r="46" spans="1:8" ht="23.25" customHeight="1" x14ac:dyDescent="0.2">
      <c r="A46" s="445" t="s">
        <v>297</v>
      </c>
      <c r="B46" s="446"/>
      <c r="C46" s="446"/>
      <c r="D46" s="446"/>
      <c r="E46" s="446"/>
      <c r="F46" s="446"/>
      <c r="G46" s="446"/>
      <c r="H46" s="258"/>
    </row>
    <row r="47" spans="1:8" x14ac:dyDescent="0.2">
      <c r="A47" s="367" t="s">
        <v>305</v>
      </c>
      <c r="B47" s="368"/>
      <c r="C47" s="368"/>
      <c r="D47" s="368"/>
      <c r="E47" s="368"/>
      <c r="F47" s="368"/>
      <c r="G47" s="368"/>
      <c r="H47" s="258"/>
    </row>
    <row r="48" spans="1:8" x14ac:dyDescent="0.2">
      <c r="A48" s="405" t="s">
        <v>295</v>
      </c>
      <c r="B48" s="259"/>
      <c r="C48" s="260"/>
      <c r="D48" s="259"/>
      <c r="E48" s="260"/>
      <c r="F48" s="261"/>
      <c r="G48" s="27"/>
      <c r="H48" s="261"/>
    </row>
  </sheetData>
  <mergeCells count="6">
    <mergeCell ref="A46:G46"/>
    <mergeCell ref="A45:G45"/>
    <mergeCell ref="A3:A4"/>
    <mergeCell ref="D3:E3"/>
    <mergeCell ref="B3:C3"/>
    <mergeCell ref="F3:G3"/>
  </mergeCells>
  <pageMargins left="0.78740157499999996" right="0.78740157499999996" top="0.984251969" bottom="0.984251969" header="0.4921259845" footer="0.4921259845"/>
  <pageSetup paperSize="9" scale="34" orientation="landscape"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121"/>
  <sheetViews>
    <sheetView zoomScaleNormal="100" workbookViewId="0">
      <pane xSplit="1" ySplit="3" topLeftCell="B4" activePane="bottomRight" state="frozen"/>
      <selection pane="topRight" activeCell="B1" sqref="B1"/>
      <selection pane="bottomLeft" activeCell="A4" sqref="A4"/>
      <selection pane="bottomRight"/>
    </sheetView>
  </sheetViews>
  <sheetFormatPr baseColWidth="10" defaultRowHeight="12.75" x14ac:dyDescent="0.2"/>
  <cols>
    <col min="1" max="1" width="37" style="35" customWidth="1"/>
    <col min="2" max="12" width="9.85546875" style="35" customWidth="1"/>
    <col min="13" max="18" width="9.85546875" style="58" customWidth="1"/>
    <col min="19" max="16384" width="11.42578125" style="58"/>
  </cols>
  <sheetData>
    <row r="1" spans="1:18" x14ac:dyDescent="0.2">
      <c r="A1" s="34" t="s">
        <v>238</v>
      </c>
      <c r="B1" s="34"/>
      <c r="C1" s="34"/>
      <c r="D1" s="34"/>
      <c r="E1" s="34"/>
    </row>
    <row r="2" spans="1:18" x14ac:dyDescent="0.2">
      <c r="A2" s="84" t="s">
        <v>28</v>
      </c>
      <c r="B2" s="34"/>
      <c r="C2" s="34"/>
      <c r="D2" s="34"/>
      <c r="E2" s="34"/>
    </row>
    <row r="3" spans="1:18" ht="38.25" x14ac:dyDescent="0.2">
      <c r="A3" s="37" t="s">
        <v>0</v>
      </c>
      <c r="B3" s="315">
        <v>2011</v>
      </c>
      <c r="C3" s="315">
        <v>2012</v>
      </c>
      <c r="D3" s="315">
        <v>2013</v>
      </c>
      <c r="E3" s="315">
        <v>2014</v>
      </c>
      <c r="F3" s="315">
        <v>2015</v>
      </c>
      <c r="G3" s="315">
        <v>2016</v>
      </c>
      <c r="H3" s="315">
        <v>2017</v>
      </c>
      <c r="I3" s="315">
        <v>2018</v>
      </c>
      <c r="J3" s="315">
        <v>2019</v>
      </c>
      <c r="K3" s="315">
        <v>2020</v>
      </c>
      <c r="L3" s="314" t="s">
        <v>243</v>
      </c>
      <c r="M3" s="315" t="s">
        <v>244</v>
      </c>
      <c r="N3" s="314" t="s">
        <v>245</v>
      </c>
      <c r="O3" s="315" t="s">
        <v>246</v>
      </c>
      <c r="P3" s="315" t="s">
        <v>268</v>
      </c>
      <c r="Q3" s="315" t="s">
        <v>267</v>
      </c>
      <c r="R3" s="314">
        <v>2024</v>
      </c>
    </row>
    <row r="4" spans="1:18" x14ac:dyDescent="0.2">
      <c r="A4" s="38" t="s">
        <v>56</v>
      </c>
      <c r="B4" s="39">
        <v>228.2</v>
      </c>
      <c r="C4" s="39">
        <v>227.6</v>
      </c>
      <c r="D4" s="39">
        <v>229.8</v>
      </c>
      <c r="E4" s="39">
        <v>229.8</v>
      </c>
      <c r="F4" s="39">
        <v>230.6</v>
      </c>
      <c r="G4" s="39">
        <v>232.9</v>
      </c>
      <c r="H4" s="39">
        <v>235.4</v>
      </c>
      <c r="I4" s="39">
        <v>238.3</v>
      </c>
      <c r="J4" s="39">
        <v>239.3</v>
      </c>
      <c r="K4" s="157">
        <v>243.99299999999999</v>
      </c>
      <c r="L4" s="162">
        <v>244.42500000000001</v>
      </c>
      <c r="M4" s="157">
        <v>243.53200000000001</v>
      </c>
      <c r="N4" s="162">
        <v>245.94300000000001</v>
      </c>
      <c r="O4" s="157">
        <v>245.155</v>
      </c>
      <c r="P4" s="162">
        <v>247.14599999999999</v>
      </c>
      <c r="Q4" s="157">
        <v>248.87700000000001</v>
      </c>
      <c r="R4" s="162">
        <v>251.59299999999999</v>
      </c>
    </row>
    <row r="5" spans="1:18" x14ac:dyDescent="0.2">
      <c r="A5" s="41" t="s">
        <v>57</v>
      </c>
      <c r="B5" s="42">
        <v>8.3000000000000007</v>
      </c>
      <c r="C5" s="42">
        <v>8.1999999999999993</v>
      </c>
      <c r="D5" s="42">
        <v>8.1999999999999993</v>
      </c>
      <c r="E5" s="42">
        <v>8.1999999999999993</v>
      </c>
      <c r="F5" s="42">
        <v>8.1</v>
      </c>
      <c r="G5" s="42">
        <v>8.1</v>
      </c>
      <c r="H5" s="42">
        <v>8.1</v>
      </c>
      <c r="I5" s="42">
        <v>8.1</v>
      </c>
      <c r="J5" s="42">
        <v>7.8</v>
      </c>
      <c r="K5" s="42">
        <v>7.9420000000000002</v>
      </c>
      <c r="L5" s="43">
        <v>7.79</v>
      </c>
      <c r="M5" s="42">
        <v>7.7930000000000001</v>
      </c>
      <c r="N5" s="43">
        <v>7.8979999999999997</v>
      </c>
      <c r="O5" s="42">
        <v>7.7039999999999997</v>
      </c>
      <c r="P5" s="43">
        <v>7.7839999999999998</v>
      </c>
      <c r="Q5" s="42">
        <v>7.9429999999999996</v>
      </c>
      <c r="R5" s="43">
        <v>7.9690000000000003</v>
      </c>
    </row>
    <row r="6" spans="1:18" x14ac:dyDescent="0.2">
      <c r="A6" s="41" t="s">
        <v>58</v>
      </c>
      <c r="B6" s="42">
        <v>3.9</v>
      </c>
      <c r="C6" s="42">
        <v>3.8</v>
      </c>
      <c r="D6" s="42">
        <v>3.8</v>
      </c>
      <c r="E6" s="42">
        <v>3.8</v>
      </c>
      <c r="F6" s="42">
        <v>3.7</v>
      </c>
      <c r="G6" s="42">
        <v>3.7</v>
      </c>
      <c r="H6" s="42">
        <v>3.7</v>
      </c>
      <c r="I6" s="42">
        <v>3.7</v>
      </c>
      <c r="J6" s="42">
        <v>3.5</v>
      </c>
      <c r="K6" s="42">
        <v>3.5470000000000002</v>
      </c>
      <c r="L6" s="43">
        <v>3.456</v>
      </c>
      <c r="M6" s="42">
        <v>3.4569999999999999</v>
      </c>
      <c r="N6" s="43">
        <v>3.5270000000000001</v>
      </c>
      <c r="O6" s="42">
        <v>3.552</v>
      </c>
      <c r="P6" s="43">
        <v>3.61</v>
      </c>
      <c r="Q6" s="42">
        <v>3.601</v>
      </c>
      <c r="R6" s="43">
        <v>3.5680000000000001</v>
      </c>
    </row>
    <row r="7" spans="1:18" x14ac:dyDescent="0.2">
      <c r="A7" s="41" t="s">
        <v>59</v>
      </c>
      <c r="B7" s="42">
        <v>5.4</v>
      </c>
      <c r="C7" s="42">
        <v>5.3</v>
      </c>
      <c r="D7" s="42">
        <v>5.4</v>
      </c>
      <c r="E7" s="42">
        <v>5.3</v>
      </c>
      <c r="F7" s="42">
        <v>5.3</v>
      </c>
      <c r="G7" s="42">
        <v>5.2</v>
      </c>
      <c r="H7" s="42">
        <v>5.2</v>
      </c>
      <c r="I7" s="42">
        <v>5.3</v>
      </c>
      <c r="J7" s="42">
        <v>5.0999999999999996</v>
      </c>
      <c r="K7" s="42">
        <v>5.1840000000000002</v>
      </c>
      <c r="L7" s="43">
        <v>5.0720000000000001</v>
      </c>
      <c r="M7" s="42">
        <v>5.0780000000000003</v>
      </c>
      <c r="N7" s="43">
        <v>5.1420000000000003</v>
      </c>
      <c r="O7" s="42">
        <v>5.1740000000000004</v>
      </c>
      <c r="P7" s="43">
        <v>5.3070000000000004</v>
      </c>
      <c r="Q7" s="42">
        <v>5.3380000000000001</v>
      </c>
      <c r="R7" s="43">
        <v>5.3380000000000001</v>
      </c>
    </row>
    <row r="8" spans="1:18" x14ac:dyDescent="0.2">
      <c r="A8" s="41" t="s">
        <v>60</v>
      </c>
      <c r="B8" s="42">
        <v>24.3</v>
      </c>
      <c r="C8" s="42">
        <v>23.8</v>
      </c>
      <c r="D8" s="42">
        <v>23.9</v>
      </c>
      <c r="E8" s="42">
        <v>23.8</v>
      </c>
      <c r="F8" s="42">
        <v>23.8</v>
      </c>
      <c r="G8" s="42">
        <v>23.8</v>
      </c>
      <c r="H8" s="42">
        <v>24.1</v>
      </c>
      <c r="I8" s="42">
        <v>24.5</v>
      </c>
      <c r="J8" s="42">
        <v>24</v>
      </c>
      <c r="K8" s="42">
        <v>25.33</v>
      </c>
      <c r="L8" s="43">
        <v>25.312000000000001</v>
      </c>
      <c r="M8" s="42">
        <v>25.134</v>
      </c>
      <c r="N8" s="43">
        <v>25.507000000000001</v>
      </c>
      <c r="O8" s="42">
        <v>25.143000000000001</v>
      </c>
      <c r="P8" s="43">
        <v>25.184999999999999</v>
      </c>
      <c r="Q8" s="42">
        <v>25.375</v>
      </c>
      <c r="R8" s="43">
        <v>25.457999999999998</v>
      </c>
    </row>
    <row r="9" spans="1:18" x14ac:dyDescent="0.2">
      <c r="A9" s="41" t="s">
        <v>61</v>
      </c>
      <c r="B9" s="42">
        <v>12.9</v>
      </c>
      <c r="C9" s="42">
        <v>12.9</v>
      </c>
      <c r="D9" s="42">
        <v>13.1</v>
      </c>
      <c r="E9" s="42">
        <v>13.2</v>
      </c>
      <c r="F9" s="42">
        <v>13.3</v>
      </c>
      <c r="G9" s="42">
        <v>13.4</v>
      </c>
      <c r="H9" s="42">
        <v>13.7</v>
      </c>
      <c r="I9" s="42">
        <v>13.6</v>
      </c>
      <c r="J9" s="42">
        <v>13.8</v>
      </c>
      <c r="K9" s="42">
        <v>14.034000000000001</v>
      </c>
      <c r="L9" s="43">
        <v>14.189</v>
      </c>
      <c r="M9" s="42">
        <v>14.161</v>
      </c>
      <c r="N9" s="43">
        <v>14.205</v>
      </c>
      <c r="O9" s="42">
        <v>14.086</v>
      </c>
      <c r="P9" s="43">
        <v>14.186999999999999</v>
      </c>
      <c r="Q9" s="42">
        <v>14.333</v>
      </c>
      <c r="R9" s="43">
        <v>14.516999999999999</v>
      </c>
    </row>
    <row r="10" spans="1:18" x14ac:dyDescent="0.2">
      <c r="A10" s="41" t="s">
        <v>62</v>
      </c>
      <c r="B10" s="42">
        <v>6.8</v>
      </c>
      <c r="C10" s="42">
        <v>6.8</v>
      </c>
      <c r="D10" s="42">
        <v>6.8</v>
      </c>
      <c r="E10" s="42">
        <v>6.8</v>
      </c>
      <c r="F10" s="42">
        <v>6.8</v>
      </c>
      <c r="G10" s="42">
        <v>6.9</v>
      </c>
      <c r="H10" s="42">
        <v>6.9</v>
      </c>
      <c r="I10" s="42">
        <v>7</v>
      </c>
      <c r="J10" s="42">
        <v>6.8</v>
      </c>
      <c r="K10" s="42">
        <v>6.78</v>
      </c>
      <c r="L10" s="43">
        <v>6.7990000000000004</v>
      </c>
      <c r="M10" s="42">
        <v>6.8029999999999999</v>
      </c>
      <c r="N10" s="43">
        <v>6.7389999999999999</v>
      </c>
      <c r="O10" s="42">
        <v>6.7779999999999996</v>
      </c>
      <c r="P10" s="43">
        <v>6.9969999999999999</v>
      </c>
      <c r="Q10" s="42">
        <v>7.0110000000000001</v>
      </c>
      <c r="R10" s="43">
        <v>7.1539999999999999</v>
      </c>
    </row>
    <row r="11" spans="1:18" x14ac:dyDescent="0.2">
      <c r="A11" s="41" t="s">
        <v>63</v>
      </c>
      <c r="B11" s="42">
        <v>11.6</v>
      </c>
      <c r="C11" s="42">
        <v>11.7</v>
      </c>
      <c r="D11" s="42">
        <v>11.8</v>
      </c>
      <c r="E11" s="42">
        <v>11.9</v>
      </c>
      <c r="F11" s="42">
        <v>12.1</v>
      </c>
      <c r="G11" s="42">
        <v>12.3</v>
      </c>
      <c r="H11" s="42">
        <v>12.4</v>
      </c>
      <c r="I11" s="42">
        <v>12.6</v>
      </c>
      <c r="J11" s="42">
        <v>12.3</v>
      </c>
      <c r="K11" s="42">
        <v>12.25</v>
      </c>
      <c r="L11" s="43">
        <v>12.242000000000001</v>
      </c>
      <c r="M11" s="42">
        <v>12.207000000000001</v>
      </c>
      <c r="N11" s="43">
        <v>12.32</v>
      </c>
      <c r="O11" s="42">
        <v>12.247999999999999</v>
      </c>
      <c r="P11" s="43">
        <v>12.804</v>
      </c>
      <c r="Q11" s="42">
        <v>12.884</v>
      </c>
      <c r="R11" s="43">
        <v>13.176</v>
      </c>
    </row>
    <row r="12" spans="1:18" x14ac:dyDescent="0.2">
      <c r="A12" s="41" t="s">
        <v>64</v>
      </c>
      <c r="B12" s="42">
        <v>16.399999999999999</v>
      </c>
      <c r="C12" s="42">
        <v>16.399999999999999</v>
      </c>
      <c r="D12" s="42">
        <v>16.8</v>
      </c>
      <c r="E12" s="42">
        <v>16.7</v>
      </c>
      <c r="F12" s="42">
        <v>17</v>
      </c>
      <c r="G12" s="42">
        <v>17.3</v>
      </c>
      <c r="H12" s="42">
        <v>17.3</v>
      </c>
      <c r="I12" s="42">
        <v>17.5</v>
      </c>
      <c r="J12" s="42">
        <v>17.3</v>
      </c>
      <c r="K12" s="42">
        <v>17.283999999999999</v>
      </c>
      <c r="L12" s="43">
        <v>17.196000000000002</v>
      </c>
      <c r="M12" s="42">
        <v>17.129000000000001</v>
      </c>
      <c r="N12" s="43">
        <v>17.344999999999999</v>
      </c>
      <c r="O12" s="42">
        <v>17.353999999999999</v>
      </c>
      <c r="P12" s="43">
        <v>18.155999999999999</v>
      </c>
      <c r="Q12" s="42">
        <v>18.190000000000001</v>
      </c>
      <c r="R12" s="43">
        <v>19.148</v>
      </c>
    </row>
    <row r="13" spans="1:18" x14ac:dyDescent="0.2">
      <c r="A13" s="41" t="s">
        <v>65</v>
      </c>
      <c r="B13" s="42">
        <v>38.1</v>
      </c>
      <c r="C13" s="42">
        <v>37.9</v>
      </c>
      <c r="D13" s="42">
        <v>38.5</v>
      </c>
      <c r="E13" s="42">
        <v>38.4</v>
      </c>
      <c r="F13" s="42">
        <v>38.6</v>
      </c>
      <c r="G13" s="42">
        <v>39</v>
      </c>
      <c r="H13" s="42">
        <v>39.4</v>
      </c>
      <c r="I13" s="42">
        <v>39.799999999999997</v>
      </c>
      <c r="J13" s="42">
        <v>41.4</v>
      </c>
      <c r="K13" s="42">
        <v>42.426000000000002</v>
      </c>
      <c r="L13" s="43">
        <v>42.747999999999998</v>
      </c>
      <c r="M13" s="42">
        <v>42.862000000000002</v>
      </c>
      <c r="N13" s="43">
        <v>42.417000000000002</v>
      </c>
      <c r="O13" s="42">
        <v>42.698999999999998</v>
      </c>
      <c r="P13" s="43">
        <v>41.838999999999999</v>
      </c>
      <c r="Q13" s="42">
        <v>42.511000000000003</v>
      </c>
      <c r="R13" s="43">
        <v>42.783000000000001</v>
      </c>
    </row>
    <row r="14" spans="1:18" x14ac:dyDescent="0.2">
      <c r="A14" s="41" t="s">
        <v>66</v>
      </c>
      <c r="B14" s="42">
        <v>19.899999999999999</v>
      </c>
      <c r="C14" s="42">
        <v>19.8</v>
      </c>
      <c r="D14" s="42">
        <v>20</v>
      </c>
      <c r="E14" s="42">
        <v>19.899999999999999</v>
      </c>
      <c r="F14" s="42">
        <v>20</v>
      </c>
      <c r="G14" s="42">
        <v>20</v>
      </c>
      <c r="H14" s="42">
        <v>20.2</v>
      </c>
      <c r="I14" s="42">
        <v>20.2</v>
      </c>
      <c r="J14" s="42">
        <v>20.7</v>
      </c>
      <c r="K14" s="42">
        <v>20.998999999999999</v>
      </c>
      <c r="L14" s="43">
        <v>21.074999999999999</v>
      </c>
      <c r="M14" s="42">
        <v>21.012</v>
      </c>
      <c r="N14" s="43">
        <v>21.233000000000001</v>
      </c>
      <c r="O14" s="42">
        <v>21.154</v>
      </c>
      <c r="P14" s="43">
        <v>21.331</v>
      </c>
      <c r="Q14" s="42">
        <v>21.466000000000001</v>
      </c>
      <c r="R14" s="43">
        <v>21.571999999999999</v>
      </c>
    </row>
    <row r="15" spans="1:18" x14ac:dyDescent="0.2">
      <c r="A15" s="41" t="s">
        <v>67</v>
      </c>
      <c r="B15" s="42">
        <v>68.599999999999994</v>
      </c>
      <c r="C15" s="42">
        <v>69.099999999999994</v>
      </c>
      <c r="D15" s="42">
        <v>69.5</v>
      </c>
      <c r="E15" s="42">
        <v>69.7</v>
      </c>
      <c r="F15" s="42">
        <v>70.099999999999994</v>
      </c>
      <c r="G15" s="42">
        <v>70.900000000000006</v>
      </c>
      <c r="H15" s="42">
        <v>72.099999999999994</v>
      </c>
      <c r="I15" s="42">
        <v>73.7</v>
      </c>
      <c r="J15" s="42">
        <v>74.400000000000006</v>
      </c>
      <c r="K15" s="42">
        <v>75.796000000000006</v>
      </c>
      <c r="L15" s="43">
        <v>75.850999999999999</v>
      </c>
      <c r="M15" s="42">
        <v>75.209999999999994</v>
      </c>
      <c r="N15" s="43">
        <v>76.637</v>
      </c>
      <c r="O15" s="42">
        <v>76.224000000000004</v>
      </c>
      <c r="P15" s="43">
        <v>77.242000000000004</v>
      </c>
      <c r="Q15" s="42">
        <v>77.484999999999999</v>
      </c>
      <c r="R15" s="43">
        <v>78.212000000000003</v>
      </c>
    </row>
    <row r="16" spans="1:18" x14ac:dyDescent="0.2">
      <c r="A16" s="41" t="s">
        <v>68</v>
      </c>
      <c r="B16" s="42">
        <v>12</v>
      </c>
      <c r="C16" s="42">
        <v>11.9</v>
      </c>
      <c r="D16" s="42">
        <v>12</v>
      </c>
      <c r="E16" s="42">
        <v>12</v>
      </c>
      <c r="F16" s="42">
        <v>12</v>
      </c>
      <c r="G16" s="42">
        <v>12.1</v>
      </c>
      <c r="H16" s="42">
        <v>12.1</v>
      </c>
      <c r="I16" s="42">
        <v>12.2</v>
      </c>
      <c r="J16" s="42">
        <v>12.2</v>
      </c>
      <c r="K16" s="42">
        <v>12.420999999999999</v>
      </c>
      <c r="L16" s="43">
        <v>12.695</v>
      </c>
      <c r="M16" s="42">
        <v>12.686</v>
      </c>
      <c r="N16" s="43">
        <v>12.973000000000001</v>
      </c>
      <c r="O16" s="42">
        <v>13.039</v>
      </c>
      <c r="P16" s="43">
        <v>12.704000000000001</v>
      </c>
      <c r="Q16" s="42">
        <v>12.74</v>
      </c>
      <c r="R16" s="43">
        <v>12.698</v>
      </c>
    </row>
    <row r="17" spans="1:18" x14ac:dyDescent="0.2">
      <c r="A17" s="38" t="s">
        <v>69</v>
      </c>
      <c r="B17" s="39">
        <v>81.900000000000006</v>
      </c>
      <c r="C17" s="39">
        <v>81.8</v>
      </c>
      <c r="D17" s="39">
        <v>81.900000000000006</v>
      </c>
      <c r="E17" s="39">
        <v>80.900000000000006</v>
      </c>
      <c r="F17" s="39">
        <v>81</v>
      </c>
      <c r="G17" s="39">
        <v>81.3</v>
      </c>
      <c r="H17" s="39">
        <v>81.900000000000006</v>
      </c>
      <c r="I17" s="39">
        <v>81.900000000000006</v>
      </c>
      <c r="J17" s="39">
        <v>82.8</v>
      </c>
      <c r="K17" s="157">
        <v>83.028999999999996</v>
      </c>
      <c r="L17" s="162">
        <v>81.135999999999996</v>
      </c>
      <c r="M17" s="157">
        <v>82.203999999999994</v>
      </c>
      <c r="N17" s="162">
        <v>82.813000000000002</v>
      </c>
      <c r="O17" s="157">
        <v>83.271000000000001</v>
      </c>
      <c r="P17" s="162">
        <v>83.566000000000003</v>
      </c>
      <c r="Q17" s="157">
        <v>82.850999999999999</v>
      </c>
      <c r="R17" s="162">
        <v>83.137</v>
      </c>
    </row>
    <row r="18" spans="1:18" x14ac:dyDescent="0.2">
      <c r="A18" s="41" t="s">
        <v>70</v>
      </c>
      <c r="B18" s="42">
        <v>20.2</v>
      </c>
      <c r="C18" s="42">
        <v>20.399999999999999</v>
      </c>
      <c r="D18" s="42">
        <v>20.7</v>
      </c>
      <c r="E18" s="42">
        <v>20.2</v>
      </c>
      <c r="F18" s="42">
        <v>20.399999999999999</v>
      </c>
      <c r="G18" s="42">
        <v>20.399999999999999</v>
      </c>
      <c r="H18" s="42">
        <v>21</v>
      </c>
      <c r="I18" s="42">
        <v>20.7</v>
      </c>
      <c r="J18" s="42">
        <v>21.2</v>
      </c>
      <c r="K18" s="42">
        <v>21.08</v>
      </c>
      <c r="L18" s="43">
        <v>20.899000000000001</v>
      </c>
      <c r="M18" s="42">
        <v>20.673999999999999</v>
      </c>
      <c r="N18" s="43">
        <v>20.852</v>
      </c>
      <c r="O18" s="42">
        <v>20.887</v>
      </c>
      <c r="P18" s="43">
        <v>21.471</v>
      </c>
      <c r="Q18" s="42">
        <v>21.405000000000001</v>
      </c>
      <c r="R18" s="43">
        <v>21.556000000000001</v>
      </c>
    </row>
    <row r="19" spans="1:18" x14ac:dyDescent="0.2">
      <c r="A19" s="41" t="s">
        <v>71</v>
      </c>
      <c r="B19" s="42">
        <v>5.6</v>
      </c>
      <c r="C19" s="42">
        <v>5.6</v>
      </c>
      <c r="D19" s="42">
        <v>5.5</v>
      </c>
      <c r="E19" s="42">
        <v>5.4</v>
      </c>
      <c r="F19" s="42">
        <v>5.3</v>
      </c>
      <c r="G19" s="42">
        <v>5.3</v>
      </c>
      <c r="H19" s="42">
        <v>5.3</v>
      </c>
      <c r="I19" s="42">
        <v>5.2</v>
      </c>
      <c r="J19" s="42">
        <v>5.4</v>
      </c>
      <c r="K19" s="42">
        <v>5.2919999999999998</v>
      </c>
      <c r="L19" s="43">
        <v>5.0350000000000001</v>
      </c>
      <c r="M19" s="42">
        <v>5.0279999999999996</v>
      </c>
      <c r="N19" s="43">
        <v>5.0339999999999998</v>
      </c>
      <c r="O19" s="42">
        <v>5.1070000000000002</v>
      </c>
      <c r="P19" s="43">
        <v>5.2519999999999998</v>
      </c>
      <c r="Q19" s="42">
        <v>5.2640000000000002</v>
      </c>
      <c r="R19" s="43">
        <v>5.2930000000000001</v>
      </c>
    </row>
    <row r="20" spans="1:18" x14ac:dyDescent="0.2">
      <c r="A20" s="41" t="s">
        <v>72</v>
      </c>
      <c r="B20" s="42">
        <v>13.3</v>
      </c>
      <c r="C20" s="42">
        <v>13.2</v>
      </c>
      <c r="D20" s="42">
        <v>13.1</v>
      </c>
      <c r="E20" s="42">
        <v>13.1</v>
      </c>
      <c r="F20" s="42">
        <v>13.1</v>
      </c>
      <c r="G20" s="42">
        <v>13.1</v>
      </c>
      <c r="H20" s="42">
        <v>13</v>
      </c>
      <c r="I20" s="42">
        <v>13.2</v>
      </c>
      <c r="J20" s="42">
        <v>13.3</v>
      </c>
      <c r="K20" s="42">
        <v>13.755000000000001</v>
      </c>
      <c r="L20" s="43">
        <v>14.221</v>
      </c>
      <c r="M20" s="42">
        <v>14.221</v>
      </c>
      <c r="N20" s="43">
        <v>14.401999999999999</v>
      </c>
      <c r="O20" s="42">
        <v>14.420999999999999</v>
      </c>
      <c r="P20" s="43">
        <v>13.662000000000001</v>
      </c>
      <c r="Q20" s="42">
        <v>13.647</v>
      </c>
      <c r="R20" s="43">
        <v>13.331</v>
      </c>
    </row>
    <row r="21" spans="1:18" x14ac:dyDescent="0.2">
      <c r="A21" s="41" t="s">
        <v>73</v>
      </c>
      <c r="B21" s="42">
        <v>8.1999999999999993</v>
      </c>
      <c r="C21" s="42">
        <v>8.1</v>
      </c>
      <c r="D21" s="42">
        <v>8.1999999999999993</v>
      </c>
      <c r="E21" s="42">
        <v>8.1</v>
      </c>
      <c r="F21" s="42">
        <v>8.1</v>
      </c>
      <c r="G21" s="42">
        <v>8.1999999999999993</v>
      </c>
      <c r="H21" s="42">
        <v>8.1999999999999993</v>
      </c>
      <c r="I21" s="42">
        <v>8.3000000000000007</v>
      </c>
      <c r="J21" s="42">
        <v>8.4</v>
      </c>
      <c r="K21" s="42">
        <v>8.2159999999999993</v>
      </c>
      <c r="L21" s="43">
        <v>7.851</v>
      </c>
      <c r="M21" s="42">
        <v>7.8630000000000004</v>
      </c>
      <c r="N21" s="43">
        <v>7.883</v>
      </c>
      <c r="O21" s="42">
        <v>7.95</v>
      </c>
      <c r="P21" s="43">
        <v>8.2349999999999994</v>
      </c>
      <c r="Q21" s="42">
        <v>7.8860000000000001</v>
      </c>
      <c r="R21" s="43">
        <v>8.4670000000000005</v>
      </c>
    </row>
    <row r="22" spans="1:18" x14ac:dyDescent="0.2">
      <c r="A22" s="41" t="s">
        <v>74</v>
      </c>
      <c r="B22" s="42">
        <v>17.899999999999999</v>
      </c>
      <c r="C22" s="42">
        <v>18</v>
      </c>
      <c r="D22" s="42">
        <v>18.100000000000001</v>
      </c>
      <c r="E22" s="42">
        <v>18.100000000000001</v>
      </c>
      <c r="F22" s="42">
        <v>18.2</v>
      </c>
      <c r="G22" s="42">
        <v>18.2</v>
      </c>
      <c r="H22" s="42">
        <v>18.399999999999999</v>
      </c>
      <c r="I22" s="42">
        <v>18.399999999999999</v>
      </c>
      <c r="J22" s="42">
        <v>18.3</v>
      </c>
      <c r="K22" s="42">
        <v>18.283000000000001</v>
      </c>
      <c r="L22" s="43">
        <v>17.971</v>
      </c>
      <c r="M22" s="42">
        <v>18.454999999999998</v>
      </c>
      <c r="N22" s="43">
        <v>18.617000000000001</v>
      </c>
      <c r="O22" s="42">
        <v>18.718</v>
      </c>
      <c r="P22" s="43">
        <v>18.783000000000001</v>
      </c>
      <c r="Q22" s="42">
        <v>18.489999999999998</v>
      </c>
      <c r="R22" s="43">
        <v>18.628</v>
      </c>
    </row>
    <row r="23" spans="1:18" x14ac:dyDescent="0.2">
      <c r="A23" s="41" t="s">
        <v>75</v>
      </c>
      <c r="B23" s="42">
        <v>5.6</v>
      </c>
      <c r="C23" s="42">
        <v>5.6</v>
      </c>
      <c r="D23" s="42">
        <v>5.6</v>
      </c>
      <c r="E23" s="42">
        <v>5.5</v>
      </c>
      <c r="F23" s="42">
        <v>5.5</v>
      </c>
      <c r="G23" s="42">
        <v>5.5</v>
      </c>
      <c r="H23" s="42">
        <v>5.4</v>
      </c>
      <c r="I23" s="42">
        <v>5.4</v>
      </c>
      <c r="J23" s="42">
        <v>5.3</v>
      </c>
      <c r="K23" s="42">
        <v>5.2919999999999998</v>
      </c>
      <c r="L23" s="43">
        <v>5.12</v>
      </c>
      <c r="M23" s="42">
        <v>5.3789999999999996</v>
      </c>
      <c r="N23" s="43">
        <v>5.38</v>
      </c>
      <c r="O23" s="42">
        <v>5.4539999999999997</v>
      </c>
      <c r="P23" s="43">
        <v>5.4290000000000003</v>
      </c>
      <c r="Q23" s="42">
        <v>5.42</v>
      </c>
      <c r="R23" s="43">
        <v>5.3239999999999998</v>
      </c>
    </row>
    <row r="24" spans="1:18" x14ac:dyDescent="0.2">
      <c r="A24" s="41" t="s">
        <v>76</v>
      </c>
      <c r="B24" s="42">
        <v>6.5</v>
      </c>
      <c r="C24" s="42">
        <v>6.4</v>
      </c>
      <c r="D24" s="42">
        <v>6.4</v>
      </c>
      <c r="E24" s="42">
        <v>6.3</v>
      </c>
      <c r="F24" s="42">
        <v>6.2</v>
      </c>
      <c r="G24" s="42">
        <v>6.2</v>
      </c>
      <c r="H24" s="42">
        <v>6.3</v>
      </c>
      <c r="I24" s="42">
        <v>6.3</v>
      </c>
      <c r="J24" s="42">
        <v>6.7</v>
      </c>
      <c r="K24" s="42">
        <v>6.8840000000000003</v>
      </c>
      <c r="L24" s="43">
        <v>5.9219999999999997</v>
      </c>
      <c r="M24" s="42">
        <v>6.343</v>
      </c>
      <c r="N24" s="43">
        <v>6.3739999999999997</v>
      </c>
      <c r="O24" s="42">
        <v>6.44</v>
      </c>
      <c r="P24" s="43">
        <v>6.4080000000000004</v>
      </c>
      <c r="Q24" s="42">
        <v>6.4160000000000004</v>
      </c>
      <c r="R24" s="43">
        <v>6.319</v>
      </c>
    </row>
    <row r="25" spans="1:18" x14ac:dyDescent="0.2">
      <c r="A25" s="41" t="s">
        <v>77</v>
      </c>
      <c r="B25" s="42">
        <v>4.5</v>
      </c>
      <c r="C25" s="42">
        <v>4.4000000000000004</v>
      </c>
      <c r="D25" s="42">
        <v>4.3</v>
      </c>
      <c r="E25" s="42">
        <v>4.2</v>
      </c>
      <c r="F25" s="42">
        <v>4.2</v>
      </c>
      <c r="G25" s="42">
        <v>4.3</v>
      </c>
      <c r="H25" s="42">
        <v>4.3</v>
      </c>
      <c r="I25" s="42">
        <v>4.3</v>
      </c>
      <c r="J25" s="42">
        <v>4.2</v>
      </c>
      <c r="K25" s="42">
        <v>4.2270000000000003</v>
      </c>
      <c r="L25" s="43">
        <v>4.117</v>
      </c>
      <c r="M25" s="42">
        <v>4.2409999999999997</v>
      </c>
      <c r="N25" s="43">
        <v>4.2709999999999999</v>
      </c>
      <c r="O25" s="42">
        <v>4.2939999999999996</v>
      </c>
      <c r="P25" s="43">
        <v>4.3259999999999996</v>
      </c>
      <c r="Q25" s="42">
        <v>4.3230000000000004</v>
      </c>
      <c r="R25" s="43">
        <v>4.2190000000000003</v>
      </c>
    </row>
    <row r="26" spans="1:18" x14ac:dyDescent="0.2">
      <c r="A26" s="38" t="s">
        <v>78</v>
      </c>
      <c r="B26" s="39">
        <v>99.7</v>
      </c>
      <c r="C26" s="39">
        <v>100.4</v>
      </c>
      <c r="D26" s="39">
        <v>101.1</v>
      </c>
      <c r="E26" s="39">
        <v>100.3</v>
      </c>
      <c r="F26" s="39">
        <v>100.5</v>
      </c>
      <c r="G26" s="39">
        <v>101.6</v>
      </c>
      <c r="H26" s="39">
        <v>101.9</v>
      </c>
      <c r="I26" s="39">
        <v>103.1</v>
      </c>
      <c r="J26" s="39">
        <v>104.3</v>
      </c>
      <c r="K26" s="157">
        <v>104.90600000000001</v>
      </c>
      <c r="L26" s="162">
        <v>102.776</v>
      </c>
      <c r="M26" s="157">
        <v>103.133</v>
      </c>
      <c r="N26" s="162">
        <v>106.33799999999999</v>
      </c>
      <c r="O26" s="157">
        <v>106.556</v>
      </c>
      <c r="P26" s="162">
        <v>107.819</v>
      </c>
      <c r="Q26" s="157">
        <v>107.63200000000001</v>
      </c>
      <c r="R26" s="162">
        <v>108.03100000000001</v>
      </c>
    </row>
    <row r="27" spans="1:18" x14ac:dyDescent="0.2">
      <c r="A27" s="41" t="s">
        <v>79</v>
      </c>
      <c r="B27" s="42">
        <v>13.5</v>
      </c>
      <c r="C27" s="42">
        <v>13.5</v>
      </c>
      <c r="D27" s="42">
        <v>13.5</v>
      </c>
      <c r="E27" s="42">
        <v>13.3</v>
      </c>
      <c r="F27" s="42">
        <v>13.3</v>
      </c>
      <c r="G27" s="42">
        <v>13.5</v>
      </c>
      <c r="H27" s="42">
        <v>13.6</v>
      </c>
      <c r="I27" s="42">
        <v>13.7</v>
      </c>
      <c r="J27" s="42">
        <v>13.5</v>
      </c>
      <c r="K27" s="42">
        <v>13.462</v>
      </c>
      <c r="L27" s="43">
        <v>13.026999999999999</v>
      </c>
      <c r="M27" s="42">
        <v>13.074999999999999</v>
      </c>
      <c r="N27" s="43">
        <v>13.435</v>
      </c>
      <c r="O27" s="42">
        <v>13.561999999999999</v>
      </c>
      <c r="P27" s="43">
        <v>13.781000000000001</v>
      </c>
      <c r="Q27" s="42">
        <v>13.784000000000001</v>
      </c>
      <c r="R27" s="43">
        <v>13.834</v>
      </c>
    </row>
    <row r="28" spans="1:18" x14ac:dyDescent="0.2">
      <c r="A28" s="41" t="s">
        <v>80</v>
      </c>
      <c r="B28" s="42">
        <v>28.5</v>
      </c>
      <c r="C28" s="42">
        <v>28.5</v>
      </c>
      <c r="D28" s="42">
        <v>28.4</v>
      </c>
      <c r="E28" s="42">
        <v>28</v>
      </c>
      <c r="F28" s="42">
        <v>27.8</v>
      </c>
      <c r="G28" s="42">
        <v>28.2</v>
      </c>
      <c r="H28" s="42">
        <v>27.8</v>
      </c>
      <c r="I28" s="42">
        <v>28.1</v>
      </c>
      <c r="J28" s="42">
        <v>28.7</v>
      </c>
      <c r="K28" s="42">
        <v>28.841999999999999</v>
      </c>
      <c r="L28" s="43">
        <v>28.225999999999999</v>
      </c>
      <c r="M28" s="42">
        <v>28.445</v>
      </c>
      <c r="N28" s="43">
        <v>29.736000000000001</v>
      </c>
      <c r="O28" s="42">
        <v>29.369</v>
      </c>
      <c r="P28" s="43">
        <v>29.405999999999999</v>
      </c>
      <c r="Q28" s="42">
        <v>29.233000000000001</v>
      </c>
      <c r="R28" s="43">
        <v>28.843</v>
      </c>
    </row>
    <row r="29" spans="1:18" x14ac:dyDescent="0.2">
      <c r="A29" s="41" t="s">
        <v>81</v>
      </c>
      <c r="B29" s="42">
        <v>39.700000000000003</v>
      </c>
      <c r="C29" s="42">
        <v>40.4</v>
      </c>
      <c r="D29" s="42">
        <v>41.2</v>
      </c>
      <c r="E29" s="42">
        <v>41.2</v>
      </c>
      <c r="F29" s="42">
        <v>41.7</v>
      </c>
      <c r="G29" s="42">
        <v>42.3</v>
      </c>
      <c r="H29" s="42">
        <v>42.5</v>
      </c>
      <c r="I29" s="42">
        <v>43.4</v>
      </c>
      <c r="J29" s="42">
        <v>44.2</v>
      </c>
      <c r="K29" s="42">
        <v>44.655000000000001</v>
      </c>
      <c r="L29" s="43">
        <v>44.177</v>
      </c>
      <c r="M29" s="42">
        <v>44.262</v>
      </c>
      <c r="N29" s="43">
        <v>45.307000000000002</v>
      </c>
      <c r="O29" s="42">
        <v>45.77</v>
      </c>
      <c r="P29" s="43">
        <v>46.473999999999997</v>
      </c>
      <c r="Q29" s="42">
        <v>46.645000000000003</v>
      </c>
      <c r="R29" s="43">
        <v>47.164000000000001</v>
      </c>
    </row>
    <row r="30" spans="1:18" x14ac:dyDescent="0.2">
      <c r="A30" s="41" t="s">
        <v>82</v>
      </c>
      <c r="B30" s="42">
        <v>17.899999999999999</v>
      </c>
      <c r="C30" s="42">
        <v>18</v>
      </c>
      <c r="D30" s="42">
        <v>17.899999999999999</v>
      </c>
      <c r="E30" s="42">
        <v>17.8</v>
      </c>
      <c r="F30" s="42">
        <v>17.600000000000001</v>
      </c>
      <c r="G30" s="42">
        <v>17.600000000000001</v>
      </c>
      <c r="H30" s="42">
        <v>17.899999999999999</v>
      </c>
      <c r="I30" s="42">
        <v>17.899999999999999</v>
      </c>
      <c r="J30" s="42">
        <v>17.899999999999999</v>
      </c>
      <c r="K30" s="42">
        <v>17.946999999999999</v>
      </c>
      <c r="L30" s="43">
        <v>17.346</v>
      </c>
      <c r="M30" s="42">
        <v>17.350999999999999</v>
      </c>
      <c r="N30" s="43">
        <v>17.86</v>
      </c>
      <c r="O30" s="42">
        <v>17.855</v>
      </c>
      <c r="P30" s="43">
        <v>18.158000000000001</v>
      </c>
      <c r="Q30" s="42">
        <v>17.97</v>
      </c>
      <c r="R30" s="43">
        <v>18.190000000000001</v>
      </c>
    </row>
    <row r="31" spans="1:18" x14ac:dyDescent="0.2">
      <c r="A31" s="38" t="s">
        <v>83</v>
      </c>
      <c r="B31" s="39">
        <v>69.5</v>
      </c>
      <c r="C31" s="39">
        <v>69.2</v>
      </c>
      <c r="D31" s="39">
        <v>69.3</v>
      </c>
      <c r="E31" s="39">
        <v>69.400000000000006</v>
      </c>
      <c r="F31" s="39">
        <v>69.5</v>
      </c>
      <c r="G31" s="39">
        <v>70.099999999999994</v>
      </c>
      <c r="H31" s="39">
        <v>70.400000000000006</v>
      </c>
      <c r="I31" s="39">
        <v>70.599999999999994</v>
      </c>
      <c r="J31" s="39">
        <v>71</v>
      </c>
      <c r="K31" s="157">
        <v>71.465000000000003</v>
      </c>
      <c r="L31" s="162">
        <v>71.475999999999999</v>
      </c>
      <c r="M31" s="157">
        <v>71.566000000000003</v>
      </c>
      <c r="N31" s="162">
        <v>72.126000000000005</v>
      </c>
      <c r="O31" s="157">
        <v>72.534999999999997</v>
      </c>
      <c r="P31" s="162">
        <v>72.822000000000003</v>
      </c>
      <c r="Q31" s="157">
        <v>72.463999999999999</v>
      </c>
      <c r="R31" s="162">
        <v>72.921999999999997</v>
      </c>
    </row>
    <row r="32" spans="1:18" x14ac:dyDescent="0.2">
      <c r="A32" s="41" t="s">
        <v>84</v>
      </c>
      <c r="B32" s="42">
        <v>8.6</v>
      </c>
      <c r="C32" s="42">
        <v>8.4</v>
      </c>
      <c r="D32" s="42">
        <v>8.4</v>
      </c>
      <c r="E32" s="42">
        <v>8.3000000000000007</v>
      </c>
      <c r="F32" s="42">
        <v>8.3000000000000007</v>
      </c>
      <c r="G32" s="42">
        <v>8.3000000000000007</v>
      </c>
      <c r="H32" s="42">
        <v>8.3000000000000007</v>
      </c>
      <c r="I32" s="42">
        <v>8.1999999999999993</v>
      </c>
      <c r="J32" s="42">
        <v>8.3000000000000007</v>
      </c>
      <c r="K32" s="42">
        <v>8.3800000000000008</v>
      </c>
      <c r="L32" s="43">
        <v>8.4130000000000003</v>
      </c>
      <c r="M32" s="42">
        <v>8.4450000000000003</v>
      </c>
      <c r="N32" s="43">
        <v>8.577</v>
      </c>
      <c r="O32" s="42">
        <v>8.48</v>
      </c>
      <c r="P32" s="43">
        <v>8.3949999999999996</v>
      </c>
      <c r="Q32" s="42">
        <v>8.3379999999999992</v>
      </c>
      <c r="R32" s="43">
        <v>8.5289999999999999</v>
      </c>
    </row>
    <row r="33" spans="1:18" x14ac:dyDescent="0.2">
      <c r="A33" s="41" t="s">
        <v>85</v>
      </c>
      <c r="B33" s="42">
        <v>9.6</v>
      </c>
      <c r="C33" s="42">
        <v>9.6</v>
      </c>
      <c r="D33" s="42">
        <v>9.6</v>
      </c>
      <c r="E33" s="42">
        <v>9.5</v>
      </c>
      <c r="F33" s="42">
        <v>9.6</v>
      </c>
      <c r="G33" s="42">
        <v>9.6</v>
      </c>
      <c r="H33" s="42">
        <v>9.6</v>
      </c>
      <c r="I33" s="42">
        <v>9.6</v>
      </c>
      <c r="J33" s="42">
        <v>9.6999999999999993</v>
      </c>
      <c r="K33" s="42">
        <v>9.8539999999999992</v>
      </c>
      <c r="L33" s="43">
        <v>9.7840000000000007</v>
      </c>
      <c r="M33" s="42">
        <v>9.7850000000000001</v>
      </c>
      <c r="N33" s="43">
        <v>9.7899999999999991</v>
      </c>
      <c r="O33" s="42">
        <v>10.162000000000001</v>
      </c>
      <c r="P33" s="43">
        <v>9.9329999999999998</v>
      </c>
      <c r="Q33" s="42">
        <v>9.8889999999999993</v>
      </c>
      <c r="R33" s="43">
        <v>10.085000000000001</v>
      </c>
    </row>
    <row r="34" spans="1:18" x14ac:dyDescent="0.2">
      <c r="A34" s="41" t="s">
        <v>86</v>
      </c>
      <c r="B34" s="42">
        <v>6.2</v>
      </c>
      <c r="C34" s="42">
        <v>6.2</v>
      </c>
      <c r="D34" s="42">
        <v>6</v>
      </c>
      <c r="E34" s="42">
        <v>6</v>
      </c>
      <c r="F34" s="42">
        <v>5.9</v>
      </c>
      <c r="G34" s="42">
        <v>5.9</v>
      </c>
      <c r="H34" s="42">
        <v>5.9</v>
      </c>
      <c r="I34" s="42">
        <v>6</v>
      </c>
      <c r="J34" s="42">
        <v>6</v>
      </c>
      <c r="K34" s="42">
        <v>6.0270000000000001</v>
      </c>
      <c r="L34" s="43">
        <v>6.04</v>
      </c>
      <c r="M34" s="266">
        <v>6.0709999999999997</v>
      </c>
      <c r="N34" s="267">
        <v>6.0650000000000004</v>
      </c>
      <c r="O34" s="266">
        <v>6.1059999999999999</v>
      </c>
      <c r="P34" s="267">
        <v>6.0359999999999996</v>
      </c>
      <c r="Q34" s="266">
        <v>6.0179999999999998</v>
      </c>
      <c r="R34" s="267">
        <v>6.0179999999999998</v>
      </c>
    </row>
    <row r="35" spans="1:18" x14ac:dyDescent="0.2">
      <c r="A35" s="41" t="s">
        <v>87</v>
      </c>
      <c r="B35" s="42">
        <v>16.600000000000001</v>
      </c>
      <c r="C35" s="42">
        <v>16.5</v>
      </c>
      <c r="D35" s="42">
        <v>16.600000000000001</v>
      </c>
      <c r="E35" s="42">
        <v>16.600000000000001</v>
      </c>
      <c r="F35" s="42">
        <v>16.7</v>
      </c>
      <c r="G35" s="42">
        <v>16.899999999999999</v>
      </c>
      <c r="H35" s="42">
        <v>17.100000000000001</v>
      </c>
      <c r="I35" s="42">
        <v>17.2</v>
      </c>
      <c r="J35" s="42">
        <v>17.399999999999999</v>
      </c>
      <c r="K35" s="42">
        <v>17.587</v>
      </c>
      <c r="L35" s="43">
        <v>17.646000000000001</v>
      </c>
      <c r="M35" s="42">
        <v>17.686</v>
      </c>
      <c r="N35" s="43">
        <v>17.861999999999998</v>
      </c>
      <c r="O35" s="42">
        <v>17.948</v>
      </c>
      <c r="P35" s="43">
        <v>17.827000000000002</v>
      </c>
      <c r="Q35" s="42">
        <v>17.707000000000001</v>
      </c>
      <c r="R35" s="43">
        <v>17.87</v>
      </c>
    </row>
    <row r="36" spans="1:18" x14ac:dyDescent="0.2">
      <c r="A36" s="41" t="s">
        <v>88</v>
      </c>
      <c r="B36" s="42">
        <v>21.1</v>
      </c>
      <c r="C36" s="42">
        <v>21</v>
      </c>
      <c r="D36" s="42">
        <v>21.2</v>
      </c>
      <c r="E36" s="42">
        <v>21.5</v>
      </c>
      <c r="F36" s="42">
        <v>21.6</v>
      </c>
      <c r="G36" s="42">
        <v>21.9</v>
      </c>
      <c r="H36" s="42">
        <v>22.1</v>
      </c>
      <c r="I36" s="42">
        <v>22.2</v>
      </c>
      <c r="J36" s="42">
        <v>22.2</v>
      </c>
      <c r="K36" s="42">
        <v>22.209</v>
      </c>
      <c r="L36" s="43">
        <v>22.245999999999999</v>
      </c>
      <c r="M36" s="42">
        <v>22.202999999999999</v>
      </c>
      <c r="N36" s="43">
        <v>22.417000000000002</v>
      </c>
      <c r="O36" s="42">
        <v>22.323</v>
      </c>
      <c r="P36" s="43">
        <v>23.262</v>
      </c>
      <c r="Q36" s="42">
        <v>23.155999999999999</v>
      </c>
      <c r="R36" s="43">
        <v>22.972000000000001</v>
      </c>
    </row>
    <row r="37" spans="1:18" x14ac:dyDescent="0.2">
      <c r="A37" s="41" t="s">
        <v>89</v>
      </c>
      <c r="B37" s="42">
        <v>7.5</v>
      </c>
      <c r="C37" s="42">
        <v>7.5</v>
      </c>
      <c r="D37" s="42">
        <v>7.5</v>
      </c>
      <c r="E37" s="42">
        <v>7.5</v>
      </c>
      <c r="F37" s="42">
        <v>7.4</v>
      </c>
      <c r="G37" s="42">
        <v>7.5</v>
      </c>
      <c r="H37" s="42">
        <v>7.5</v>
      </c>
      <c r="I37" s="42">
        <v>7.4</v>
      </c>
      <c r="J37" s="42">
        <v>7.3</v>
      </c>
      <c r="K37" s="42">
        <v>7.4080000000000004</v>
      </c>
      <c r="L37" s="43">
        <v>7.3470000000000004</v>
      </c>
      <c r="M37" s="42">
        <v>7.3760000000000003</v>
      </c>
      <c r="N37" s="43">
        <v>7.415</v>
      </c>
      <c r="O37" s="42">
        <v>7.516</v>
      </c>
      <c r="P37" s="43">
        <v>7.3689999999999998</v>
      </c>
      <c r="Q37" s="42">
        <v>7.3559999999999999</v>
      </c>
      <c r="R37" s="43">
        <v>7.4480000000000004</v>
      </c>
    </row>
    <row r="38" spans="1:18" x14ac:dyDescent="0.2">
      <c r="A38" s="44" t="s">
        <v>90</v>
      </c>
      <c r="B38" s="45">
        <v>10.5</v>
      </c>
      <c r="C38" s="45">
        <v>10.5</v>
      </c>
      <c r="D38" s="45">
        <v>10.6</v>
      </c>
      <c r="E38" s="45">
        <v>10.6</v>
      </c>
      <c r="F38" s="45">
        <v>10.6</v>
      </c>
      <c r="G38" s="45">
        <v>10.6</v>
      </c>
      <c r="H38" s="45">
        <v>10.6</v>
      </c>
      <c r="I38" s="45">
        <v>10.7</v>
      </c>
      <c r="J38" s="45">
        <v>10.7</v>
      </c>
      <c r="K38" s="158">
        <v>10.821999999999999</v>
      </c>
      <c r="L38" s="162">
        <v>10.638</v>
      </c>
      <c r="M38" s="158">
        <v>10.605</v>
      </c>
      <c r="N38" s="162">
        <v>10.801</v>
      </c>
      <c r="O38" s="158">
        <v>10.653</v>
      </c>
      <c r="P38" s="162">
        <v>10.688000000000001</v>
      </c>
      <c r="Q38" s="158">
        <v>10.79</v>
      </c>
      <c r="R38" s="162">
        <v>10.791</v>
      </c>
    </row>
    <row r="39" spans="1:18" x14ac:dyDescent="0.2">
      <c r="A39" s="46" t="s">
        <v>91</v>
      </c>
      <c r="B39" s="47">
        <v>4.9000000000000004</v>
      </c>
      <c r="C39" s="47">
        <v>4.9000000000000004</v>
      </c>
      <c r="D39" s="47">
        <v>5</v>
      </c>
      <c r="E39" s="47">
        <v>4.9000000000000004</v>
      </c>
      <c r="F39" s="47">
        <v>5</v>
      </c>
      <c r="G39" s="47">
        <v>5</v>
      </c>
      <c r="H39" s="47">
        <v>5</v>
      </c>
      <c r="I39" s="47">
        <v>5</v>
      </c>
      <c r="J39" s="47">
        <v>5</v>
      </c>
      <c r="K39" s="159">
        <v>5.1130000000000004</v>
      </c>
      <c r="L39" s="43">
        <v>4.9939999999999998</v>
      </c>
      <c r="M39" s="159">
        <v>4.9539999999999997</v>
      </c>
      <c r="N39" s="43">
        <v>5.0640000000000001</v>
      </c>
      <c r="O39" s="159">
        <v>5.0030000000000001</v>
      </c>
      <c r="P39" s="43">
        <v>4.9939999999999998</v>
      </c>
      <c r="Q39" s="159">
        <v>4.9779999999999998</v>
      </c>
      <c r="R39" s="43">
        <v>4.9969999999999999</v>
      </c>
    </row>
    <row r="40" spans="1:18" x14ac:dyDescent="0.2">
      <c r="A40" s="46" t="s">
        <v>92</v>
      </c>
      <c r="B40" s="48">
        <v>5.6</v>
      </c>
      <c r="C40" s="48">
        <v>5.6</v>
      </c>
      <c r="D40" s="48">
        <v>5.7</v>
      </c>
      <c r="E40" s="48">
        <v>5.6</v>
      </c>
      <c r="F40" s="48">
        <v>5.6</v>
      </c>
      <c r="G40" s="48">
        <v>5.6</v>
      </c>
      <c r="H40" s="48">
        <v>5.6</v>
      </c>
      <c r="I40" s="48">
        <v>5.7</v>
      </c>
      <c r="J40" s="48">
        <v>5.7</v>
      </c>
      <c r="K40" s="160">
        <v>5.7089999999999996</v>
      </c>
      <c r="L40" s="163">
        <v>5.6440000000000001</v>
      </c>
      <c r="M40" s="160">
        <v>5.6509999999999998</v>
      </c>
      <c r="N40" s="163">
        <v>5.7370000000000001</v>
      </c>
      <c r="O40" s="160">
        <v>5.65</v>
      </c>
      <c r="P40" s="163">
        <v>5.694</v>
      </c>
      <c r="Q40" s="160">
        <v>5.8120000000000003</v>
      </c>
      <c r="R40" s="163">
        <v>5.7939999999999996</v>
      </c>
    </row>
    <row r="41" spans="1:18" x14ac:dyDescent="0.2">
      <c r="A41" s="44" t="s">
        <v>93</v>
      </c>
      <c r="B41" s="45">
        <v>172.3</v>
      </c>
      <c r="C41" s="45">
        <v>170.9</v>
      </c>
      <c r="D41" s="45">
        <v>169.7</v>
      </c>
      <c r="E41" s="45">
        <v>169.2</v>
      </c>
      <c r="F41" s="45">
        <v>169.9</v>
      </c>
      <c r="G41" s="45">
        <v>170.2</v>
      </c>
      <c r="H41" s="45">
        <v>170.9</v>
      </c>
      <c r="I41" s="45">
        <v>171.3</v>
      </c>
      <c r="J41" s="45">
        <v>172.7</v>
      </c>
      <c r="K41" s="158">
        <v>173.32900000000001</v>
      </c>
      <c r="L41" s="162">
        <v>172.91900000000001</v>
      </c>
      <c r="M41" s="158">
        <v>172.703</v>
      </c>
      <c r="N41" s="162">
        <v>173.19300000000001</v>
      </c>
      <c r="O41" s="158">
        <v>174.524</v>
      </c>
      <c r="P41" s="162">
        <v>175.37100000000001</v>
      </c>
      <c r="Q41" s="158">
        <v>175.17500000000001</v>
      </c>
      <c r="R41" s="162">
        <v>175.31899999999999</v>
      </c>
    </row>
    <row r="42" spans="1:18" x14ac:dyDescent="0.2">
      <c r="A42" s="46" t="s">
        <v>94</v>
      </c>
      <c r="B42" s="47">
        <v>37.1</v>
      </c>
      <c r="C42" s="47">
        <v>37.200000000000003</v>
      </c>
      <c r="D42" s="47">
        <v>36.700000000000003</v>
      </c>
      <c r="E42" s="47">
        <v>36.700000000000003</v>
      </c>
      <c r="F42" s="47">
        <v>37.200000000000003</v>
      </c>
      <c r="G42" s="47">
        <v>37.700000000000003</v>
      </c>
      <c r="H42" s="47">
        <v>37.700000000000003</v>
      </c>
      <c r="I42" s="47">
        <v>37.9</v>
      </c>
      <c r="J42" s="47">
        <v>38.5</v>
      </c>
      <c r="K42" s="159">
        <v>38.820999999999998</v>
      </c>
      <c r="L42" s="43">
        <v>38.889000000000003</v>
      </c>
      <c r="M42" s="159">
        <v>38.578000000000003</v>
      </c>
      <c r="N42" s="43">
        <v>38.697000000000003</v>
      </c>
      <c r="O42" s="159">
        <v>39.075000000000003</v>
      </c>
      <c r="P42" s="43">
        <v>39.204999999999998</v>
      </c>
      <c r="Q42" s="159">
        <v>38.890999999999998</v>
      </c>
      <c r="R42" s="43">
        <v>39.268999999999998</v>
      </c>
    </row>
    <row r="43" spans="1:18" x14ac:dyDescent="0.2">
      <c r="A43" s="46" t="s">
        <v>95</v>
      </c>
      <c r="B43" s="47">
        <v>18.899999999999999</v>
      </c>
      <c r="C43" s="47">
        <v>18.7</v>
      </c>
      <c r="D43" s="47">
        <v>18.2</v>
      </c>
      <c r="E43" s="47">
        <v>18.2</v>
      </c>
      <c r="F43" s="47">
        <v>18.8</v>
      </c>
      <c r="G43" s="47">
        <v>18.600000000000001</v>
      </c>
      <c r="H43" s="47">
        <v>18.8</v>
      </c>
      <c r="I43" s="47">
        <v>18.899999999999999</v>
      </c>
      <c r="J43" s="47">
        <v>19.100000000000001</v>
      </c>
      <c r="K43" s="159">
        <v>19.359000000000002</v>
      </c>
      <c r="L43" s="43">
        <v>19.526</v>
      </c>
      <c r="M43" s="159">
        <v>19.431000000000001</v>
      </c>
      <c r="N43" s="43">
        <v>19.327999999999999</v>
      </c>
      <c r="O43" s="159">
        <v>19.437999999999999</v>
      </c>
      <c r="P43" s="43">
        <v>19.507999999999999</v>
      </c>
      <c r="Q43" s="159">
        <v>19.481000000000002</v>
      </c>
      <c r="R43" s="43">
        <v>19.605</v>
      </c>
    </row>
    <row r="44" spans="1:18" x14ac:dyDescent="0.2">
      <c r="A44" s="46" t="s">
        <v>96</v>
      </c>
      <c r="B44" s="47">
        <v>7.5</v>
      </c>
      <c r="C44" s="47">
        <v>7.4</v>
      </c>
      <c r="D44" s="47">
        <v>7.4</v>
      </c>
      <c r="E44" s="47">
        <v>7.4</v>
      </c>
      <c r="F44" s="47">
        <v>7.2</v>
      </c>
      <c r="G44" s="47">
        <v>7.2</v>
      </c>
      <c r="H44" s="47">
        <v>7.2</v>
      </c>
      <c r="I44" s="47">
        <v>7.2</v>
      </c>
      <c r="J44" s="47">
        <v>7.1</v>
      </c>
      <c r="K44" s="159">
        <v>7.1059999999999999</v>
      </c>
      <c r="L44" s="43">
        <v>7.1509999999999998</v>
      </c>
      <c r="M44" s="159">
        <v>7.2830000000000004</v>
      </c>
      <c r="N44" s="43">
        <v>7.3419999999999996</v>
      </c>
      <c r="O44" s="159">
        <v>7.3890000000000002</v>
      </c>
      <c r="P44" s="43">
        <v>7.2350000000000003</v>
      </c>
      <c r="Q44" s="159">
        <v>7.2229999999999999</v>
      </c>
      <c r="R44" s="43">
        <v>7.0359999999999996</v>
      </c>
    </row>
    <row r="45" spans="1:18" x14ac:dyDescent="0.2">
      <c r="A45" s="46" t="s">
        <v>97</v>
      </c>
      <c r="B45" s="47">
        <v>8.4</v>
      </c>
      <c r="C45" s="47">
        <v>8.4</v>
      </c>
      <c r="D45" s="47">
        <v>8.4</v>
      </c>
      <c r="E45" s="47">
        <v>8.4</v>
      </c>
      <c r="F45" s="47">
        <v>8.5</v>
      </c>
      <c r="G45" s="47">
        <v>8.5</v>
      </c>
      <c r="H45" s="47">
        <v>8.5</v>
      </c>
      <c r="I45" s="47">
        <v>8.5</v>
      </c>
      <c r="J45" s="47">
        <v>8.5</v>
      </c>
      <c r="K45" s="159">
        <v>8.4979999999999993</v>
      </c>
      <c r="L45" s="43">
        <v>8.6539999999999999</v>
      </c>
      <c r="M45" s="159">
        <v>8.7059999999999995</v>
      </c>
      <c r="N45" s="43">
        <v>8.7260000000000009</v>
      </c>
      <c r="O45" s="159">
        <v>8.7349999999999994</v>
      </c>
      <c r="P45" s="43">
        <v>8.6720000000000006</v>
      </c>
      <c r="Q45" s="159">
        <v>8.6370000000000005</v>
      </c>
      <c r="R45" s="43">
        <v>8.4570000000000007</v>
      </c>
    </row>
    <row r="46" spans="1:18" x14ac:dyDescent="0.2">
      <c r="A46" s="46" t="s">
        <v>98</v>
      </c>
      <c r="B46" s="47">
        <v>5.3</v>
      </c>
      <c r="C46" s="47">
        <v>5.0999999999999996</v>
      </c>
      <c r="D46" s="47">
        <v>5.0999999999999996</v>
      </c>
      <c r="E46" s="47">
        <v>5.0999999999999996</v>
      </c>
      <c r="F46" s="47">
        <v>5</v>
      </c>
      <c r="G46" s="47">
        <v>4.9000000000000004</v>
      </c>
      <c r="H46" s="47">
        <v>4.9000000000000004</v>
      </c>
      <c r="I46" s="47">
        <v>4.9000000000000004</v>
      </c>
      <c r="J46" s="47">
        <v>4.8</v>
      </c>
      <c r="K46" s="159">
        <v>4.7709999999999999</v>
      </c>
      <c r="L46" s="43">
        <v>4.9130000000000003</v>
      </c>
      <c r="M46" s="159">
        <v>4.923</v>
      </c>
      <c r="N46" s="43">
        <v>4.95</v>
      </c>
      <c r="O46" s="159">
        <v>4.883</v>
      </c>
      <c r="P46" s="43">
        <v>4.7469999999999999</v>
      </c>
      <c r="Q46" s="159">
        <v>4.7409999999999997</v>
      </c>
      <c r="R46" s="43">
        <v>4.569</v>
      </c>
    </row>
    <row r="47" spans="1:18" x14ac:dyDescent="0.2">
      <c r="A47" s="46" t="s">
        <v>99</v>
      </c>
      <c r="B47" s="47">
        <v>20</v>
      </c>
      <c r="C47" s="47">
        <v>19.8</v>
      </c>
      <c r="D47" s="47">
        <v>19.8</v>
      </c>
      <c r="E47" s="47">
        <v>19.899999999999999</v>
      </c>
      <c r="F47" s="47">
        <v>19.8</v>
      </c>
      <c r="G47" s="47">
        <v>19.7</v>
      </c>
      <c r="H47" s="47">
        <v>19.8</v>
      </c>
      <c r="I47" s="47">
        <v>19.8</v>
      </c>
      <c r="J47" s="47">
        <v>20.3</v>
      </c>
      <c r="K47" s="159">
        <v>20.544</v>
      </c>
      <c r="L47" s="43">
        <v>19.8</v>
      </c>
      <c r="M47" s="159">
        <v>19.73</v>
      </c>
      <c r="N47" s="43">
        <v>19.814</v>
      </c>
      <c r="O47" s="159">
        <v>19.936</v>
      </c>
      <c r="P47" s="43">
        <v>20.494</v>
      </c>
      <c r="Q47" s="159">
        <v>20.125</v>
      </c>
      <c r="R47" s="43">
        <v>20.634</v>
      </c>
    </row>
    <row r="48" spans="1:18" x14ac:dyDescent="0.2">
      <c r="A48" s="46" t="s">
        <v>100</v>
      </c>
      <c r="B48" s="47">
        <v>28.8</v>
      </c>
      <c r="C48" s="47">
        <v>28.3</v>
      </c>
      <c r="D48" s="47">
        <v>28.1</v>
      </c>
      <c r="E48" s="47">
        <v>28.4</v>
      </c>
      <c r="F48" s="47">
        <v>28.4</v>
      </c>
      <c r="G48" s="47">
        <v>28.5</v>
      </c>
      <c r="H48" s="47">
        <v>28.6</v>
      </c>
      <c r="I48" s="47">
        <v>28.6</v>
      </c>
      <c r="J48" s="47">
        <v>28.8</v>
      </c>
      <c r="K48" s="159">
        <v>29.152999999999999</v>
      </c>
      <c r="L48" s="43">
        <v>29.231000000000002</v>
      </c>
      <c r="M48" s="159">
        <v>29.251000000000001</v>
      </c>
      <c r="N48" s="43">
        <v>29.306000000000001</v>
      </c>
      <c r="O48" s="159">
        <v>29.643999999999998</v>
      </c>
      <c r="P48" s="43">
        <v>29.326000000000001</v>
      </c>
      <c r="Q48" s="159">
        <v>29.036000000000001</v>
      </c>
      <c r="R48" s="43">
        <v>28.838999999999999</v>
      </c>
    </row>
    <row r="49" spans="1:18" x14ac:dyDescent="0.2">
      <c r="A49" s="46" t="s">
        <v>101</v>
      </c>
      <c r="B49" s="47">
        <v>5.5</v>
      </c>
      <c r="C49" s="47">
        <v>5.5</v>
      </c>
      <c r="D49" s="47">
        <v>5.4</v>
      </c>
      <c r="E49" s="47">
        <v>5.3</v>
      </c>
      <c r="F49" s="47">
        <v>5.2</v>
      </c>
      <c r="G49" s="47">
        <v>5.3</v>
      </c>
      <c r="H49" s="47">
        <v>5.3</v>
      </c>
      <c r="I49" s="47">
        <v>5.3</v>
      </c>
      <c r="J49" s="47">
        <v>5.0999999999999996</v>
      </c>
      <c r="K49" s="159">
        <v>5.0590000000000002</v>
      </c>
      <c r="L49" s="43">
        <v>4.9400000000000004</v>
      </c>
      <c r="M49" s="159">
        <v>4.9470000000000001</v>
      </c>
      <c r="N49" s="43">
        <v>4.9610000000000003</v>
      </c>
      <c r="O49" s="159">
        <v>5.0129999999999999</v>
      </c>
      <c r="P49" s="43">
        <v>5.1619999999999999</v>
      </c>
      <c r="Q49" s="159">
        <v>5.1319999999999997</v>
      </c>
      <c r="R49" s="43">
        <v>5.1390000000000002</v>
      </c>
    </row>
    <row r="50" spans="1:18" x14ac:dyDescent="0.2">
      <c r="A50" s="46" t="s">
        <v>102</v>
      </c>
      <c r="B50" s="47">
        <v>31.3</v>
      </c>
      <c r="C50" s="47">
        <v>31.2</v>
      </c>
      <c r="D50" s="47">
        <v>31.3</v>
      </c>
      <c r="E50" s="47">
        <v>30.8</v>
      </c>
      <c r="F50" s="47">
        <v>30.7</v>
      </c>
      <c r="G50" s="47">
        <v>31</v>
      </c>
      <c r="H50" s="47">
        <v>31.2</v>
      </c>
      <c r="I50" s="47">
        <v>31.1</v>
      </c>
      <c r="J50" s="47">
        <v>31.2</v>
      </c>
      <c r="K50" s="159">
        <v>31.43</v>
      </c>
      <c r="L50" s="43">
        <v>31.221</v>
      </c>
      <c r="M50" s="159">
        <v>31.234999999999999</v>
      </c>
      <c r="N50" s="43">
        <v>31.381</v>
      </c>
      <c r="O50" s="159">
        <v>31.654</v>
      </c>
      <c r="P50" s="43">
        <v>32.033000000000001</v>
      </c>
      <c r="Q50" s="159">
        <v>32.939</v>
      </c>
      <c r="R50" s="43">
        <v>32.716000000000001</v>
      </c>
    </row>
    <row r="51" spans="1:18" x14ac:dyDescent="0.2">
      <c r="A51" s="46" t="s">
        <v>103</v>
      </c>
      <c r="B51" s="48">
        <v>9.5</v>
      </c>
      <c r="C51" s="48">
        <v>9.4</v>
      </c>
      <c r="D51" s="48">
        <v>9.1999999999999993</v>
      </c>
      <c r="E51" s="48">
        <v>9.1</v>
      </c>
      <c r="F51" s="48">
        <v>9</v>
      </c>
      <c r="G51" s="48">
        <v>9</v>
      </c>
      <c r="H51" s="48">
        <v>8.9</v>
      </c>
      <c r="I51" s="48">
        <v>9</v>
      </c>
      <c r="J51" s="48">
        <v>9.1999999999999993</v>
      </c>
      <c r="K51" s="160">
        <v>8.5879999999999992</v>
      </c>
      <c r="L51" s="163">
        <v>8.5939999999999994</v>
      </c>
      <c r="M51" s="160">
        <v>8.6189999999999998</v>
      </c>
      <c r="N51" s="163">
        <v>8.6880000000000006</v>
      </c>
      <c r="O51" s="160">
        <v>8.7569999999999997</v>
      </c>
      <c r="P51" s="163">
        <v>8.9890000000000008</v>
      </c>
      <c r="Q51" s="160">
        <v>8.9700000000000006</v>
      </c>
      <c r="R51" s="163">
        <v>9.0549999999999997</v>
      </c>
    </row>
    <row r="52" spans="1:18" x14ac:dyDescent="0.2">
      <c r="A52" s="38" t="s">
        <v>104</v>
      </c>
      <c r="B52" s="39">
        <v>174.9</v>
      </c>
      <c r="C52" s="39">
        <v>174.2</v>
      </c>
      <c r="D52" s="39">
        <v>174.4</v>
      </c>
      <c r="E52" s="39">
        <v>173.8</v>
      </c>
      <c r="F52" s="39">
        <v>175.1</v>
      </c>
      <c r="G52" s="39">
        <v>178.4</v>
      </c>
      <c r="H52" s="39">
        <v>178.3</v>
      </c>
      <c r="I52" s="39">
        <v>178.7</v>
      </c>
      <c r="J52" s="39">
        <v>176.9</v>
      </c>
      <c r="K52" s="157">
        <v>182.928</v>
      </c>
      <c r="L52" s="162">
        <v>185.06100000000001</v>
      </c>
      <c r="M52" s="157">
        <v>185.09100000000001</v>
      </c>
      <c r="N52" s="162">
        <v>186.929</v>
      </c>
      <c r="O52" s="157">
        <v>187.85300000000001</v>
      </c>
      <c r="P52" s="162">
        <v>188.762</v>
      </c>
      <c r="Q52" s="157">
        <v>188.39099999999999</v>
      </c>
      <c r="R52" s="162">
        <v>189.03100000000001</v>
      </c>
    </row>
    <row r="53" spans="1:18" x14ac:dyDescent="0.2">
      <c r="A53" s="41" t="s">
        <v>105</v>
      </c>
      <c r="B53" s="42">
        <v>84.9</v>
      </c>
      <c r="C53" s="42">
        <v>84.2</v>
      </c>
      <c r="D53" s="42">
        <v>84</v>
      </c>
      <c r="E53" s="42">
        <v>83.9</v>
      </c>
      <c r="F53" s="42">
        <v>84.7</v>
      </c>
      <c r="G53" s="42">
        <v>86.5</v>
      </c>
      <c r="H53" s="42">
        <v>86.3</v>
      </c>
      <c r="I53" s="42">
        <v>86.3</v>
      </c>
      <c r="J53" s="42">
        <v>84.8</v>
      </c>
      <c r="K53" s="42">
        <v>88.075999999999993</v>
      </c>
      <c r="L53" s="43">
        <v>89.472999999999999</v>
      </c>
      <c r="M53" s="42">
        <v>89.355999999999995</v>
      </c>
      <c r="N53" s="43">
        <v>90.382999999999996</v>
      </c>
      <c r="O53" s="42">
        <v>90.721999999999994</v>
      </c>
      <c r="P53" s="43">
        <v>90.956000000000003</v>
      </c>
      <c r="Q53" s="42">
        <v>90.799000000000007</v>
      </c>
      <c r="R53" s="43">
        <v>91.578999999999994</v>
      </c>
    </row>
    <row r="54" spans="1:18" x14ac:dyDescent="0.2">
      <c r="A54" s="41" t="s">
        <v>106</v>
      </c>
      <c r="B54" s="42">
        <v>38.6</v>
      </c>
      <c r="C54" s="42">
        <v>38.700000000000003</v>
      </c>
      <c r="D54" s="42">
        <v>39.200000000000003</v>
      </c>
      <c r="E54" s="42">
        <v>38.9</v>
      </c>
      <c r="F54" s="42">
        <v>39.1</v>
      </c>
      <c r="G54" s="42">
        <v>40.5</v>
      </c>
      <c r="H54" s="42">
        <v>40.1</v>
      </c>
      <c r="I54" s="42">
        <v>40.299999999999997</v>
      </c>
      <c r="J54" s="42">
        <v>40.299999999999997</v>
      </c>
      <c r="K54" s="42">
        <v>42.149000000000001</v>
      </c>
      <c r="L54" s="43">
        <v>42.36</v>
      </c>
      <c r="M54" s="42">
        <v>42.552999999999997</v>
      </c>
      <c r="N54" s="43">
        <v>42.997999999999998</v>
      </c>
      <c r="O54" s="42">
        <v>43.305</v>
      </c>
      <c r="P54" s="43">
        <v>43.557000000000002</v>
      </c>
      <c r="Q54" s="42">
        <v>43.497</v>
      </c>
      <c r="R54" s="43">
        <v>43.524000000000001</v>
      </c>
    </row>
    <row r="55" spans="1:18" x14ac:dyDescent="0.2">
      <c r="A55" s="41" t="s">
        <v>107</v>
      </c>
      <c r="B55" s="42">
        <v>13.4</v>
      </c>
      <c r="C55" s="42">
        <v>13.4</v>
      </c>
      <c r="D55" s="42">
        <v>13.4</v>
      </c>
      <c r="E55" s="42">
        <v>13.4</v>
      </c>
      <c r="F55" s="42">
        <v>13.4</v>
      </c>
      <c r="G55" s="42">
        <v>13.6</v>
      </c>
      <c r="H55" s="42">
        <v>13.6</v>
      </c>
      <c r="I55" s="42">
        <v>13.7</v>
      </c>
      <c r="J55" s="42">
        <v>13.6</v>
      </c>
      <c r="K55" s="42">
        <v>13.976000000000001</v>
      </c>
      <c r="L55" s="43">
        <v>14.048999999999999</v>
      </c>
      <c r="M55" s="42">
        <v>13.98</v>
      </c>
      <c r="N55" s="43">
        <v>14.148999999999999</v>
      </c>
      <c r="O55" s="42">
        <v>14.194000000000001</v>
      </c>
      <c r="P55" s="43">
        <v>13.88</v>
      </c>
      <c r="Q55" s="42">
        <v>13.852</v>
      </c>
      <c r="R55" s="43">
        <v>13.725</v>
      </c>
    </row>
    <row r="56" spans="1:18" x14ac:dyDescent="0.2">
      <c r="A56" s="41" t="s">
        <v>108</v>
      </c>
      <c r="B56" s="42">
        <v>19.7</v>
      </c>
      <c r="C56" s="42">
        <v>19.600000000000001</v>
      </c>
      <c r="D56" s="42">
        <v>19.600000000000001</v>
      </c>
      <c r="E56" s="42">
        <v>19.5</v>
      </c>
      <c r="F56" s="42">
        <v>19.7</v>
      </c>
      <c r="G56" s="42">
        <v>19.899999999999999</v>
      </c>
      <c r="H56" s="42">
        <v>20.100000000000001</v>
      </c>
      <c r="I56" s="42">
        <v>20.2</v>
      </c>
      <c r="J56" s="42">
        <v>20.100000000000001</v>
      </c>
      <c r="K56" s="42">
        <v>20.431000000000001</v>
      </c>
      <c r="L56" s="43">
        <v>20.609000000000002</v>
      </c>
      <c r="M56" s="42">
        <v>20.74</v>
      </c>
      <c r="N56" s="43">
        <v>21.006</v>
      </c>
      <c r="O56" s="42">
        <v>21.151</v>
      </c>
      <c r="P56" s="43">
        <v>21.117999999999999</v>
      </c>
      <c r="Q56" s="42">
        <v>21.06</v>
      </c>
      <c r="R56" s="43">
        <v>21.062000000000001</v>
      </c>
    </row>
    <row r="57" spans="1:18" x14ac:dyDescent="0.2">
      <c r="A57" s="41" t="s">
        <v>109</v>
      </c>
      <c r="B57" s="42">
        <v>18.3</v>
      </c>
      <c r="C57" s="42">
        <v>18.3</v>
      </c>
      <c r="D57" s="42">
        <v>18.2</v>
      </c>
      <c r="E57" s="42">
        <v>18.100000000000001</v>
      </c>
      <c r="F57" s="42">
        <v>18.100000000000001</v>
      </c>
      <c r="G57" s="42">
        <v>18</v>
      </c>
      <c r="H57" s="42">
        <v>18.2</v>
      </c>
      <c r="I57" s="42">
        <v>18.100000000000001</v>
      </c>
      <c r="J57" s="42">
        <v>18.2</v>
      </c>
      <c r="K57" s="42">
        <v>18.295999999999999</v>
      </c>
      <c r="L57" s="43">
        <v>18.57</v>
      </c>
      <c r="M57" s="42">
        <v>18.462</v>
      </c>
      <c r="N57" s="43">
        <v>18.393000000000001</v>
      </c>
      <c r="O57" s="42">
        <v>18.481000000000002</v>
      </c>
      <c r="P57" s="43">
        <v>19.251000000000001</v>
      </c>
      <c r="Q57" s="42">
        <v>19.183</v>
      </c>
      <c r="R57" s="43">
        <v>19.140999999999998</v>
      </c>
    </row>
    <row r="58" spans="1:18" x14ac:dyDescent="0.2">
      <c r="A58" s="38" t="s">
        <v>110</v>
      </c>
      <c r="B58" s="39">
        <v>508.8</v>
      </c>
      <c r="C58" s="39">
        <v>502.6</v>
      </c>
      <c r="D58" s="39">
        <v>500.4</v>
      </c>
      <c r="E58" s="39">
        <v>501.7</v>
      </c>
      <c r="F58" s="39">
        <v>504.9</v>
      </c>
      <c r="G58" s="39">
        <v>511.5</v>
      </c>
      <c r="H58" s="39">
        <v>517.6</v>
      </c>
      <c r="I58" s="39">
        <v>523.4</v>
      </c>
      <c r="J58" s="39">
        <v>530.70000000000005</v>
      </c>
      <c r="K58" s="157">
        <v>537.52</v>
      </c>
      <c r="L58" s="162">
        <v>538.13300000000004</v>
      </c>
      <c r="M58" s="157">
        <v>536.02700000000004</v>
      </c>
      <c r="N58" s="162">
        <v>535.85299999999995</v>
      </c>
      <c r="O58" s="157">
        <v>532.83000000000004</v>
      </c>
      <c r="P58" s="162">
        <v>539.93700000000001</v>
      </c>
      <c r="Q58" s="157">
        <v>538.245</v>
      </c>
      <c r="R58" s="162">
        <v>544.43499999999995</v>
      </c>
    </row>
    <row r="59" spans="1:18" x14ac:dyDescent="0.2">
      <c r="A59" s="41" t="s">
        <v>111</v>
      </c>
      <c r="B59" s="42">
        <v>43.8</v>
      </c>
      <c r="C59" s="42">
        <v>43.8</v>
      </c>
      <c r="D59" s="42">
        <v>43.8</v>
      </c>
      <c r="E59" s="42">
        <v>43.8</v>
      </c>
      <c r="F59" s="42">
        <v>44.1</v>
      </c>
      <c r="G59" s="42">
        <v>45.1</v>
      </c>
      <c r="H59" s="42">
        <v>46.6</v>
      </c>
      <c r="I59" s="42">
        <v>47.7</v>
      </c>
      <c r="J59" s="42">
        <v>48.3</v>
      </c>
      <c r="K59" s="42">
        <v>51.091999999999999</v>
      </c>
      <c r="L59" s="43">
        <v>51.076000000000001</v>
      </c>
      <c r="M59" s="42">
        <v>50.831000000000003</v>
      </c>
      <c r="N59" s="43">
        <v>51.619</v>
      </c>
      <c r="O59" s="42">
        <v>52.463000000000001</v>
      </c>
      <c r="P59" s="43">
        <v>53.335999999999999</v>
      </c>
      <c r="Q59" s="42">
        <v>51.579000000000001</v>
      </c>
      <c r="R59" s="43">
        <v>52.835000000000001</v>
      </c>
    </row>
    <row r="60" spans="1:18" x14ac:dyDescent="0.2">
      <c r="A60" s="41" t="s">
        <v>112</v>
      </c>
      <c r="B60" s="42">
        <v>47.7</v>
      </c>
      <c r="C60" s="42">
        <v>46.7</v>
      </c>
      <c r="D60" s="42">
        <v>46.8</v>
      </c>
      <c r="E60" s="42">
        <v>47.4</v>
      </c>
      <c r="F60" s="42">
        <v>49.7</v>
      </c>
      <c r="G60" s="42">
        <v>49.4</v>
      </c>
      <c r="H60" s="42">
        <v>48.5</v>
      </c>
      <c r="I60" s="42">
        <v>49.2</v>
      </c>
      <c r="J60" s="42">
        <v>49.8</v>
      </c>
      <c r="K60" s="42">
        <v>50.781999999999996</v>
      </c>
      <c r="L60" s="43">
        <v>51.118000000000002</v>
      </c>
      <c r="M60" s="42">
        <v>50.887999999999998</v>
      </c>
      <c r="N60" s="43">
        <v>51.323999999999998</v>
      </c>
      <c r="O60" s="42">
        <v>52.481000000000002</v>
      </c>
      <c r="P60" s="43">
        <v>53.683</v>
      </c>
      <c r="Q60" s="42">
        <v>53.411000000000001</v>
      </c>
      <c r="R60" s="43">
        <v>51.433999999999997</v>
      </c>
    </row>
    <row r="61" spans="1:18" x14ac:dyDescent="0.2">
      <c r="A61" s="41" t="s">
        <v>113</v>
      </c>
      <c r="B61" s="42">
        <v>194.7</v>
      </c>
      <c r="C61" s="42">
        <v>192.5</v>
      </c>
      <c r="D61" s="42">
        <v>190.2</v>
      </c>
      <c r="E61" s="42">
        <v>188.7</v>
      </c>
      <c r="F61" s="42">
        <v>190.3</v>
      </c>
      <c r="G61" s="42">
        <v>189.1</v>
      </c>
      <c r="H61" s="42">
        <v>192.6</v>
      </c>
      <c r="I61" s="42">
        <v>191.4</v>
      </c>
      <c r="J61" s="42">
        <v>193.3</v>
      </c>
      <c r="K61" s="42">
        <v>193.96799999999999</v>
      </c>
      <c r="L61" s="43">
        <v>192.79900000000001</v>
      </c>
      <c r="M61" s="42">
        <v>192.756</v>
      </c>
      <c r="N61" s="43">
        <v>191.76499999999999</v>
      </c>
      <c r="O61" s="42">
        <v>186.489</v>
      </c>
      <c r="P61" s="43">
        <v>190.27199999999999</v>
      </c>
      <c r="Q61" s="42">
        <v>191.07400000000001</v>
      </c>
      <c r="R61" s="43">
        <v>194.21700000000001</v>
      </c>
    </row>
    <row r="62" spans="1:18" x14ac:dyDescent="0.2">
      <c r="A62" s="41" t="s">
        <v>114</v>
      </c>
      <c r="B62" s="42">
        <v>37.5</v>
      </c>
      <c r="C62" s="42">
        <v>37.299999999999997</v>
      </c>
      <c r="D62" s="42">
        <v>37.299999999999997</v>
      </c>
      <c r="E62" s="42">
        <v>37.6</v>
      </c>
      <c r="F62" s="42">
        <v>37.799999999999997</v>
      </c>
      <c r="G62" s="42">
        <v>38.700000000000003</v>
      </c>
      <c r="H62" s="42">
        <v>39.299999999999997</v>
      </c>
      <c r="I62" s="42">
        <v>40.299999999999997</v>
      </c>
      <c r="J62" s="42">
        <v>40.9</v>
      </c>
      <c r="K62" s="42">
        <v>41.478000000000002</v>
      </c>
      <c r="L62" s="43">
        <v>42.128999999999998</v>
      </c>
      <c r="M62" s="42">
        <v>42.061999999999998</v>
      </c>
      <c r="N62" s="43">
        <v>42.606000000000002</v>
      </c>
      <c r="O62" s="42">
        <v>42.466000000000001</v>
      </c>
      <c r="P62" s="43">
        <v>42.441000000000003</v>
      </c>
      <c r="Q62" s="42">
        <v>41.962000000000003</v>
      </c>
      <c r="R62" s="43">
        <v>43.475000000000001</v>
      </c>
    </row>
    <row r="63" spans="1:18" x14ac:dyDescent="0.2">
      <c r="A63" s="41" t="s">
        <v>115</v>
      </c>
      <c r="B63" s="42">
        <v>55.7</v>
      </c>
      <c r="C63" s="42">
        <v>54.2</v>
      </c>
      <c r="D63" s="42">
        <v>54.1</v>
      </c>
      <c r="E63" s="42">
        <v>55</v>
      </c>
      <c r="F63" s="42">
        <v>56</v>
      </c>
      <c r="G63" s="42">
        <v>57.2</v>
      </c>
      <c r="H63" s="42">
        <v>57.6</v>
      </c>
      <c r="I63" s="42">
        <v>59</v>
      </c>
      <c r="J63" s="42">
        <v>60.9</v>
      </c>
      <c r="K63" s="42">
        <v>63.002000000000002</v>
      </c>
      <c r="L63" s="43">
        <v>63.694000000000003</v>
      </c>
      <c r="M63" s="42">
        <v>63.469000000000001</v>
      </c>
      <c r="N63" s="43">
        <v>63.658000000000001</v>
      </c>
      <c r="O63" s="42">
        <v>64.311999999999998</v>
      </c>
      <c r="P63" s="43">
        <v>64.709999999999994</v>
      </c>
      <c r="Q63" s="42">
        <v>64.611000000000004</v>
      </c>
      <c r="R63" s="43">
        <v>64.986000000000004</v>
      </c>
    </row>
    <row r="64" spans="1:18" x14ac:dyDescent="0.2">
      <c r="A64" s="41" t="s">
        <v>116</v>
      </c>
      <c r="B64" s="42">
        <v>50.6</v>
      </c>
      <c r="C64" s="42">
        <v>50</v>
      </c>
      <c r="D64" s="42">
        <v>50</v>
      </c>
      <c r="E64" s="42">
        <v>50.5</v>
      </c>
      <c r="F64" s="42">
        <v>48</v>
      </c>
      <c r="G64" s="42">
        <v>51.7</v>
      </c>
      <c r="H64" s="42">
        <v>51.5</v>
      </c>
      <c r="I64" s="42">
        <v>52.5</v>
      </c>
      <c r="J64" s="42">
        <v>53.2</v>
      </c>
      <c r="K64" s="42">
        <v>52.173000000000002</v>
      </c>
      <c r="L64" s="43">
        <v>52.768999999999998</v>
      </c>
      <c r="M64" s="42">
        <v>52.063000000000002</v>
      </c>
      <c r="N64" s="43">
        <v>50.783000000000001</v>
      </c>
      <c r="O64" s="42">
        <v>49.188000000000002</v>
      </c>
      <c r="P64" s="43">
        <v>49.698</v>
      </c>
      <c r="Q64" s="42">
        <v>49.935000000000002</v>
      </c>
      <c r="R64" s="43">
        <v>50.621000000000002</v>
      </c>
    </row>
    <row r="65" spans="1:18" x14ac:dyDescent="0.2">
      <c r="A65" s="41" t="s">
        <v>117</v>
      </c>
      <c r="B65" s="42">
        <v>33.700000000000003</v>
      </c>
      <c r="C65" s="42">
        <v>33.4</v>
      </c>
      <c r="D65" s="42">
        <v>33.5</v>
      </c>
      <c r="E65" s="42">
        <v>33.9</v>
      </c>
      <c r="F65" s="42">
        <v>34.200000000000003</v>
      </c>
      <c r="G65" s="42">
        <v>35.200000000000003</v>
      </c>
      <c r="H65" s="42">
        <v>35.5</v>
      </c>
      <c r="I65" s="42">
        <v>36.799999999999997</v>
      </c>
      <c r="J65" s="42">
        <v>37.299999999999997</v>
      </c>
      <c r="K65" s="42">
        <v>38.319000000000003</v>
      </c>
      <c r="L65" s="43">
        <v>38.223999999999997</v>
      </c>
      <c r="M65" s="42">
        <v>38.110999999999997</v>
      </c>
      <c r="N65" s="43">
        <v>37.988999999999997</v>
      </c>
      <c r="O65" s="42">
        <v>38.643000000000001</v>
      </c>
      <c r="P65" s="43">
        <v>38.948</v>
      </c>
      <c r="Q65" s="42">
        <v>38.851999999999997</v>
      </c>
      <c r="R65" s="43">
        <v>39.734999999999999</v>
      </c>
    </row>
    <row r="66" spans="1:18" x14ac:dyDescent="0.2">
      <c r="A66" s="41" t="s">
        <v>118</v>
      </c>
      <c r="B66" s="42">
        <v>45.1</v>
      </c>
      <c r="C66" s="42">
        <v>44.9</v>
      </c>
      <c r="D66" s="42">
        <v>44.8</v>
      </c>
      <c r="E66" s="42">
        <v>44.8</v>
      </c>
      <c r="F66" s="42">
        <v>44.8</v>
      </c>
      <c r="G66" s="42">
        <v>45.2</v>
      </c>
      <c r="H66" s="42">
        <v>45.8</v>
      </c>
      <c r="I66" s="42">
        <v>46.5</v>
      </c>
      <c r="J66" s="42">
        <v>46.9</v>
      </c>
      <c r="K66" s="42">
        <v>46.706000000000003</v>
      </c>
      <c r="L66" s="43">
        <v>46.323999999999998</v>
      </c>
      <c r="M66" s="42">
        <v>45.847000000000001</v>
      </c>
      <c r="N66" s="43">
        <v>46.109000000000002</v>
      </c>
      <c r="O66" s="42">
        <v>46.787999999999997</v>
      </c>
      <c r="P66" s="43">
        <v>46.848999999999997</v>
      </c>
      <c r="Q66" s="42">
        <v>46.820999999999998</v>
      </c>
      <c r="R66" s="43">
        <v>47.131999999999998</v>
      </c>
    </row>
    <row r="67" spans="1:18" x14ac:dyDescent="0.2">
      <c r="A67" s="44" t="s">
        <v>119</v>
      </c>
      <c r="B67" s="45">
        <v>93.5</v>
      </c>
      <c r="C67" s="45">
        <v>92.5</v>
      </c>
      <c r="D67" s="45">
        <v>92.1</v>
      </c>
      <c r="E67" s="45">
        <v>91.7</v>
      </c>
      <c r="F67" s="45">
        <v>91.4</v>
      </c>
      <c r="G67" s="45">
        <v>92.2</v>
      </c>
      <c r="H67" s="45">
        <v>92.7</v>
      </c>
      <c r="I67" s="45">
        <v>93.3</v>
      </c>
      <c r="J67" s="45">
        <v>93.6</v>
      </c>
      <c r="K67" s="158">
        <v>93.632999999999996</v>
      </c>
      <c r="L67" s="162">
        <v>92.471000000000004</v>
      </c>
      <c r="M67" s="158">
        <v>92.897999999999996</v>
      </c>
      <c r="N67" s="162">
        <v>93.628</v>
      </c>
      <c r="O67" s="158">
        <v>93.617000000000004</v>
      </c>
      <c r="P67" s="162">
        <v>94.230999999999995</v>
      </c>
      <c r="Q67" s="158">
        <v>94.869</v>
      </c>
      <c r="R67" s="162">
        <v>94.91</v>
      </c>
    </row>
    <row r="68" spans="1:18" x14ac:dyDescent="0.2">
      <c r="A68" s="46" t="s">
        <v>120</v>
      </c>
      <c r="B68" s="47">
        <v>21.4</v>
      </c>
      <c r="C68" s="47">
        <v>21.1</v>
      </c>
      <c r="D68" s="47">
        <v>21</v>
      </c>
      <c r="E68" s="47">
        <v>20.9</v>
      </c>
      <c r="F68" s="47">
        <v>20.9</v>
      </c>
      <c r="G68" s="47">
        <v>21.2</v>
      </c>
      <c r="H68" s="47">
        <v>21.1</v>
      </c>
      <c r="I68" s="47">
        <v>21.2</v>
      </c>
      <c r="J68" s="47">
        <v>21.4</v>
      </c>
      <c r="K68" s="159">
        <v>21.564</v>
      </c>
      <c r="L68" s="43">
        <v>21.452000000000002</v>
      </c>
      <c r="M68" s="159">
        <v>21.512</v>
      </c>
      <c r="N68" s="43">
        <v>21.640999999999998</v>
      </c>
      <c r="O68" s="159">
        <v>21.768999999999998</v>
      </c>
      <c r="P68" s="43">
        <v>22.347000000000001</v>
      </c>
      <c r="Q68" s="159">
        <v>22.547000000000001</v>
      </c>
      <c r="R68" s="43">
        <v>22.702999999999999</v>
      </c>
    </row>
    <row r="69" spans="1:18" x14ac:dyDescent="0.2">
      <c r="A69" s="46" t="s">
        <v>121</v>
      </c>
      <c r="B69" s="47">
        <v>13.2</v>
      </c>
      <c r="C69" s="47">
        <v>12.9</v>
      </c>
      <c r="D69" s="47">
        <v>12.7</v>
      </c>
      <c r="E69" s="47">
        <v>12.5</v>
      </c>
      <c r="F69" s="47">
        <v>12.3</v>
      </c>
      <c r="G69" s="47">
        <v>12.4</v>
      </c>
      <c r="H69" s="47">
        <v>12.2</v>
      </c>
      <c r="I69" s="47">
        <v>12.2</v>
      </c>
      <c r="J69" s="47">
        <v>12.4</v>
      </c>
      <c r="K69" s="159">
        <v>12.257999999999999</v>
      </c>
      <c r="L69" s="43">
        <v>12.026</v>
      </c>
      <c r="M69" s="159">
        <v>12.106</v>
      </c>
      <c r="N69" s="43">
        <v>12.308</v>
      </c>
      <c r="O69" s="159">
        <v>11.868</v>
      </c>
      <c r="P69" s="43">
        <v>11.821</v>
      </c>
      <c r="Q69" s="159">
        <v>12.26</v>
      </c>
      <c r="R69" s="43">
        <v>12.023999999999999</v>
      </c>
    </row>
    <row r="70" spans="1:18" x14ac:dyDescent="0.2">
      <c r="A70" s="46" t="s">
        <v>122</v>
      </c>
      <c r="B70" s="47">
        <v>6.9</v>
      </c>
      <c r="C70" s="47">
        <v>6.9</v>
      </c>
      <c r="D70" s="47">
        <v>7</v>
      </c>
      <c r="E70" s="47">
        <v>6.9</v>
      </c>
      <c r="F70" s="47">
        <v>6.9</v>
      </c>
      <c r="G70" s="47">
        <v>7</v>
      </c>
      <c r="H70" s="47">
        <v>6.9</v>
      </c>
      <c r="I70" s="47">
        <v>7</v>
      </c>
      <c r="J70" s="47">
        <v>7.1</v>
      </c>
      <c r="K70" s="159">
        <v>7.1180000000000003</v>
      </c>
      <c r="L70" s="43">
        <v>6.9909999999999997</v>
      </c>
      <c r="M70" s="159">
        <v>6.9950000000000001</v>
      </c>
      <c r="N70" s="43">
        <v>6.9160000000000004</v>
      </c>
      <c r="O70" s="159">
        <v>6.9489999999999998</v>
      </c>
      <c r="P70" s="43">
        <v>6.9189999999999996</v>
      </c>
      <c r="Q70" s="159">
        <v>6.9059999999999997</v>
      </c>
      <c r="R70" s="43">
        <v>6.91</v>
      </c>
    </row>
    <row r="71" spans="1:18" x14ac:dyDescent="0.2">
      <c r="A71" s="46" t="s">
        <v>123</v>
      </c>
      <c r="B71" s="47">
        <v>13.4</v>
      </c>
      <c r="C71" s="47">
        <v>13.4</v>
      </c>
      <c r="D71" s="47">
        <v>13.4</v>
      </c>
      <c r="E71" s="47">
        <v>13.3</v>
      </c>
      <c r="F71" s="47">
        <v>13.3</v>
      </c>
      <c r="G71" s="47">
        <v>13.4</v>
      </c>
      <c r="H71" s="47">
        <v>13.6</v>
      </c>
      <c r="I71" s="47">
        <v>13.6</v>
      </c>
      <c r="J71" s="47">
        <v>13.8</v>
      </c>
      <c r="K71" s="159">
        <v>13.422000000000001</v>
      </c>
      <c r="L71" s="43">
        <v>13.648999999999999</v>
      </c>
      <c r="M71" s="159">
        <v>13.69</v>
      </c>
      <c r="N71" s="43">
        <v>13.968</v>
      </c>
      <c r="O71" s="159">
        <v>13.933</v>
      </c>
      <c r="P71" s="43">
        <v>14.07</v>
      </c>
      <c r="Q71" s="159">
        <v>14.052</v>
      </c>
      <c r="R71" s="43">
        <v>14.064</v>
      </c>
    </row>
    <row r="72" spans="1:18" x14ac:dyDescent="0.2">
      <c r="A72" s="46" t="s">
        <v>124</v>
      </c>
      <c r="B72" s="48">
        <v>38.6</v>
      </c>
      <c r="C72" s="48">
        <v>38.4</v>
      </c>
      <c r="D72" s="48">
        <v>38</v>
      </c>
      <c r="E72" s="48">
        <v>38.1</v>
      </c>
      <c r="F72" s="48">
        <v>38</v>
      </c>
      <c r="G72" s="48">
        <v>38.299999999999997</v>
      </c>
      <c r="H72" s="48">
        <v>38.700000000000003</v>
      </c>
      <c r="I72" s="48">
        <v>39.200000000000003</v>
      </c>
      <c r="J72" s="48">
        <v>39</v>
      </c>
      <c r="K72" s="160">
        <v>39.271000000000001</v>
      </c>
      <c r="L72" s="163">
        <v>38.353000000000002</v>
      </c>
      <c r="M72" s="160">
        <v>38.594999999999999</v>
      </c>
      <c r="N72" s="163">
        <v>38.795000000000002</v>
      </c>
      <c r="O72" s="160">
        <v>39.097999999999999</v>
      </c>
      <c r="P72" s="163">
        <v>39.073999999999998</v>
      </c>
      <c r="Q72" s="160">
        <v>39.103999999999999</v>
      </c>
      <c r="R72" s="163">
        <v>39.209000000000003</v>
      </c>
    </row>
    <row r="73" spans="1:18" x14ac:dyDescent="0.2">
      <c r="A73" s="38" t="s">
        <v>125</v>
      </c>
      <c r="B73" s="39">
        <v>168.7</v>
      </c>
      <c r="C73" s="39">
        <v>169.3</v>
      </c>
      <c r="D73" s="39">
        <v>170</v>
      </c>
      <c r="E73" s="40">
        <v>168.6</v>
      </c>
      <c r="F73" s="39">
        <v>168.5</v>
      </c>
      <c r="G73" s="39">
        <v>173.3</v>
      </c>
      <c r="H73" s="39">
        <v>175.1</v>
      </c>
      <c r="I73" s="40">
        <v>177.3</v>
      </c>
      <c r="J73" s="39">
        <v>176.9</v>
      </c>
      <c r="K73" s="157">
        <v>179.50399999999999</v>
      </c>
      <c r="L73" s="162">
        <v>178.65100000000001</v>
      </c>
      <c r="M73" s="157">
        <v>179.90600000000001</v>
      </c>
      <c r="N73" s="162">
        <v>181.13300000000001</v>
      </c>
      <c r="O73" s="157">
        <v>181.15899999999999</v>
      </c>
      <c r="P73" s="162">
        <v>182.37899999999999</v>
      </c>
      <c r="Q73" s="157">
        <v>183.83699999999999</v>
      </c>
      <c r="R73" s="162">
        <v>185.636</v>
      </c>
    </row>
    <row r="74" spans="1:18" x14ac:dyDescent="0.2">
      <c r="A74" s="41" t="s">
        <v>126</v>
      </c>
      <c r="B74" s="42">
        <v>9.4</v>
      </c>
      <c r="C74" s="42">
        <v>9.3000000000000007</v>
      </c>
      <c r="D74" s="42">
        <v>9.4</v>
      </c>
      <c r="E74" s="43">
        <v>9.4</v>
      </c>
      <c r="F74" s="42">
        <v>9.1999999999999993</v>
      </c>
      <c r="G74" s="42">
        <v>9.4</v>
      </c>
      <c r="H74" s="42">
        <v>9.5</v>
      </c>
      <c r="I74" s="43">
        <v>9.6</v>
      </c>
      <c r="J74" s="42">
        <v>9.3000000000000007</v>
      </c>
      <c r="K74" s="42">
        <v>9.2710000000000008</v>
      </c>
      <c r="L74" s="43">
        <v>9.6530000000000005</v>
      </c>
      <c r="M74" s="42">
        <v>9.6660000000000004</v>
      </c>
      <c r="N74" s="43">
        <v>9.8659999999999997</v>
      </c>
      <c r="O74" s="42">
        <v>9.8550000000000004</v>
      </c>
      <c r="P74" s="43">
        <v>9.8810000000000002</v>
      </c>
      <c r="Q74" s="42">
        <v>9.3149999999999995</v>
      </c>
      <c r="R74" s="43">
        <v>9.3569999999999993</v>
      </c>
    </row>
    <row r="75" spans="1:18" x14ac:dyDescent="0.2">
      <c r="A75" s="41" t="s">
        <v>127</v>
      </c>
      <c r="B75" s="42">
        <v>53.7</v>
      </c>
      <c r="C75" s="42">
        <v>54.6</v>
      </c>
      <c r="D75" s="42">
        <v>55</v>
      </c>
      <c r="E75" s="43">
        <v>54.7</v>
      </c>
      <c r="F75" s="42">
        <v>54.7</v>
      </c>
      <c r="G75" s="42">
        <v>56.3</v>
      </c>
      <c r="H75" s="42">
        <v>56.9</v>
      </c>
      <c r="I75" s="43">
        <v>57.9</v>
      </c>
      <c r="J75" s="42">
        <v>59.6</v>
      </c>
      <c r="K75" s="42">
        <v>61.469000000000001</v>
      </c>
      <c r="L75" s="43">
        <v>59.701000000000001</v>
      </c>
      <c r="M75" s="42">
        <v>59.326999999999998</v>
      </c>
      <c r="N75" s="43">
        <v>60.356999999999999</v>
      </c>
      <c r="O75" s="42">
        <v>60.238</v>
      </c>
      <c r="P75" s="43">
        <v>61.143000000000001</v>
      </c>
      <c r="Q75" s="42">
        <v>63.103999999999999</v>
      </c>
      <c r="R75" s="43">
        <v>65.98</v>
      </c>
    </row>
    <row r="76" spans="1:18" x14ac:dyDescent="0.2">
      <c r="A76" s="41" t="s">
        <v>128</v>
      </c>
      <c r="B76" s="42">
        <v>9</v>
      </c>
      <c r="C76" s="42">
        <v>9.1</v>
      </c>
      <c r="D76" s="42">
        <v>9.1</v>
      </c>
      <c r="E76" s="43">
        <v>9.1</v>
      </c>
      <c r="F76" s="42">
        <v>9</v>
      </c>
      <c r="G76" s="42">
        <v>9.1999999999999993</v>
      </c>
      <c r="H76" s="42">
        <v>9.3000000000000007</v>
      </c>
      <c r="I76" s="43">
        <v>9.6</v>
      </c>
      <c r="J76" s="42">
        <v>9.3000000000000007</v>
      </c>
      <c r="K76" s="42">
        <v>9.3339999999999996</v>
      </c>
      <c r="L76" s="43">
        <v>9.82</v>
      </c>
      <c r="M76" s="42">
        <v>9.8490000000000002</v>
      </c>
      <c r="N76" s="43">
        <v>10.042999999999999</v>
      </c>
      <c r="O76" s="42">
        <v>10.039999999999999</v>
      </c>
      <c r="P76" s="43">
        <v>10.151999999999999</v>
      </c>
      <c r="Q76" s="42">
        <v>10.14</v>
      </c>
      <c r="R76" s="43">
        <v>10.196999999999999</v>
      </c>
    </row>
    <row r="77" spans="1:18" x14ac:dyDescent="0.2">
      <c r="A77" s="41" t="s">
        <v>129</v>
      </c>
      <c r="B77" s="42">
        <v>7.8</v>
      </c>
      <c r="C77" s="42">
        <v>7.7</v>
      </c>
      <c r="D77" s="42">
        <v>7.7</v>
      </c>
      <c r="E77" s="43">
        <v>7.6</v>
      </c>
      <c r="F77" s="42">
        <v>7.7</v>
      </c>
      <c r="G77" s="42">
        <v>9.4</v>
      </c>
      <c r="H77" s="42">
        <v>9.6</v>
      </c>
      <c r="I77" s="43">
        <v>10.199999999999999</v>
      </c>
      <c r="J77" s="42">
        <v>9.1</v>
      </c>
      <c r="K77" s="42">
        <v>9.1690000000000005</v>
      </c>
      <c r="L77" s="43">
        <v>10.003</v>
      </c>
      <c r="M77" s="42">
        <v>9.9749999999999996</v>
      </c>
      <c r="N77" s="43">
        <v>9.3160000000000007</v>
      </c>
      <c r="O77" s="42">
        <v>9.3610000000000007</v>
      </c>
      <c r="P77" s="43">
        <v>9.5039999999999996</v>
      </c>
      <c r="Q77" s="42">
        <v>9.48</v>
      </c>
      <c r="R77" s="43">
        <v>9.1549999999999994</v>
      </c>
    </row>
    <row r="78" spans="1:18" x14ac:dyDescent="0.2">
      <c r="A78" s="41" t="s">
        <v>130</v>
      </c>
      <c r="B78" s="42">
        <v>17.7</v>
      </c>
      <c r="C78" s="42">
        <v>17.600000000000001</v>
      </c>
      <c r="D78" s="42">
        <v>17.600000000000001</v>
      </c>
      <c r="E78" s="43">
        <v>17.5</v>
      </c>
      <c r="F78" s="42">
        <v>17.8</v>
      </c>
      <c r="G78" s="42">
        <v>17.8</v>
      </c>
      <c r="H78" s="42">
        <v>17.899999999999999</v>
      </c>
      <c r="I78" s="43">
        <v>18.2</v>
      </c>
      <c r="J78" s="42">
        <v>17.899999999999999</v>
      </c>
      <c r="K78" s="42">
        <v>18.108000000000001</v>
      </c>
      <c r="L78" s="43">
        <v>18.638999999999999</v>
      </c>
      <c r="M78" s="42">
        <v>18.651</v>
      </c>
      <c r="N78" s="43">
        <v>18.748999999999999</v>
      </c>
      <c r="O78" s="42">
        <v>18.710999999999999</v>
      </c>
      <c r="P78" s="43">
        <v>18.798999999999999</v>
      </c>
      <c r="Q78" s="42">
        <v>18.754999999999999</v>
      </c>
      <c r="R78" s="43">
        <v>17.648</v>
      </c>
    </row>
    <row r="79" spans="1:18" x14ac:dyDescent="0.2">
      <c r="A79" s="41" t="s">
        <v>131</v>
      </c>
      <c r="B79" s="42">
        <v>6.4</v>
      </c>
      <c r="C79" s="42">
        <v>6.3</v>
      </c>
      <c r="D79" s="42">
        <v>6.3</v>
      </c>
      <c r="E79" s="43">
        <v>6</v>
      </c>
      <c r="F79" s="42">
        <v>6</v>
      </c>
      <c r="G79" s="42">
        <v>6</v>
      </c>
      <c r="H79" s="42">
        <v>6</v>
      </c>
      <c r="I79" s="43">
        <v>6</v>
      </c>
      <c r="J79" s="42">
        <v>6</v>
      </c>
      <c r="K79" s="42">
        <v>6.0250000000000004</v>
      </c>
      <c r="L79" s="43">
        <v>6.0190000000000001</v>
      </c>
      <c r="M79" s="42">
        <v>6.0209999999999999</v>
      </c>
      <c r="N79" s="43">
        <v>6.08</v>
      </c>
      <c r="O79" s="42">
        <v>5.9649999999999999</v>
      </c>
      <c r="P79" s="43">
        <v>6.13</v>
      </c>
      <c r="Q79" s="42">
        <v>6.2050000000000001</v>
      </c>
      <c r="R79" s="43">
        <v>6.306</v>
      </c>
    </row>
    <row r="80" spans="1:18" x14ac:dyDescent="0.2">
      <c r="A80" s="41" t="s">
        <v>132</v>
      </c>
      <c r="B80" s="42">
        <v>3.3</v>
      </c>
      <c r="C80" s="42">
        <v>3.2</v>
      </c>
      <c r="D80" s="42">
        <v>3.1</v>
      </c>
      <c r="E80" s="43">
        <v>3.1</v>
      </c>
      <c r="F80" s="42">
        <v>3</v>
      </c>
      <c r="G80" s="42">
        <v>3</v>
      </c>
      <c r="H80" s="42">
        <v>3</v>
      </c>
      <c r="I80" s="43">
        <v>3</v>
      </c>
      <c r="J80" s="42">
        <v>3</v>
      </c>
      <c r="K80" s="42">
        <v>2.956</v>
      </c>
      <c r="L80" s="43">
        <v>2.931</v>
      </c>
      <c r="M80" s="42">
        <v>2.9350000000000001</v>
      </c>
      <c r="N80" s="43">
        <v>3.0249999999999999</v>
      </c>
      <c r="O80" s="42">
        <v>3.0059999999999998</v>
      </c>
      <c r="P80" s="43">
        <v>3.0289999999999999</v>
      </c>
      <c r="Q80" s="42">
        <v>3.0190000000000001</v>
      </c>
      <c r="R80" s="43">
        <v>3.09</v>
      </c>
    </row>
    <row r="81" spans="1:18" x14ac:dyDescent="0.2">
      <c r="A81" s="41" t="s">
        <v>133</v>
      </c>
      <c r="B81" s="42">
        <v>12.6</v>
      </c>
      <c r="C81" s="42">
        <v>12.5</v>
      </c>
      <c r="D81" s="42">
        <v>12.5</v>
      </c>
      <c r="E81" s="43">
        <v>12.7</v>
      </c>
      <c r="F81" s="42">
        <v>12.7</v>
      </c>
      <c r="G81" s="42">
        <v>13</v>
      </c>
      <c r="H81" s="42">
        <v>13</v>
      </c>
      <c r="I81" s="43">
        <v>13.2</v>
      </c>
      <c r="J81" s="42">
        <v>13.5</v>
      </c>
      <c r="K81" s="42">
        <v>13.792999999999999</v>
      </c>
      <c r="L81" s="43">
        <v>13.759</v>
      </c>
      <c r="M81" s="42">
        <v>13.737</v>
      </c>
      <c r="N81" s="43">
        <v>13.865</v>
      </c>
      <c r="O81" s="42">
        <v>13.978999999999999</v>
      </c>
      <c r="P81" s="43">
        <v>13.811</v>
      </c>
      <c r="Q81" s="42">
        <v>13.772</v>
      </c>
      <c r="R81" s="43">
        <v>13.968</v>
      </c>
    </row>
    <row r="82" spans="1:18" x14ac:dyDescent="0.2">
      <c r="A82" s="41" t="s">
        <v>134</v>
      </c>
      <c r="B82" s="42">
        <v>8.3000000000000007</v>
      </c>
      <c r="C82" s="42">
        <v>8.3000000000000007</v>
      </c>
      <c r="D82" s="42">
        <v>8.4</v>
      </c>
      <c r="E82" s="43">
        <v>8.1</v>
      </c>
      <c r="F82" s="42">
        <v>8.1</v>
      </c>
      <c r="G82" s="42">
        <v>8</v>
      </c>
      <c r="H82" s="42">
        <v>8.1</v>
      </c>
      <c r="I82" s="43">
        <v>8.1</v>
      </c>
      <c r="J82" s="42">
        <v>8.1999999999999993</v>
      </c>
      <c r="K82" s="42">
        <v>8.1980000000000004</v>
      </c>
      <c r="L82" s="43">
        <v>8.1080000000000005</v>
      </c>
      <c r="M82" s="42">
        <v>8.1110000000000007</v>
      </c>
      <c r="N82" s="43">
        <v>8.3930000000000007</v>
      </c>
      <c r="O82" s="42">
        <v>8.31</v>
      </c>
      <c r="P82" s="43">
        <v>8.3030000000000008</v>
      </c>
      <c r="Q82" s="42">
        <v>8.2629999999999999</v>
      </c>
      <c r="R82" s="43">
        <v>8.2219999999999995</v>
      </c>
    </row>
    <row r="83" spans="1:18" x14ac:dyDescent="0.2">
      <c r="A83" s="41" t="s">
        <v>135</v>
      </c>
      <c r="B83" s="42">
        <v>15.6</v>
      </c>
      <c r="C83" s="42">
        <v>15.7</v>
      </c>
      <c r="D83" s="42">
        <v>15.8</v>
      </c>
      <c r="E83" s="43">
        <v>15.9</v>
      </c>
      <c r="F83" s="42">
        <v>15.9</v>
      </c>
      <c r="G83" s="42">
        <v>16.3</v>
      </c>
      <c r="H83" s="42">
        <v>16.399999999999999</v>
      </c>
      <c r="I83" s="43">
        <v>16.600000000000001</v>
      </c>
      <c r="J83" s="42">
        <v>15.9</v>
      </c>
      <c r="K83" s="42">
        <v>16.288</v>
      </c>
      <c r="L83" s="43">
        <v>15.218999999999999</v>
      </c>
      <c r="M83" s="42">
        <v>16.355</v>
      </c>
      <c r="N83" s="43">
        <v>16.452000000000002</v>
      </c>
      <c r="O83" s="42">
        <v>16.47</v>
      </c>
      <c r="P83" s="43">
        <v>16.565999999999999</v>
      </c>
      <c r="Q83" s="42">
        <v>16.617000000000001</v>
      </c>
      <c r="R83" s="43">
        <v>16.625</v>
      </c>
    </row>
    <row r="84" spans="1:18" x14ac:dyDescent="0.2">
      <c r="A84" s="41" t="s">
        <v>136</v>
      </c>
      <c r="B84" s="42">
        <v>7.9</v>
      </c>
      <c r="C84" s="42">
        <v>7.9</v>
      </c>
      <c r="D84" s="42">
        <v>7.9</v>
      </c>
      <c r="E84" s="43">
        <v>8</v>
      </c>
      <c r="F84" s="42">
        <v>7.9</v>
      </c>
      <c r="G84" s="42">
        <v>8</v>
      </c>
      <c r="H84" s="42">
        <v>8.1</v>
      </c>
      <c r="I84" s="43">
        <v>8.1</v>
      </c>
      <c r="J84" s="42">
        <v>8.1999999999999993</v>
      </c>
      <c r="K84" s="42">
        <v>8.1950000000000003</v>
      </c>
      <c r="L84" s="43">
        <v>8.0660000000000007</v>
      </c>
      <c r="M84" s="42">
        <v>8.0950000000000006</v>
      </c>
      <c r="N84" s="43">
        <v>8.1959999999999997</v>
      </c>
      <c r="O84" s="42">
        <v>8.2080000000000002</v>
      </c>
      <c r="P84" s="43">
        <v>8.2040000000000006</v>
      </c>
      <c r="Q84" s="42">
        <v>8.17</v>
      </c>
      <c r="R84" s="43">
        <v>8.1430000000000007</v>
      </c>
    </row>
    <row r="85" spans="1:18" x14ac:dyDescent="0.2">
      <c r="A85" s="41" t="s">
        <v>137</v>
      </c>
      <c r="B85" s="49">
        <v>17.100000000000001</v>
      </c>
      <c r="C85" s="49">
        <v>17.100000000000001</v>
      </c>
      <c r="D85" s="49">
        <v>17.2</v>
      </c>
      <c r="E85" s="50">
        <v>16.600000000000001</v>
      </c>
      <c r="F85" s="49">
        <v>16.600000000000001</v>
      </c>
      <c r="G85" s="49">
        <v>16.8</v>
      </c>
      <c r="H85" s="49">
        <v>17.100000000000001</v>
      </c>
      <c r="I85" s="50">
        <v>16.8</v>
      </c>
      <c r="J85" s="49">
        <v>17</v>
      </c>
      <c r="K85" s="161">
        <v>16.698</v>
      </c>
      <c r="L85" s="163">
        <v>16.733000000000001</v>
      </c>
      <c r="M85" s="161">
        <v>17.184000000000001</v>
      </c>
      <c r="N85" s="163">
        <v>16.791</v>
      </c>
      <c r="O85" s="161">
        <v>17.015999999999998</v>
      </c>
      <c r="P85" s="163">
        <v>16.856999999999999</v>
      </c>
      <c r="Q85" s="161">
        <v>16.997</v>
      </c>
      <c r="R85" s="163">
        <v>16.945</v>
      </c>
    </row>
    <row r="86" spans="1:18" x14ac:dyDescent="0.2">
      <c r="A86" s="44" t="s">
        <v>138</v>
      </c>
      <c r="B86" s="45">
        <v>169.2</v>
      </c>
      <c r="C86" s="45">
        <v>169.3</v>
      </c>
      <c r="D86" s="45">
        <v>171.4</v>
      </c>
      <c r="E86" s="45">
        <v>171.9</v>
      </c>
      <c r="F86" s="45">
        <v>173.1</v>
      </c>
      <c r="G86" s="45">
        <v>176.4</v>
      </c>
      <c r="H86" s="45">
        <v>177.7</v>
      </c>
      <c r="I86" s="45">
        <v>179.9</v>
      </c>
      <c r="J86" s="45">
        <v>185.5</v>
      </c>
      <c r="K86" s="158">
        <v>187.29300000000001</v>
      </c>
      <c r="L86" s="162">
        <v>188.44900000000001</v>
      </c>
      <c r="M86" s="158">
        <v>187.947</v>
      </c>
      <c r="N86" s="162">
        <v>190.048</v>
      </c>
      <c r="O86" s="158">
        <v>190.81399999999999</v>
      </c>
      <c r="P86" s="162">
        <v>193.21600000000001</v>
      </c>
      <c r="Q86" s="158">
        <v>192.25</v>
      </c>
      <c r="R86" s="162">
        <v>193.98</v>
      </c>
    </row>
    <row r="87" spans="1:18" x14ac:dyDescent="0.2">
      <c r="A87" s="46" t="s">
        <v>139</v>
      </c>
      <c r="B87" s="47">
        <v>8.1999999999999993</v>
      </c>
      <c r="C87" s="47">
        <v>8.1999999999999993</v>
      </c>
      <c r="D87" s="47">
        <v>8.1999999999999993</v>
      </c>
      <c r="E87" s="47">
        <v>8.1999999999999993</v>
      </c>
      <c r="F87" s="47">
        <v>8.1</v>
      </c>
      <c r="G87" s="47">
        <v>8.4</v>
      </c>
      <c r="H87" s="47">
        <v>8.5</v>
      </c>
      <c r="I87" s="47">
        <v>8.6</v>
      </c>
      <c r="J87" s="47">
        <v>8.6</v>
      </c>
      <c r="K87" s="159">
        <v>8.7899999999999991</v>
      </c>
      <c r="L87" s="43">
        <v>8.7189999999999994</v>
      </c>
      <c r="M87" s="159">
        <v>8.7409999999999997</v>
      </c>
      <c r="N87" s="43">
        <v>8.8409999999999993</v>
      </c>
      <c r="O87" s="159">
        <v>8.7240000000000002</v>
      </c>
      <c r="P87" s="43">
        <v>8.82</v>
      </c>
      <c r="Q87" s="159">
        <v>8.9139999999999997</v>
      </c>
      <c r="R87" s="43">
        <v>8.8770000000000007</v>
      </c>
    </row>
    <row r="88" spans="1:18" x14ac:dyDescent="0.2">
      <c r="A88" s="46" t="s">
        <v>140</v>
      </c>
      <c r="B88" s="47">
        <v>17.3</v>
      </c>
      <c r="C88" s="47">
        <v>17.399999999999999</v>
      </c>
      <c r="D88" s="47">
        <v>18.399999999999999</v>
      </c>
      <c r="E88" s="47">
        <v>18.8</v>
      </c>
      <c r="F88" s="47">
        <v>19</v>
      </c>
      <c r="G88" s="47">
        <v>20.2</v>
      </c>
      <c r="H88" s="47">
        <v>19.7</v>
      </c>
      <c r="I88" s="47">
        <v>19.8</v>
      </c>
      <c r="J88" s="47">
        <v>20.399999999999999</v>
      </c>
      <c r="K88" s="159">
        <v>20.173999999999999</v>
      </c>
      <c r="L88" s="43">
        <v>20.081</v>
      </c>
      <c r="M88" s="159">
        <v>19.986999999999998</v>
      </c>
      <c r="N88" s="43">
        <v>20.006</v>
      </c>
      <c r="O88" s="159">
        <v>19.600000000000001</v>
      </c>
      <c r="P88" s="43">
        <v>20.184999999999999</v>
      </c>
      <c r="Q88" s="159">
        <v>19.140999999999998</v>
      </c>
      <c r="R88" s="43">
        <v>19.364000000000001</v>
      </c>
    </row>
    <row r="89" spans="1:18" x14ac:dyDescent="0.2">
      <c r="A89" s="46" t="s">
        <v>141</v>
      </c>
      <c r="B89" s="47">
        <v>37.6</v>
      </c>
      <c r="C89" s="47">
        <v>37.9</v>
      </c>
      <c r="D89" s="47">
        <v>38.5</v>
      </c>
      <c r="E89" s="47">
        <v>38.700000000000003</v>
      </c>
      <c r="F89" s="47">
        <v>38.6</v>
      </c>
      <c r="G89" s="47">
        <v>39.5</v>
      </c>
      <c r="H89" s="47">
        <v>40</v>
      </c>
      <c r="I89" s="47">
        <v>40.700000000000003</v>
      </c>
      <c r="J89" s="47">
        <v>41.8</v>
      </c>
      <c r="K89" s="159">
        <v>42.274000000000001</v>
      </c>
      <c r="L89" s="43">
        <v>42.683999999999997</v>
      </c>
      <c r="M89" s="159">
        <v>42.607999999999997</v>
      </c>
      <c r="N89" s="43">
        <v>43.32</v>
      </c>
      <c r="O89" s="159">
        <v>43.988</v>
      </c>
      <c r="P89" s="43">
        <v>44.698</v>
      </c>
      <c r="Q89" s="159">
        <v>44.529000000000003</v>
      </c>
      <c r="R89" s="43">
        <v>45.136000000000003</v>
      </c>
    </row>
    <row r="90" spans="1:18" x14ac:dyDescent="0.2">
      <c r="A90" s="46" t="s">
        <v>142</v>
      </c>
      <c r="B90" s="47">
        <v>2.8</v>
      </c>
      <c r="C90" s="47">
        <v>2.8</v>
      </c>
      <c r="D90" s="47">
        <v>2.8</v>
      </c>
      <c r="E90" s="47">
        <v>2.8</v>
      </c>
      <c r="F90" s="47">
        <v>2.8</v>
      </c>
      <c r="G90" s="47">
        <v>2.8</v>
      </c>
      <c r="H90" s="47">
        <v>2.8</v>
      </c>
      <c r="I90" s="47">
        <v>2.8</v>
      </c>
      <c r="J90" s="47">
        <v>2.8</v>
      </c>
      <c r="K90" s="159">
        <v>2.8079999999999998</v>
      </c>
      <c r="L90" s="43">
        <v>2.8159999999999998</v>
      </c>
      <c r="M90" s="159">
        <v>2.831</v>
      </c>
      <c r="N90" s="43">
        <v>2.8050000000000002</v>
      </c>
      <c r="O90" s="159">
        <v>2.806</v>
      </c>
      <c r="P90" s="43">
        <v>2.823</v>
      </c>
      <c r="Q90" s="159">
        <v>2.82</v>
      </c>
      <c r="R90" s="43">
        <v>2.831</v>
      </c>
    </row>
    <row r="91" spans="1:18" x14ac:dyDescent="0.2">
      <c r="A91" s="46" t="s">
        <v>143</v>
      </c>
      <c r="B91" s="47">
        <v>12</v>
      </c>
      <c r="C91" s="47">
        <v>11.9</v>
      </c>
      <c r="D91" s="47">
        <v>12</v>
      </c>
      <c r="E91" s="47">
        <v>12</v>
      </c>
      <c r="F91" s="47">
        <v>12</v>
      </c>
      <c r="G91" s="47">
        <v>12.1</v>
      </c>
      <c r="H91" s="47">
        <v>12.3</v>
      </c>
      <c r="I91" s="47">
        <v>12.6</v>
      </c>
      <c r="J91" s="47">
        <v>12.8</v>
      </c>
      <c r="K91" s="159">
        <v>12.997999999999999</v>
      </c>
      <c r="L91" s="43">
        <v>13.191000000000001</v>
      </c>
      <c r="M91" s="159">
        <v>13.15</v>
      </c>
      <c r="N91" s="43">
        <v>13.311</v>
      </c>
      <c r="O91" s="159">
        <v>13.276999999999999</v>
      </c>
      <c r="P91" s="43">
        <v>13.66</v>
      </c>
      <c r="Q91" s="159">
        <v>13.832000000000001</v>
      </c>
      <c r="R91" s="43">
        <v>13.808999999999999</v>
      </c>
    </row>
    <row r="92" spans="1:18" x14ac:dyDescent="0.2">
      <c r="A92" s="46" t="s">
        <v>144</v>
      </c>
      <c r="B92" s="47">
        <v>3.8</v>
      </c>
      <c r="C92" s="47">
        <v>3.8</v>
      </c>
      <c r="D92" s="47">
        <v>3.8</v>
      </c>
      <c r="E92" s="47">
        <v>3.8</v>
      </c>
      <c r="F92" s="47">
        <v>3.7</v>
      </c>
      <c r="G92" s="47">
        <v>3.8</v>
      </c>
      <c r="H92" s="47">
        <v>3.8</v>
      </c>
      <c r="I92" s="47">
        <v>3.9</v>
      </c>
      <c r="J92" s="47">
        <v>4.0999999999999996</v>
      </c>
      <c r="K92" s="159">
        <v>4.1479999999999997</v>
      </c>
      <c r="L92" s="43">
        <v>4.0670000000000002</v>
      </c>
      <c r="M92" s="159">
        <v>4.1050000000000004</v>
      </c>
      <c r="N92" s="43">
        <v>4.1079999999999997</v>
      </c>
      <c r="O92" s="159">
        <v>4.1210000000000004</v>
      </c>
      <c r="P92" s="43">
        <v>4.1059999999999999</v>
      </c>
      <c r="Q92" s="159">
        <v>4.0999999999999996</v>
      </c>
      <c r="R92" s="43">
        <v>4.0670000000000002</v>
      </c>
    </row>
    <row r="93" spans="1:18" x14ac:dyDescent="0.2">
      <c r="A93" s="46" t="s">
        <v>145</v>
      </c>
      <c r="B93" s="47">
        <v>6.3</v>
      </c>
      <c r="C93" s="47">
        <v>6.3</v>
      </c>
      <c r="D93" s="47">
        <v>6.2</v>
      </c>
      <c r="E93" s="47">
        <v>6.1</v>
      </c>
      <c r="F93" s="47">
        <v>6.2</v>
      </c>
      <c r="G93" s="47">
        <v>6.2</v>
      </c>
      <c r="H93" s="47">
        <v>6.3</v>
      </c>
      <c r="I93" s="47">
        <v>6.3</v>
      </c>
      <c r="J93" s="47">
        <v>6.4</v>
      </c>
      <c r="K93" s="159">
        <v>6.4539999999999997</v>
      </c>
      <c r="L93" s="43">
        <v>6.4729999999999999</v>
      </c>
      <c r="M93" s="159">
        <v>6.4269999999999996</v>
      </c>
      <c r="N93" s="43">
        <v>6.4610000000000003</v>
      </c>
      <c r="O93" s="159">
        <v>6.47</v>
      </c>
      <c r="P93" s="43">
        <v>6.4870000000000001</v>
      </c>
      <c r="Q93" s="159">
        <v>6.4889999999999999</v>
      </c>
      <c r="R93" s="43">
        <v>6.5220000000000002</v>
      </c>
    </row>
    <row r="94" spans="1:18" x14ac:dyDescent="0.2">
      <c r="A94" s="46" t="s">
        <v>146</v>
      </c>
      <c r="B94" s="47">
        <v>4.2</v>
      </c>
      <c r="C94" s="47">
        <v>4.3</v>
      </c>
      <c r="D94" s="47">
        <v>4.3</v>
      </c>
      <c r="E94" s="47">
        <v>4.2</v>
      </c>
      <c r="F94" s="47">
        <v>4.0999999999999996</v>
      </c>
      <c r="G94" s="47">
        <v>4.2</v>
      </c>
      <c r="H94" s="47">
        <v>4.2</v>
      </c>
      <c r="I94" s="47">
        <v>4.2</v>
      </c>
      <c r="J94" s="47">
        <v>4.3</v>
      </c>
      <c r="K94" s="159">
        <v>4.3570000000000002</v>
      </c>
      <c r="L94" s="43">
        <v>4.3879999999999999</v>
      </c>
      <c r="M94" s="159">
        <v>4.3600000000000003</v>
      </c>
      <c r="N94" s="43">
        <v>4.4480000000000004</v>
      </c>
      <c r="O94" s="159">
        <v>4.4829999999999997</v>
      </c>
      <c r="P94" s="43">
        <v>4.4509999999999996</v>
      </c>
      <c r="Q94" s="159">
        <v>4.4470000000000001</v>
      </c>
      <c r="R94" s="43">
        <v>4.4859999999999998</v>
      </c>
    </row>
    <row r="95" spans="1:18" x14ac:dyDescent="0.2">
      <c r="A95" s="46" t="s">
        <v>147</v>
      </c>
      <c r="B95" s="47">
        <v>51.8</v>
      </c>
      <c r="C95" s="47">
        <v>52</v>
      </c>
      <c r="D95" s="47">
        <v>52.4</v>
      </c>
      <c r="E95" s="47">
        <v>52.6</v>
      </c>
      <c r="F95" s="47">
        <v>53.2</v>
      </c>
      <c r="G95" s="47">
        <v>54</v>
      </c>
      <c r="H95" s="47">
        <v>55</v>
      </c>
      <c r="I95" s="47">
        <v>55.3</v>
      </c>
      <c r="J95" s="47">
        <v>58.2</v>
      </c>
      <c r="K95" s="159">
        <v>58.698</v>
      </c>
      <c r="L95" s="43">
        <v>59.323</v>
      </c>
      <c r="M95" s="159">
        <v>59.152000000000001</v>
      </c>
      <c r="N95" s="43">
        <v>60.043999999999997</v>
      </c>
      <c r="O95" s="159">
        <v>60.468000000000004</v>
      </c>
      <c r="P95" s="43">
        <v>61.054000000000002</v>
      </c>
      <c r="Q95" s="159">
        <v>61.029000000000003</v>
      </c>
      <c r="R95" s="43">
        <v>61.612000000000002</v>
      </c>
    </row>
    <row r="96" spans="1:18" x14ac:dyDescent="0.2">
      <c r="A96" s="46" t="s">
        <v>148</v>
      </c>
      <c r="B96" s="47">
        <v>6.4</v>
      </c>
      <c r="C96" s="47">
        <v>6.4</v>
      </c>
      <c r="D96" s="47">
        <v>6.3</v>
      </c>
      <c r="E96" s="47">
        <v>6.2</v>
      </c>
      <c r="F96" s="47">
        <v>6.2</v>
      </c>
      <c r="G96" s="47">
        <v>6.3</v>
      </c>
      <c r="H96" s="47">
        <v>6</v>
      </c>
      <c r="I96" s="47">
        <v>6.3</v>
      </c>
      <c r="J96" s="47">
        <v>6.3</v>
      </c>
      <c r="K96" s="159">
        <v>6.4050000000000002</v>
      </c>
      <c r="L96" s="43">
        <v>6.3609999999999998</v>
      </c>
      <c r="M96" s="159">
        <v>6.3440000000000003</v>
      </c>
      <c r="N96" s="43">
        <v>6.3049999999999997</v>
      </c>
      <c r="O96" s="159">
        <v>6.41</v>
      </c>
      <c r="P96" s="43">
        <v>6.4169999999999998</v>
      </c>
      <c r="Q96" s="159">
        <v>6.4160000000000004</v>
      </c>
      <c r="R96" s="43">
        <v>6.4779999999999998</v>
      </c>
    </row>
    <row r="97" spans="1:18" x14ac:dyDescent="0.2">
      <c r="A97" s="46" t="s">
        <v>149</v>
      </c>
      <c r="B97" s="47">
        <v>3.9</v>
      </c>
      <c r="C97" s="47">
        <v>3.8</v>
      </c>
      <c r="D97" s="47">
        <v>3.8</v>
      </c>
      <c r="E97" s="47">
        <v>3.8</v>
      </c>
      <c r="F97" s="47">
        <v>3.7</v>
      </c>
      <c r="G97" s="47">
        <v>3.8</v>
      </c>
      <c r="H97" s="47">
        <v>3.8</v>
      </c>
      <c r="I97" s="47">
        <v>3.8</v>
      </c>
      <c r="J97" s="47">
        <v>3.8</v>
      </c>
      <c r="K97" s="159">
        <v>3.948</v>
      </c>
      <c r="L97" s="43">
        <v>3.972</v>
      </c>
      <c r="M97" s="159">
        <v>3.9489999999999998</v>
      </c>
      <c r="N97" s="43">
        <v>4.0270000000000001</v>
      </c>
      <c r="O97" s="159">
        <v>4.0549999999999997</v>
      </c>
      <c r="P97" s="43">
        <v>4.0720000000000001</v>
      </c>
      <c r="Q97" s="159">
        <v>4.0759999999999996</v>
      </c>
      <c r="R97" s="43">
        <v>4.0469999999999997</v>
      </c>
    </row>
    <row r="98" spans="1:18" x14ac:dyDescent="0.2">
      <c r="A98" s="46" t="s">
        <v>150</v>
      </c>
      <c r="B98" s="47">
        <v>8.8000000000000007</v>
      </c>
      <c r="C98" s="47">
        <v>8.8000000000000007</v>
      </c>
      <c r="D98" s="47">
        <v>8.8000000000000007</v>
      </c>
      <c r="E98" s="47">
        <v>8.9</v>
      </c>
      <c r="F98" s="47">
        <v>9</v>
      </c>
      <c r="G98" s="47">
        <v>8.8000000000000007</v>
      </c>
      <c r="H98" s="47">
        <v>8.9</v>
      </c>
      <c r="I98" s="47">
        <v>9</v>
      </c>
      <c r="J98" s="47">
        <v>8.9</v>
      </c>
      <c r="K98" s="159">
        <v>9.282</v>
      </c>
      <c r="L98" s="43">
        <v>9.3379999999999992</v>
      </c>
      <c r="M98" s="159">
        <v>9.3010000000000002</v>
      </c>
      <c r="N98" s="43">
        <v>9.3420000000000005</v>
      </c>
      <c r="O98" s="159">
        <v>9.4410000000000007</v>
      </c>
      <c r="P98" s="43">
        <v>9.5359999999999996</v>
      </c>
      <c r="Q98" s="159">
        <v>9.5169999999999995</v>
      </c>
      <c r="R98" s="43">
        <v>9.5830000000000002</v>
      </c>
    </row>
    <row r="99" spans="1:18" x14ac:dyDescent="0.2">
      <c r="A99" s="46" t="s">
        <v>151</v>
      </c>
      <c r="B99" s="48">
        <v>6.1</v>
      </c>
      <c r="C99" s="48">
        <v>5.8</v>
      </c>
      <c r="D99" s="48">
        <v>5.8</v>
      </c>
      <c r="E99" s="48">
        <v>5.8</v>
      </c>
      <c r="F99" s="48">
        <v>6.4</v>
      </c>
      <c r="G99" s="48">
        <v>6.4</v>
      </c>
      <c r="H99" s="48">
        <v>6.5</v>
      </c>
      <c r="I99" s="48">
        <v>6.7</v>
      </c>
      <c r="J99" s="48">
        <v>6.9</v>
      </c>
      <c r="K99" s="160">
        <v>6.9569999999999999</v>
      </c>
      <c r="L99" s="163">
        <v>7.0359999999999996</v>
      </c>
      <c r="M99" s="160">
        <v>6.992</v>
      </c>
      <c r="N99" s="163">
        <v>7.03</v>
      </c>
      <c r="O99" s="160">
        <v>6.9710000000000001</v>
      </c>
      <c r="P99" s="163">
        <v>6.907</v>
      </c>
      <c r="Q99" s="160">
        <v>6.94</v>
      </c>
      <c r="R99" s="163">
        <v>7.1680000000000001</v>
      </c>
    </row>
    <row r="100" spans="1:18" x14ac:dyDescent="0.2">
      <c r="A100" s="44" t="s">
        <v>152</v>
      </c>
      <c r="B100" s="45">
        <v>96.3</v>
      </c>
      <c r="C100" s="45">
        <v>96.1</v>
      </c>
      <c r="D100" s="45">
        <v>97</v>
      </c>
      <c r="E100" s="45">
        <v>97.7</v>
      </c>
      <c r="F100" s="45">
        <v>97.9</v>
      </c>
      <c r="G100" s="45">
        <v>99.3</v>
      </c>
      <c r="H100" s="45">
        <v>100.5</v>
      </c>
      <c r="I100" s="45">
        <v>100.9</v>
      </c>
      <c r="J100" s="45">
        <v>101.8</v>
      </c>
      <c r="K100" s="158">
        <v>102.84</v>
      </c>
      <c r="L100" s="162">
        <v>102.376</v>
      </c>
      <c r="M100" s="158">
        <v>101.069</v>
      </c>
      <c r="N100" s="162">
        <v>103.224</v>
      </c>
      <c r="O100" s="158">
        <v>104.32899999999999</v>
      </c>
      <c r="P100" s="162">
        <v>105.133</v>
      </c>
      <c r="Q100" s="158">
        <v>104.63</v>
      </c>
      <c r="R100" s="162">
        <v>105.21899999999999</v>
      </c>
    </row>
    <row r="101" spans="1:18" x14ac:dyDescent="0.2">
      <c r="A101" s="46" t="s">
        <v>153</v>
      </c>
      <c r="B101" s="47">
        <v>42.1</v>
      </c>
      <c r="C101" s="47">
        <v>42.4</v>
      </c>
      <c r="D101" s="47">
        <v>42.7</v>
      </c>
      <c r="E101" s="47">
        <v>42.7</v>
      </c>
      <c r="F101" s="47">
        <v>42.9</v>
      </c>
      <c r="G101" s="47">
        <v>43.8</v>
      </c>
      <c r="H101" s="47">
        <v>44.5</v>
      </c>
      <c r="I101" s="47">
        <v>44.3</v>
      </c>
      <c r="J101" s="47">
        <v>44.4</v>
      </c>
      <c r="K101" s="159">
        <v>44.642000000000003</v>
      </c>
      <c r="L101" s="267">
        <v>44.43</v>
      </c>
      <c r="M101" s="268">
        <v>43.167999999999999</v>
      </c>
      <c r="N101" s="267">
        <v>44.634999999999998</v>
      </c>
      <c r="O101" s="268">
        <v>44.9</v>
      </c>
      <c r="P101" s="267">
        <v>45.820999999999998</v>
      </c>
      <c r="Q101" s="268">
        <v>45.506</v>
      </c>
      <c r="R101" s="267">
        <v>46.514000000000003</v>
      </c>
    </row>
    <row r="102" spans="1:18" x14ac:dyDescent="0.2">
      <c r="A102" s="46" t="s">
        <v>154</v>
      </c>
      <c r="B102" s="47">
        <v>21.3</v>
      </c>
      <c r="C102" s="47">
        <v>20.9</v>
      </c>
      <c r="D102" s="47">
        <v>21.2</v>
      </c>
      <c r="E102" s="47">
        <v>21.7</v>
      </c>
      <c r="F102" s="47">
        <v>21.7</v>
      </c>
      <c r="G102" s="47">
        <v>22</v>
      </c>
      <c r="H102" s="47">
        <v>22</v>
      </c>
      <c r="I102" s="47">
        <v>22.2</v>
      </c>
      <c r="J102" s="47">
        <v>22</v>
      </c>
      <c r="K102" s="159">
        <v>21.946000000000002</v>
      </c>
      <c r="L102" s="43">
        <v>21.777999999999999</v>
      </c>
      <c r="M102" s="159">
        <v>21.771000000000001</v>
      </c>
      <c r="N102" s="43">
        <v>21.89</v>
      </c>
      <c r="O102" s="159">
        <v>22.518999999999998</v>
      </c>
      <c r="P102" s="43">
        <v>22.72</v>
      </c>
      <c r="Q102" s="159">
        <v>22.619</v>
      </c>
      <c r="R102" s="43">
        <v>22.837</v>
      </c>
    </row>
    <row r="103" spans="1:18" x14ac:dyDescent="0.2">
      <c r="A103" s="46" t="s">
        <v>155</v>
      </c>
      <c r="B103" s="47">
        <v>6.7</v>
      </c>
      <c r="C103" s="47">
        <v>6.7</v>
      </c>
      <c r="D103" s="47">
        <v>6.7</v>
      </c>
      <c r="E103" s="47">
        <v>6.8</v>
      </c>
      <c r="F103" s="47">
        <v>6.8</v>
      </c>
      <c r="G103" s="47">
        <v>6.9</v>
      </c>
      <c r="H103" s="47">
        <v>6.9</v>
      </c>
      <c r="I103" s="47">
        <v>7.5</v>
      </c>
      <c r="J103" s="47">
        <v>8.4</v>
      </c>
      <c r="K103" s="159">
        <v>8.3780000000000001</v>
      </c>
      <c r="L103" s="43">
        <v>8.32</v>
      </c>
      <c r="M103" s="159">
        <v>8.2970000000000006</v>
      </c>
      <c r="N103" s="43">
        <v>8.4369999999999994</v>
      </c>
      <c r="O103" s="159">
        <v>8.5109999999999992</v>
      </c>
      <c r="P103" s="43">
        <v>7.8559999999999999</v>
      </c>
      <c r="Q103" s="159">
        <v>7.8419999999999996</v>
      </c>
      <c r="R103" s="43">
        <v>7.5869999999999997</v>
      </c>
    </row>
    <row r="104" spans="1:18" x14ac:dyDescent="0.2">
      <c r="A104" s="46" t="s">
        <v>156</v>
      </c>
      <c r="B104" s="47">
        <v>14</v>
      </c>
      <c r="C104" s="47">
        <v>13.9</v>
      </c>
      <c r="D104" s="47">
        <v>14</v>
      </c>
      <c r="E104" s="47">
        <v>14</v>
      </c>
      <c r="F104" s="47">
        <v>14</v>
      </c>
      <c r="G104" s="47">
        <v>14</v>
      </c>
      <c r="H104" s="47">
        <v>14.2</v>
      </c>
      <c r="I104" s="47">
        <v>14.2</v>
      </c>
      <c r="J104" s="47">
        <v>14.2</v>
      </c>
      <c r="K104" s="159">
        <v>15.18</v>
      </c>
      <c r="L104" s="43">
        <v>15.256</v>
      </c>
      <c r="M104" s="159">
        <v>15.256</v>
      </c>
      <c r="N104" s="43">
        <v>15.603999999999999</v>
      </c>
      <c r="O104" s="159">
        <v>15.632</v>
      </c>
      <c r="P104" s="43">
        <v>15.576000000000001</v>
      </c>
      <c r="Q104" s="159">
        <v>15.513999999999999</v>
      </c>
      <c r="R104" s="43">
        <v>14.957000000000001</v>
      </c>
    </row>
    <row r="105" spans="1:18" x14ac:dyDescent="0.2">
      <c r="A105" s="46" t="s">
        <v>157</v>
      </c>
      <c r="B105" s="48">
        <v>12.2</v>
      </c>
      <c r="C105" s="48">
        <v>12.2</v>
      </c>
      <c r="D105" s="48">
        <v>12.4</v>
      </c>
      <c r="E105" s="48">
        <v>12.5</v>
      </c>
      <c r="F105" s="48">
        <v>12.5</v>
      </c>
      <c r="G105" s="48">
        <v>12.7</v>
      </c>
      <c r="H105" s="48">
        <v>12.8</v>
      </c>
      <c r="I105" s="48">
        <v>12.8</v>
      </c>
      <c r="J105" s="48">
        <v>12.7</v>
      </c>
      <c r="K105" s="160">
        <v>12.694000000000001</v>
      </c>
      <c r="L105" s="163">
        <v>12.592000000000001</v>
      </c>
      <c r="M105" s="160">
        <v>12.577</v>
      </c>
      <c r="N105" s="163">
        <v>12.657999999999999</v>
      </c>
      <c r="O105" s="160">
        <v>12.766999999999999</v>
      </c>
      <c r="P105" s="163">
        <v>13.16</v>
      </c>
      <c r="Q105" s="160">
        <v>13.148999999999999</v>
      </c>
      <c r="R105" s="163">
        <v>13.324</v>
      </c>
    </row>
    <row r="106" spans="1:18" x14ac:dyDescent="0.2">
      <c r="A106" s="38" t="s">
        <v>158</v>
      </c>
      <c r="B106" s="39">
        <v>155.1</v>
      </c>
      <c r="C106" s="39">
        <v>154.1</v>
      </c>
      <c r="D106" s="39">
        <v>154.6</v>
      </c>
      <c r="E106" s="39">
        <v>154.5</v>
      </c>
      <c r="F106" s="39">
        <v>155.4</v>
      </c>
      <c r="G106" s="39">
        <v>156.19999999999999</v>
      </c>
      <c r="H106" s="39">
        <v>156.69999999999999</v>
      </c>
      <c r="I106" s="39">
        <v>159.9</v>
      </c>
      <c r="J106" s="39">
        <v>161.19999999999999</v>
      </c>
      <c r="K106" s="157">
        <v>162.83799999999999</v>
      </c>
      <c r="L106" s="162">
        <v>163.738</v>
      </c>
      <c r="M106" s="157">
        <v>163.04900000000001</v>
      </c>
      <c r="N106" s="162">
        <v>167.726</v>
      </c>
      <c r="O106" s="157">
        <v>174.52799999999999</v>
      </c>
      <c r="P106" s="162">
        <v>177.095</v>
      </c>
      <c r="Q106" s="157">
        <v>171.40600000000001</v>
      </c>
      <c r="R106" s="162">
        <v>175.785</v>
      </c>
    </row>
    <row r="107" spans="1:18" x14ac:dyDescent="0.2">
      <c r="A107" s="41" t="s">
        <v>159</v>
      </c>
      <c r="B107" s="42">
        <v>4.2</v>
      </c>
      <c r="C107" s="42">
        <v>4.2</v>
      </c>
      <c r="D107" s="42">
        <v>4.3</v>
      </c>
      <c r="E107" s="42">
        <v>4.2</v>
      </c>
      <c r="F107" s="42">
        <v>4.2</v>
      </c>
      <c r="G107" s="42">
        <v>4.2</v>
      </c>
      <c r="H107" s="42">
        <v>4</v>
      </c>
      <c r="I107" s="42">
        <v>4.2</v>
      </c>
      <c r="J107" s="42">
        <v>4.2</v>
      </c>
      <c r="K107" s="42">
        <v>4.1219999999999999</v>
      </c>
      <c r="L107" s="43">
        <v>4.0789999999999997</v>
      </c>
      <c r="M107" s="42">
        <v>4.0810000000000004</v>
      </c>
      <c r="N107" s="43">
        <v>4.1820000000000004</v>
      </c>
      <c r="O107" s="42">
        <v>4.1779999999999999</v>
      </c>
      <c r="P107" s="43">
        <v>4.33</v>
      </c>
      <c r="Q107" s="42">
        <v>4.3499999999999996</v>
      </c>
      <c r="R107" s="43">
        <v>4.41</v>
      </c>
    </row>
    <row r="108" spans="1:18" x14ac:dyDescent="0.2">
      <c r="A108" s="41" t="s">
        <v>160</v>
      </c>
      <c r="B108" s="42">
        <v>29.8</v>
      </c>
      <c r="C108" s="42">
        <v>29.6</v>
      </c>
      <c r="D108" s="42">
        <v>29.6</v>
      </c>
      <c r="E108" s="42">
        <v>29.4</v>
      </c>
      <c r="F108" s="42">
        <v>29.6</v>
      </c>
      <c r="G108" s="42">
        <v>30</v>
      </c>
      <c r="H108" s="42">
        <v>30.1</v>
      </c>
      <c r="I108" s="42">
        <v>30.7</v>
      </c>
      <c r="J108" s="42">
        <v>31</v>
      </c>
      <c r="K108" s="42">
        <v>31.26</v>
      </c>
      <c r="L108" s="43">
        <v>31.548999999999999</v>
      </c>
      <c r="M108" s="42">
        <v>31.332000000000001</v>
      </c>
      <c r="N108" s="43">
        <v>31.898</v>
      </c>
      <c r="O108" s="42">
        <v>32.01</v>
      </c>
      <c r="P108" s="43">
        <v>32.350999999999999</v>
      </c>
      <c r="Q108" s="42">
        <v>32.35</v>
      </c>
      <c r="R108" s="43">
        <v>32.807000000000002</v>
      </c>
    </row>
    <row r="109" spans="1:18" x14ac:dyDescent="0.2">
      <c r="A109" s="41" t="s">
        <v>161</v>
      </c>
      <c r="B109" s="42">
        <v>71.599999999999994</v>
      </c>
      <c r="C109" s="42">
        <v>71.5</v>
      </c>
      <c r="D109" s="42">
        <v>72.099999999999994</v>
      </c>
      <c r="E109" s="42">
        <v>72.099999999999994</v>
      </c>
      <c r="F109" s="42">
        <v>72.900000000000006</v>
      </c>
      <c r="G109" s="42">
        <v>73.8</v>
      </c>
      <c r="H109" s="42">
        <v>74</v>
      </c>
      <c r="I109" s="42">
        <v>75.5</v>
      </c>
      <c r="J109" s="42">
        <v>76.5</v>
      </c>
      <c r="K109" s="42">
        <v>77.159000000000006</v>
      </c>
      <c r="L109" s="43">
        <v>77.415000000000006</v>
      </c>
      <c r="M109" s="42">
        <v>77.003</v>
      </c>
      <c r="N109" s="43">
        <v>78.73</v>
      </c>
      <c r="O109" s="42">
        <v>77.796999999999997</v>
      </c>
      <c r="P109" s="43">
        <v>78.983999999999995</v>
      </c>
      <c r="Q109" s="42">
        <v>81.361000000000004</v>
      </c>
      <c r="R109" s="43">
        <v>82.631</v>
      </c>
    </row>
    <row r="110" spans="1:18" x14ac:dyDescent="0.2">
      <c r="A110" s="41" t="s">
        <v>162</v>
      </c>
      <c r="B110" s="42">
        <v>4.3</v>
      </c>
      <c r="C110" s="42">
        <v>4</v>
      </c>
      <c r="D110" s="42">
        <v>4</v>
      </c>
      <c r="E110" s="42">
        <v>4</v>
      </c>
      <c r="F110" s="42">
        <v>3.9</v>
      </c>
      <c r="G110" s="42">
        <v>4</v>
      </c>
      <c r="H110" s="42">
        <v>4</v>
      </c>
      <c r="I110" s="42">
        <v>4.0999999999999996</v>
      </c>
      <c r="J110" s="42">
        <v>4.2</v>
      </c>
      <c r="K110" s="42">
        <v>4.2809999999999997</v>
      </c>
      <c r="L110" s="43">
        <v>4.2850000000000001</v>
      </c>
      <c r="M110" s="42">
        <v>4.2539999999999996</v>
      </c>
      <c r="N110" s="43">
        <v>4.3470000000000004</v>
      </c>
      <c r="O110" s="42">
        <v>4.3019999999999996</v>
      </c>
      <c r="P110" s="43">
        <v>4.3470000000000004</v>
      </c>
      <c r="Q110" s="42">
        <v>4.3710000000000004</v>
      </c>
      <c r="R110" s="43">
        <v>4.2930000000000001</v>
      </c>
    </row>
    <row r="111" spans="1:18" x14ac:dyDescent="0.2">
      <c r="A111" s="41" t="s">
        <v>163</v>
      </c>
      <c r="B111" s="42">
        <v>30.5</v>
      </c>
      <c r="C111" s="42">
        <v>30.1</v>
      </c>
      <c r="D111" s="42">
        <v>30</v>
      </c>
      <c r="E111" s="42">
        <v>30</v>
      </c>
      <c r="F111" s="42">
        <v>30</v>
      </c>
      <c r="G111" s="42">
        <v>29.5</v>
      </c>
      <c r="H111" s="42">
        <v>29.7</v>
      </c>
      <c r="I111" s="42">
        <v>30.3</v>
      </c>
      <c r="J111" s="42">
        <v>30.7</v>
      </c>
      <c r="K111" s="42">
        <v>30.472999999999999</v>
      </c>
      <c r="L111" s="43">
        <v>30.776</v>
      </c>
      <c r="M111" s="42">
        <v>30.765000000000001</v>
      </c>
      <c r="N111" s="43">
        <v>32.69</v>
      </c>
      <c r="O111" s="42">
        <v>40.386000000000003</v>
      </c>
      <c r="P111" s="43">
        <v>41.040999999999997</v>
      </c>
      <c r="Q111" s="406">
        <v>32.835999999999999</v>
      </c>
      <c r="R111" s="407">
        <v>35.340000000000003</v>
      </c>
    </row>
    <row r="112" spans="1:18" x14ac:dyDescent="0.2">
      <c r="A112" s="51" t="s">
        <v>164</v>
      </c>
      <c r="B112" s="42">
        <v>14.7</v>
      </c>
      <c r="C112" s="42">
        <v>14.6</v>
      </c>
      <c r="D112" s="42">
        <v>14.7</v>
      </c>
      <c r="E112" s="42">
        <v>14.7</v>
      </c>
      <c r="F112" s="42">
        <v>14.8</v>
      </c>
      <c r="G112" s="42">
        <v>14.7</v>
      </c>
      <c r="H112" s="42">
        <v>15</v>
      </c>
      <c r="I112" s="42">
        <v>15.2</v>
      </c>
      <c r="J112" s="42">
        <v>14.6</v>
      </c>
      <c r="K112" s="42">
        <v>15.542999999999999</v>
      </c>
      <c r="L112" s="43">
        <v>15.634</v>
      </c>
      <c r="M112" s="42">
        <v>15.614000000000001</v>
      </c>
      <c r="N112" s="43">
        <v>15.879</v>
      </c>
      <c r="O112" s="42">
        <v>15.855</v>
      </c>
      <c r="P112" s="43">
        <v>16.042000000000002</v>
      </c>
      <c r="Q112" s="42">
        <v>16.138000000000002</v>
      </c>
      <c r="R112" s="43">
        <v>16.303999999999998</v>
      </c>
    </row>
    <row r="113" spans="1:18" x14ac:dyDescent="0.2">
      <c r="A113" s="38" t="s">
        <v>166</v>
      </c>
      <c r="B113" s="39">
        <v>69.099999999999994</v>
      </c>
      <c r="C113" s="39">
        <v>68.099999999999994</v>
      </c>
      <c r="D113" s="39">
        <v>68.599999999999994</v>
      </c>
      <c r="E113" s="39">
        <v>69.2</v>
      </c>
      <c r="F113" s="39">
        <v>69.400000000000006</v>
      </c>
      <c r="G113" s="39">
        <v>69.8</v>
      </c>
      <c r="H113" s="39">
        <v>71.599999999999994</v>
      </c>
      <c r="I113" s="39">
        <v>72.599999999999994</v>
      </c>
      <c r="J113" s="39">
        <v>73.7</v>
      </c>
      <c r="K113" s="157">
        <v>75.590999999999994</v>
      </c>
      <c r="L113" s="162">
        <v>75.450999999999993</v>
      </c>
      <c r="M113" s="157">
        <v>74.932000000000002</v>
      </c>
      <c r="N113" s="162">
        <v>77.905000000000001</v>
      </c>
      <c r="O113" s="157">
        <v>77.691000000000003</v>
      </c>
      <c r="P113" s="162">
        <v>78.694000000000003</v>
      </c>
      <c r="Q113" s="157">
        <v>78.432000000000002</v>
      </c>
      <c r="R113" s="162">
        <v>78.210999999999999</v>
      </c>
    </row>
    <row r="114" spans="1:18" x14ac:dyDescent="0.2">
      <c r="A114" s="41" t="s">
        <v>167</v>
      </c>
      <c r="B114" s="42">
        <v>15.4</v>
      </c>
      <c r="C114" s="42">
        <v>15.3</v>
      </c>
      <c r="D114" s="42">
        <v>15.3</v>
      </c>
      <c r="E114" s="42">
        <v>15.4</v>
      </c>
      <c r="F114" s="42">
        <v>15.3</v>
      </c>
      <c r="G114" s="42">
        <v>15.2</v>
      </c>
      <c r="H114" s="42">
        <v>15.1</v>
      </c>
      <c r="I114" s="42">
        <v>15.1</v>
      </c>
      <c r="J114" s="42">
        <v>15.6</v>
      </c>
      <c r="K114" s="42">
        <v>15.659000000000001</v>
      </c>
      <c r="L114" s="43">
        <v>15.202999999999999</v>
      </c>
      <c r="M114" s="42">
        <v>15.223000000000001</v>
      </c>
      <c r="N114" s="43">
        <v>15.94</v>
      </c>
      <c r="O114" s="42">
        <v>15.945</v>
      </c>
      <c r="P114" s="43">
        <v>15.895</v>
      </c>
      <c r="Q114" s="42">
        <v>15.863</v>
      </c>
      <c r="R114" s="43">
        <v>15.847</v>
      </c>
    </row>
    <row r="115" spans="1:18" x14ac:dyDescent="0.2">
      <c r="A115" s="41" t="s">
        <v>168</v>
      </c>
      <c r="B115" s="42">
        <v>14.5</v>
      </c>
      <c r="C115" s="42">
        <v>14.2</v>
      </c>
      <c r="D115" s="42">
        <v>14.1</v>
      </c>
      <c r="E115" s="42">
        <v>14.5</v>
      </c>
      <c r="F115" s="42">
        <v>14.2</v>
      </c>
      <c r="G115" s="42">
        <v>14.1</v>
      </c>
      <c r="H115" s="42">
        <v>14.2</v>
      </c>
      <c r="I115" s="42">
        <v>14.2</v>
      </c>
      <c r="J115" s="42">
        <v>13.6</v>
      </c>
      <c r="K115" s="42">
        <v>14.268000000000001</v>
      </c>
      <c r="L115" s="43">
        <v>14.2</v>
      </c>
      <c r="M115" s="42">
        <v>13.981</v>
      </c>
      <c r="N115" s="43">
        <v>14.039</v>
      </c>
      <c r="O115" s="42">
        <v>14.302</v>
      </c>
      <c r="P115" s="43">
        <v>14.471</v>
      </c>
      <c r="Q115" s="42">
        <v>14.385</v>
      </c>
      <c r="R115" s="43">
        <v>13.827999999999999</v>
      </c>
    </row>
    <row r="116" spans="1:18" x14ac:dyDescent="0.2">
      <c r="A116" s="41" t="s">
        <v>169</v>
      </c>
      <c r="B116" s="42">
        <v>9.8000000000000007</v>
      </c>
      <c r="C116" s="42">
        <v>10.1</v>
      </c>
      <c r="D116" s="42">
        <v>10.3</v>
      </c>
      <c r="E116" s="42">
        <v>10.5</v>
      </c>
      <c r="F116" s="42">
        <v>11</v>
      </c>
      <c r="G116" s="42">
        <v>11.2</v>
      </c>
      <c r="H116" s="42">
        <v>12.2</v>
      </c>
      <c r="I116" s="42">
        <v>12.8</v>
      </c>
      <c r="J116" s="42">
        <v>13</v>
      </c>
      <c r="K116" s="42">
        <v>13.536</v>
      </c>
      <c r="L116" s="43">
        <v>13.512</v>
      </c>
      <c r="M116" s="42">
        <v>13.281000000000001</v>
      </c>
      <c r="N116" s="43">
        <v>13.513999999999999</v>
      </c>
      <c r="O116" s="42">
        <v>13.372999999999999</v>
      </c>
      <c r="P116" s="43">
        <v>13.819000000000001</v>
      </c>
      <c r="Q116" s="42">
        <v>13.788</v>
      </c>
      <c r="R116" s="43">
        <v>13.903</v>
      </c>
    </row>
    <row r="117" spans="1:18" x14ac:dyDescent="0.2">
      <c r="A117" s="51" t="s">
        <v>170</v>
      </c>
      <c r="B117" s="49">
        <v>29.3</v>
      </c>
      <c r="C117" s="49">
        <v>28.4</v>
      </c>
      <c r="D117" s="49">
        <v>28.9</v>
      </c>
      <c r="E117" s="49">
        <v>28.9</v>
      </c>
      <c r="F117" s="49">
        <v>28.9</v>
      </c>
      <c r="G117" s="49">
        <v>29.3</v>
      </c>
      <c r="H117" s="49">
        <v>30.1</v>
      </c>
      <c r="I117" s="49">
        <v>30.5</v>
      </c>
      <c r="J117" s="49">
        <v>31.4</v>
      </c>
      <c r="K117" s="161">
        <v>32.128</v>
      </c>
      <c r="L117" s="163">
        <v>32.536000000000001</v>
      </c>
      <c r="M117" s="161">
        <v>32.447000000000003</v>
      </c>
      <c r="N117" s="163">
        <v>34.411999999999999</v>
      </c>
      <c r="O117" s="161">
        <v>34.070999999999998</v>
      </c>
      <c r="P117" s="163">
        <v>34.509</v>
      </c>
      <c r="Q117" s="161">
        <v>34.396000000000001</v>
      </c>
      <c r="R117" s="163">
        <v>34.633000000000003</v>
      </c>
    </row>
    <row r="118" spans="1:18" x14ac:dyDescent="0.2">
      <c r="A118" s="120" t="s">
        <v>10</v>
      </c>
      <c r="B118" s="55"/>
      <c r="C118" s="55"/>
      <c r="D118" s="55"/>
      <c r="E118" s="55"/>
      <c r="F118" s="55"/>
      <c r="H118" s="56"/>
      <c r="I118" s="56"/>
      <c r="J118" s="56"/>
      <c r="K118" s="56"/>
      <c r="L118" s="56"/>
    </row>
    <row r="119" spans="1:18" x14ac:dyDescent="0.2">
      <c r="A119" s="120" t="s">
        <v>239</v>
      </c>
      <c r="B119" s="57"/>
      <c r="C119" s="57"/>
      <c r="D119" s="57"/>
      <c r="E119" s="57"/>
      <c r="F119" s="57"/>
      <c r="H119" s="56"/>
      <c r="I119" s="56"/>
      <c r="J119" s="56"/>
      <c r="K119" s="56"/>
      <c r="L119" s="56"/>
    </row>
    <row r="120" spans="1:18" x14ac:dyDescent="0.2">
      <c r="A120" s="121" t="s">
        <v>235</v>
      </c>
    </row>
    <row r="121" spans="1:18" x14ac:dyDescent="0.2">
      <c r="A121" s="408" t="s">
        <v>281</v>
      </c>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133"/>
  <sheetViews>
    <sheetView showGridLines="0" zoomScaleNormal="100" workbookViewId="0">
      <pane xSplit="1" ySplit="3" topLeftCell="B4" activePane="bottomRight" state="frozen"/>
      <selection pane="topRight" activeCell="B1" sqref="B1"/>
      <selection pane="bottomLeft" activeCell="A4" sqref="A4"/>
      <selection pane="bottomRight"/>
    </sheetView>
  </sheetViews>
  <sheetFormatPr baseColWidth="10" defaultColWidth="9.5703125" defaultRowHeight="12.75" x14ac:dyDescent="0.2"/>
  <cols>
    <col min="1" max="1" width="35" style="36" customWidth="1"/>
    <col min="2" max="15" width="10.28515625" style="36" customWidth="1"/>
    <col min="16" max="16384" width="9.5703125" style="36"/>
  </cols>
  <sheetData>
    <row r="1" spans="1:16" x14ac:dyDescent="0.2">
      <c r="A1" s="60" t="s">
        <v>236</v>
      </c>
      <c r="B1" s="60"/>
      <c r="C1" s="60"/>
      <c r="D1" s="60"/>
      <c r="E1" s="60"/>
      <c r="F1" s="35"/>
      <c r="G1" s="35"/>
      <c r="H1" s="35"/>
      <c r="I1" s="35"/>
      <c r="J1" s="35"/>
      <c r="K1" s="35"/>
      <c r="L1" s="35"/>
    </row>
    <row r="2" spans="1:16" x14ac:dyDescent="0.2">
      <c r="A2" s="57" t="s">
        <v>203</v>
      </c>
      <c r="B2" s="60"/>
      <c r="C2" s="60"/>
      <c r="D2" s="60"/>
      <c r="E2" s="60"/>
      <c r="F2" s="35"/>
      <c r="G2" s="35"/>
      <c r="H2" s="35"/>
      <c r="I2" s="35"/>
      <c r="J2" s="35"/>
      <c r="K2" s="35"/>
      <c r="L2" s="35"/>
    </row>
    <row r="3" spans="1:16" ht="14.25" x14ac:dyDescent="0.2">
      <c r="A3" s="61" t="s">
        <v>0</v>
      </c>
      <c r="B3" s="315">
        <v>2011</v>
      </c>
      <c r="C3" s="315">
        <v>2012</v>
      </c>
      <c r="D3" s="315">
        <v>2013</v>
      </c>
      <c r="E3" s="315">
        <v>2014</v>
      </c>
      <c r="F3" s="315">
        <v>2015</v>
      </c>
      <c r="G3" s="315">
        <v>2016</v>
      </c>
      <c r="H3" s="315">
        <v>2017</v>
      </c>
      <c r="I3" s="315">
        <v>2018</v>
      </c>
      <c r="J3" s="318">
        <v>2019</v>
      </c>
      <c r="K3" s="315">
        <v>2020</v>
      </c>
      <c r="L3" s="314">
        <v>2021</v>
      </c>
      <c r="M3" s="316" t="s">
        <v>284</v>
      </c>
      <c r="N3" s="317" t="s">
        <v>285</v>
      </c>
      <c r="O3" s="346" t="s">
        <v>287</v>
      </c>
    </row>
    <row r="4" spans="1:16" x14ac:dyDescent="0.2">
      <c r="A4" s="38" t="s">
        <v>56</v>
      </c>
      <c r="B4" s="164">
        <v>28.6573257936879</v>
      </c>
      <c r="C4" s="164">
        <v>28.376360989039615</v>
      </c>
      <c r="D4" s="164">
        <v>28.363829341842706</v>
      </c>
      <c r="E4" s="164">
        <v>28.293871449285785</v>
      </c>
      <c r="F4" s="164">
        <v>28.167230670840315</v>
      </c>
      <c r="G4" s="164">
        <v>28.11380181355149</v>
      </c>
      <c r="H4" s="164">
        <v>28.345491595244141</v>
      </c>
      <c r="I4" s="164">
        <v>28.548169584062414</v>
      </c>
      <c r="J4" s="164">
        <v>28.474235499204521</v>
      </c>
      <c r="K4" s="164">
        <v>28.752857955360152</v>
      </c>
      <c r="L4" s="164">
        <v>28.672530806479013</v>
      </c>
      <c r="M4" s="164">
        <v>28.245007463698062</v>
      </c>
      <c r="N4" s="168">
        <v>28.417837917354198</v>
      </c>
      <c r="O4" s="168">
        <v>28.5748728138269</v>
      </c>
      <c r="P4" s="359"/>
    </row>
    <row r="5" spans="1:16" x14ac:dyDescent="0.2">
      <c r="A5" s="41" t="s">
        <v>57</v>
      </c>
      <c r="B5" s="166">
        <v>23.542526739447357</v>
      </c>
      <c r="C5" s="62">
        <v>23.349196042363523</v>
      </c>
      <c r="D5" s="166">
        <v>23.303610043691407</v>
      </c>
      <c r="E5" s="62">
        <v>23.204846185390036</v>
      </c>
      <c r="F5" s="166">
        <v>22.906333698141992</v>
      </c>
      <c r="G5" s="62">
        <v>22.908100108729904</v>
      </c>
      <c r="H5" s="166">
        <v>23.22533843735393</v>
      </c>
      <c r="I5" s="62">
        <v>23.460491956868552</v>
      </c>
      <c r="J5" s="166">
        <v>22.686783592339847</v>
      </c>
      <c r="K5" s="62">
        <v>22.990723400414648</v>
      </c>
      <c r="L5" s="166">
        <v>22.634718509259699</v>
      </c>
      <c r="M5" s="62">
        <v>22.58560577366945</v>
      </c>
      <c r="N5" s="63">
        <v>22.718511706488499</v>
      </c>
      <c r="O5" s="62">
        <v>22.773491802440802</v>
      </c>
      <c r="P5" s="359"/>
    </row>
    <row r="6" spans="1:16" x14ac:dyDescent="0.2">
      <c r="A6" s="41" t="s">
        <v>58</v>
      </c>
      <c r="B6" s="166">
        <v>25.695739624561348</v>
      </c>
      <c r="C6" s="62">
        <v>25.068541206223692</v>
      </c>
      <c r="D6" s="166">
        <v>25.063099535156645</v>
      </c>
      <c r="E6" s="62">
        <v>24.807244488674705</v>
      </c>
      <c r="F6" s="166">
        <v>24.610381448806741</v>
      </c>
      <c r="G6" s="62">
        <v>24.630838642311947</v>
      </c>
      <c r="H6" s="166">
        <v>24.539635433551858</v>
      </c>
      <c r="I6" s="62">
        <v>24.529029403051581</v>
      </c>
      <c r="J6" s="166">
        <v>23.543175732734365</v>
      </c>
      <c r="K6" s="62">
        <v>23.853328796189452</v>
      </c>
      <c r="L6" s="166">
        <v>23.251681003763427</v>
      </c>
      <c r="M6" s="62">
        <v>23.268451144958554</v>
      </c>
      <c r="N6" s="63">
        <v>23.5443244144369</v>
      </c>
      <c r="O6" s="62">
        <v>23.181977098493199</v>
      </c>
    </row>
    <row r="7" spans="1:16" x14ac:dyDescent="0.2">
      <c r="A7" s="41" t="s">
        <v>59</v>
      </c>
      <c r="B7" s="166">
        <v>22.857925646258117</v>
      </c>
      <c r="C7" s="62">
        <v>22.478442494968608</v>
      </c>
      <c r="D7" s="166">
        <v>22.72891926415447</v>
      </c>
      <c r="E7" s="62">
        <v>22.486540118532943</v>
      </c>
      <c r="F7" s="166">
        <v>22.212073433249433</v>
      </c>
      <c r="G7" s="62">
        <v>22.03671987665853</v>
      </c>
      <c r="H7" s="166">
        <v>22.046499224712761</v>
      </c>
      <c r="I7" s="62">
        <v>22.327409451569274</v>
      </c>
      <c r="J7" s="166">
        <v>21.47071009171562</v>
      </c>
      <c r="K7" s="62">
        <v>21.815274381180252</v>
      </c>
      <c r="L7" s="166">
        <v>21.452492200537108</v>
      </c>
      <c r="M7" s="62">
        <v>21.391184653957087</v>
      </c>
      <c r="N7" s="63">
        <v>21.832052059120201</v>
      </c>
      <c r="O7" s="62">
        <v>21.687188441781199</v>
      </c>
    </row>
    <row r="8" spans="1:16" x14ac:dyDescent="0.2">
      <c r="A8" s="41" t="s">
        <v>60</v>
      </c>
      <c r="B8" s="166">
        <v>36.237240553200628</v>
      </c>
      <c r="C8" s="62">
        <v>35.403369001915429</v>
      </c>
      <c r="D8" s="166">
        <v>35.26939707839491</v>
      </c>
      <c r="E8" s="62">
        <v>35.100468798742867</v>
      </c>
      <c r="F8" s="166">
        <v>34.850238356688251</v>
      </c>
      <c r="G8" s="62">
        <v>34.667477024072582</v>
      </c>
      <c r="H8" s="166">
        <v>34.871124237239442</v>
      </c>
      <c r="I8" s="62">
        <v>35.36077045243573</v>
      </c>
      <c r="J8" s="166">
        <v>34.309974933317498</v>
      </c>
      <c r="K8" s="62">
        <v>35.643272209128554</v>
      </c>
      <c r="L8" s="166">
        <v>35.74529251902451</v>
      </c>
      <c r="M8" s="62">
        <v>35.945680498935914</v>
      </c>
      <c r="N8" s="63">
        <v>36.196780247991803</v>
      </c>
      <c r="O8" s="62">
        <v>36.3700252835553</v>
      </c>
    </row>
    <row r="9" spans="1:16" x14ac:dyDescent="0.2">
      <c r="A9" s="41" t="s">
        <v>61</v>
      </c>
      <c r="B9" s="166">
        <v>20.473948082684235</v>
      </c>
      <c r="C9" s="62">
        <v>20.195148870548046</v>
      </c>
      <c r="D9" s="166">
        <v>20.253291629589338</v>
      </c>
      <c r="E9" s="62">
        <v>20.347737510523885</v>
      </c>
      <c r="F9" s="166">
        <v>20.204971674086508</v>
      </c>
      <c r="G9" s="62">
        <v>20.193636205877961</v>
      </c>
      <c r="H9" s="166">
        <v>20.441975475554518</v>
      </c>
      <c r="I9" s="62">
        <v>20.245578691922383</v>
      </c>
      <c r="J9" s="166">
        <v>20.291264044729321</v>
      </c>
      <c r="K9" s="62">
        <v>20.524244244571566</v>
      </c>
      <c r="L9" s="166">
        <v>20.539165316003565</v>
      </c>
      <c r="M9" s="62">
        <v>19.710405268419898</v>
      </c>
      <c r="N9" s="63">
        <v>19.663598020010699</v>
      </c>
      <c r="O9" s="62">
        <v>19.722995748054799</v>
      </c>
    </row>
    <row r="10" spans="1:16" x14ac:dyDescent="0.2">
      <c r="A10" s="41" t="s">
        <v>62</v>
      </c>
      <c r="B10" s="166">
        <v>20.16245505004202</v>
      </c>
      <c r="C10" s="62">
        <v>20.117834298103233</v>
      </c>
      <c r="D10" s="166">
        <v>19.975340347456292</v>
      </c>
      <c r="E10" s="62">
        <v>19.938624025455145</v>
      </c>
      <c r="F10" s="166">
        <v>19.801606632247104</v>
      </c>
      <c r="G10" s="62">
        <v>19.845697742169445</v>
      </c>
      <c r="H10" s="166">
        <v>19.958806552448166</v>
      </c>
      <c r="I10" s="62">
        <v>19.977791983490484</v>
      </c>
      <c r="J10" s="166">
        <v>19.61713449714205</v>
      </c>
      <c r="K10" s="62">
        <v>19.420649460881297</v>
      </c>
      <c r="L10" s="166">
        <v>19.445290272060259</v>
      </c>
      <c r="M10" s="62">
        <v>18.790226399765409</v>
      </c>
      <c r="N10" s="63">
        <v>19.2328009754848</v>
      </c>
      <c r="O10" s="62">
        <v>19.347223450572301</v>
      </c>
    </row>
    <row r="11" spans="1:16" x14ac:dyDescent="0.2">
      <c r="A11" s="41" t="s">
        <v>63</v>
      </c>
      <c r="B11" s="166">
        <v>22.415008094017647</v>
      </c>
      <c r="C11" s="62">
        <v>22.312310092703004</v>
      </c>
      <c r="D11" s="166">
        <v>22.446739517427432</v>
      </c>
      <c r="E11" s="62">
        <v>22.512204185810049</v>
      </c>
      <c r="F11" s="166">
        <v>22.755494318039514</v>
      </c>
      <c r="G11" s="62">
        <v>22.954682327565937</v>
      </c>
      <c r="H11" s="166">
        <v>22.827877104067248</v>
      </c>
      <c r="I11" s="62">
        <v>23.0326935588783</v>
      </c>
      <c r="J11" s="166">
        <v>22.432668771643844</v>
      </c>
      <c r="K11" s="62">
        <v>22.367148945934577</v>
      </c>
      <c r="L11" s="166">
        <v>22.302737200514297</v>
      </c>
      <c r="M11" s="62">
        <v>22.098936878097895</v>
      </c>
      <c r="N11" s="63">
        <v>22.8897213524702</v>
      </c>
      <c r="O11" s="62">
        <v>23.113807009414401</v>
      </c>
    </row>
    <row r="12" spans="1:16" x14ac:dyDescent="0.2">
      <c r="A12" s="41" t="s">
        <v>64</v>
      </c>
      <c r="B12" s="166">
        <v>20.733170131486652</v>
      </c>
      <c r="C12" s="62">
        <v>20.465435193814603</v>
      </c>
      <c r="D12" s="166">
        <v>20.545412377378852</v>
      </c>
      <c r="E12" s="62">
        <v>20.298091005582169</v>
      </c>
      <c r="F12" s="166">
        <v>20.337427177976068</v>
      </c>
      <c r="G12" s="62">
        <v>20.213351989942282</v>
      </c>
      <c r="H12" s="166">
        <v>20.158436152997396</v>
      </c>
      <c r="I12" s="62">
        <v>20.186036043345499</v>
      </c>
      <c r="J12" s="166">
        <v>19.90968300076025</v>
      </c>
      <c r="K12" s="62">
        <v>19.705168764012701</v>
      </c>
      <c r="L12" s="166">
        <v>19.408311570113376</v>
      </c>
      <c r="M12" s="62">
        <v>19.091436312769208</v>
      </c>
      <c r="N12" s="63">
        <v>19.683085649113099</v>
      </c>
      <c r="O12" s="62">
        <v>20.3193729180738</v>
      </c>
    </row>
    <row r="13" spans="1:16" x14ac:dyDescent="0.2">
      <c r="A13" s="41" t="s">
        <v>65</v>
      </c>
      <c r="B13" s="166">
        <v>30.730685216658046</v>
      </c>
      <c r="C13" s="62">
        <v>30.455948627380977</v>
      </c>
      <c r="D13" s="166">
        <v>30.640875554349869</v>
      </c>
      <c r="E13" s="62">
        <v>30.50309263020851</v>
      </c>
      <c r="F13" s="166">
        <v>30.433182486314642</v>
      </c>
      <c r="G13" s="62">
        <v>30.451075716953603</v>
      </c>
      <c r="H13" s="166">
        <v>30.937228655879565</v>
      </c>
      <c r="I13" s="62">
        <v>31.083465324302868</v>
      </c>
      <c r="J13" s="166">
        <v>31.759515579582914</v>
      </c>
      <c r="K13" s="62">
        <v>32.197924915815868</v>
      </c>
      <c r="L13" s="166">
        <v>32.171337871459201</v>
      </c>
      <c r="M13" s="62">
        <v>30.973295079793921</v>
      </c>
      <c r="N13" s="63">
        <v>30.539421475996001</v>
      </c>
      <c r="O13" s="62">
        <v>30.602090514491401</v>
      </c>
    </row>
    <row r="14" spans="1:16" x14ac:dyDescent="0.2">
      <c r="A14" s="41" t="s">
        <v>66</v>
      </c>
      <c r="B14" s="166">
        <v>25.377278136817385</v>
      </c>
      <c r="C14" s="62">
        <v>25.084993787971641</v>
      </c>
      <c r="D14" s="166">
        <v>25.086104429855602</v>
      </c>
      <c r="E14" s="62">
        <v>25.1067367863354</v>
      </c>
      <c r="F14" s="166">
        <v>25.10288865953051</v>
      </c>
      <c r="G14" s="62">
        <v>25.050244992977351</v>
      </c>
      <c r="H14" s="166">
        <v>25.235002515951255</v>
      </c>
      <c r="I14" s="62">
        <v>25.216395575903693</v>
      </c>
      <c r="J14" s="166">
        <v>25.655102539284314</v>
      </c>
      <c r="K14" s="62">
        <v>25.850774041396551</v>
      </c>
      <c r="L14" s="166">
        <v>25.780013643300187</v>
      </c>
      <c r="M14" s="62">
        <v>25.534476989066029</v>
      </c>
      <c r="N14" s="63">
        <v>25.764520369326601</v>
      </c>
      <c r="O14" s="62">
        <v>25.8010526403894</v>
      </c>
    </row>
    <row r="15" spans="1:16" x14ac:dyDescent="0.2">
      <c r="A15" s="41" t="s">
        <v>67</v>
      </c>
      <c r="B15" s="166">
        <v>37.664339584153133</v>
      </c>
      <c r="C15" s="62">
        <v>37.518630544035197</v>
      </c>
      <c r="D15" s="166">
        <v>37.298899840312913</v>
      </c>
      <c r="E15" s="62">
        <v>37.277266613057975</v>
      </c>
      <c r="F15" s="166">
        <v>37.018097351099996</v>
      </c>
      <c r="G15" s="62">
        <v>36.856087847647522</v>
      </c>
      <c r="H15" s="166">
        <v>37.243099014987315</v>
      </c>
      <c r="I15" s="62">
        <v>37.697125521918309</v>
      </c>
      <c r="J15" s="166">
        <v>37.897352077029566</v>
      </c>
      <c r="K15" s="62">
        <v>38.102155644368914</v>
      </c>
      <c r="L15" s="166">
        <v>38.041729574748331</v>
      </c>
      <c r="M15" s="62">
        <v>37.763297080531345</v>
      </c>
      <c r="N15" s="63">
        <v>38.182303555433599</v>
      </c>
      <c r="O15" s="62">
        <v>38.402158953905598</v>
      </c>
    </row>
    <row r="16" spans="1:16" x14ac:dyDescent="0.2">
      <c r="A16" s="41" t="s">
        <v>68</v>
      </c>
      <c r="B16" s="166">
        <v>27.434455754217247</v>
      </c>
      <c r="C16" s="62">
        <v>27.099681423343071</v>
      </c>
      <c r="D16" s="166">
        <v>27.163795765608448</v>
      </c>
      <c r="E16" s="62">
        <v>27.130396377029804</v>
      </c>
      <c r="F16" s="166">
        <v>26.865672447897833</v>
      </c>
      <c r="G16" s="62">
        <v>26.870229260649719</v>
      </c>
      <c r="H16" s="166">
        <v>26.881353399574163</v>
      </c>
      <c r="I16" s="62">
        <v>27.076418794088767</v>
      </c>
      <c r="J16" s="166">
        <v>26.630263216108339</v>
      </c>
      <c r="K16" s="62">
        <v>26.867807437576438</v>
      </c>
      <c r="L16" s="166">
        <v>27.105220724318482</v>
      </c>
      <c r="M16" s="62">
        <v>26.858882137638123</v>
      </c>
      <c r="N16" s="63">
        <v>26.057436768927101</v>
      </c>
      <c r="O16" s="62">
        <v>26.065516187475001</v>
      </c>
    </row>
    <row r="17" spans="1:15" x14ac:dyDescent="0.2">
      <c r="A17" s="348" t="s">
        <v>69</v>
      </c>
      <c r="B17" s="165">
        <v>28.041045566119731</v>
      </c>
      <c r="C17" s="168">
        <v>27.947730214710532</v>
      </c>
      <c r="D17" s="165">
        <v>27.956040747109434</v>
      </c>
      <c r="E17" s="168">
        <v>27.712729559338026</v>
      </c>
      <c r="F17" s="165">
        <v>27.718045935731844</v>
      </c>
      <c r="G17" s="168">
        <v>27.786498506724314</v>
      </c>
      <c r="H17" s="165">
        <v>28.064001940604509</v>
      </c>
      <c r="I17" s="168">
        <v>28.126914268488719</v>
      </c>
      <c r="J17" s="165">
        <v>28.335260801892783</v>
      </c>
      <c r="K17" s="168">
        <v>28.403253489625435</v>
      </c>
      <c r="L17" s="165">
        <v>27.935068891682565</v>
      </c>
      <c r="M17" s="168">
        <v>27.814777708164804</v>
      </c>
      <c r="N17" s="350">
        <v>27.9786820846859</v>
      </c>
      <c r="O17" s="168">
        <v>28.104572758388599</v>
      </c>
    </row>
    <row r="18" spans="1:15" x14ac:dyDescent="0.2">
      <c r="A18" s="41" t="s">
        <v>70</v>
      </c>
      <c r="B18" s="166">
        <v>36.735026512567913</v>
      </c>
      <c r="C18" s="62">
        <v>37.08570105761661</v>
      </c>
      <c r="D18" s="166">
        <v>37.343815445822429</v>
      </c>
      <c r="E18" s="62">
        <v>36.561085394416146</v>
      </c>
      <c r="F18" s="166">
        <v>36.690294831322582</v>
      </c>
      <c r="G18" s="62">
        <v>36.506811456649558</v>
      </c>
      <c r="H18" s="166">
        <v>37.675251801368198</v>
      </c>
      <c r="I18" s="62">
        <v>36.981939775686584</v>
      </c>
      <c r="J18" s="166">
        <v>37.818025838451149</v>
      </c>
      <c r="K18" s="62">
        <v>37.691115744688609</v>
      </c>
      <c r="L18" s="166">
        <v>37.551018713455569</v>
      </c>
      <c r="M18" s="62">
        <v>37.155858924270952</v>
      </c>
      <c r="N18" s="63">
        <v>38.037465682961098</v>
      </c>
      <c r="O18" s="62">
        <v>38.158800647365702</v>
      </c>
    </row>
    <row r="19" spans="1:15" x14ac:dyDescent="0.2">
      <c r="A19" s="41" t="s">
        <v>71</v>
      </c>
      <c r="B19" s="166">
        <v>25.621645036966456</v>
      </c>
      <c r="C19" s="62">
        <v>25.806198871200884</v>
      </c>
      <c r="D19" s="166">
        <v>25.154565259379314</v>
      </c>
      <c r="E19" s="62">
        <v>25.076826714361808</v>
      </c>
      <c r="F19" s="166">
        <v>24.710034462178665</v>
      </c>
      <c r="G19" s="62">
        <v>24.937228415203528</v>
      </c>
      <c r="H19" s="166">
        <v>25.335657707768814</v>
      </c>
      <c r="I19" s="62">
        <v>25.210202985416121</v>
      </c>
      <c r="J19" s="166">
        <v>25.646519836065163</v>
      </c>
      <c r="K19" s="62">
        <v>25.366016192424826</v>
      </c>
      <c r="L19" s="166">
        <v>24.689397282042588</v>
      </c>
      <c r="M19" s="62">
        <v>24.298321768077113</v>
      </c>
      <c r="N19" s="63">
        <v>24.812335881440699</v>
      </c>
      <c r="O19" s="62">
        <v>24.924812587020298</v>
      </c>
    </row>
    <row r="20" spans="1:15" x14ac:dyDescent="0.2">
      <c r="A20" s="41" t="s">
        <v>72</v>
      </c>
      <c r="B20" s="166">
        <v>22.900515056741209</v>
      </c>
      <c r="C20" s="62">
        <v>22.661822086937498</v>
      </c>
      <c r="D20" s="166">
        <v>22.544068264817078</v>
      </c>
      <c r="E20" s="62">
        <v>22.535792207209482</v>
      </c>
      <c r="F20" s="166">
        <v>22.509015901445942</v>
      </c>
      <c r="G20" s="62">
        <v>22.613998526594436</v>
      </c>
      <c r="H20" s="166">
        <v>22.389680831724554</v>
      </c>
      <c r="I20" s="62">
        <v>22.855454743141589</v>
      </c>
      <c r="J20" s="166">
        <v>22.915970274448618</v>
      </c>
      <c r="K20" s="62">
        <v>23.493076729318187</v>
      </c>
      <c r="L20" s="166">
        <v>23.83593245334858</v>
      </c>
      <c r="M20" s="62">
        <v>24.017243756629451</v>
      </c>
      <c r="N20" s="63">
        <v>23.186900525647701</v>
      </c>
      <c r="O20" s="62">
        <v>22.8273177642075</v>
      </c>
    </row>
    <row r="21" spans="1:15" x14ac:dyDescent="0.2">
      <c r="A21" s="41" t="s">
        <v>73</v>
      </c>
      <c r="B21" s="166">
        <v>22.467647219387089</v>
      </c>
      <c r="C21" s="62">
        <v>22.095496565001504</v>
      </c>
      <c r="D21" s="166">
        <v>22.559891547174566</v>
      </c>
      <c r="E21" s="62">
        <v>22.3628648935786</v>
      </c>
      <c r="F21" s="166">
        <v>22.242934642317884</v>
      </c>
      <c r="G21" s="62">
        <v>22.538397567127006</v>
      </c>
      <c r="H21" s="166">
        <v>22.618281599616505</v>
      </c>
      <c r="I21" s="62">
        <v>23.022171980766988</v>
      </c>
      <c r="J21" s="166">
        <v>23.126748999006463</v>
      </c>
      <c r="K21" s="62">
        <v>22.875128954573974</v>
      </c>
      <c r="L21" s="166">
        <v>22.184406014267687</v>
      </c>
      <c r="M21" s="62">
        <v>21.985351028566576</v>
      </c>
      <c r="N21" s="63">
        <v>22.655984540975499</v>
      </c>
      <c r="O21" s="62">
        <v>24.287767348873999</v>
      </c>
    </row>
    <row r="22" spans="1:15" x14ac:dyDescent="0.2">
      <c r="A22" s="41" t="s">
        <v>74</v>
      </c>
      <c r="B22" s="166">
        <v>32.408816896103737</v>
      </c>
      <c r="C22" s="62">
        <v>32.358405036979676</v>
      </c>
      <c r="D22" s="166">
        <v>32.395331429195188</v>
      </c>
      <c r="E22" s="62">
        <v>32.39657817584591</v>
      </c>
      <c r="F22" s="166">
        <v>32.536026625905073</v>
      </c>
      <c r="G22" s="62">
        <v>32.471334776202156</v>
      </c>
      <c r="H22" s="166">
        <v>32.665461369520422</v>
      </c>
      <c r="I22" s="62">
        <v>32.839014364933583</v>
      </c>
      <c r="J22" s="166">
        <v>32.592339204118453</v>
      </c>
      <c r="K22" s="62">
        <v>32.320924738434407</v>
      </c>
      <c r="L22" s="166">
        <v>31.825228091804362</v>
      </c>
      <c r="M22" s="62">
        <v>31.733244949425288</v>
      </c>
      <c r="N22" s="63">
        <v>31.789229884326399</v>
      </c>
      <c r="O22" s="62">
        <v>31.993574029765099</v>
      </c>
    </row>
    <row r="23" spans="1:15" x14ac:dyDescent="0.2">
      <c r="A23" s="41" t="s">
        <v>75</v>
      </c>
      <c r="B23" s="166">
        <v>23.233270729953613</v>
      </c>
      <c r="C23" s="62">
        <v>23.240844532120089</v>
      </c>
      <c r="D23" s="166">
        <v>23.067754624725605</v>
      </c>
      <c r="E23" s="62">
        <v>22.78978933851517</v>
      </c>
      <c r="F23" s="166">
        <v>22.822217488296442</v>
      </c>
      <c r="G23" s="62">
        <v>23.094618221508892</v>
      </c>
      <c r="H23" s="166">
        <v>22.803471816067081</v>
      </c>
      <c r="I23" s="62">
        <v>22.856488813345237</v>
      </c>
      <c r="J23" s="166">
        <v>22.422620731909706</v>
      </c>
      <c r="K23" s="62">
        <v>22.441454237377968</v>
      </c>
      <c r="L23" s="166">
        <v>21.842689074335642</v>
      </c>
      <c r="M23" s="62">
        <v>21.808777489833687</v>
      </c>
      <c r="N23" s="63">
        <v>21.751259790393199</v>
      </c>
      <c r="O23" s="62">
        <v>21.441129770794898</v>
      </c>
    </row>
    <row r="24" spans="1:15" x14ac:dyDescent="0.2">
      <c r="A24" s="41" t="s">
        <v>76</v>
      </c>
      <c r="B24" s="166">
        <v>25.273764225647724</v>
      </c>
      <c r="C24" s="62">
        <v>24.880206735493164</v>
      </c>
      <c r="D24" s="166">
        <v>24.667960196028879</v>
      </c>
      <c r="E24" s="62">
        <v>24.453691044986094</v>
      </c>
      <c r="F24" s="166">
        <v>24.406865797182959</v>
      </c>
      <c r="G24" s="62">
        <v>24.214868144479212</v>
      </c>
      <c r="H24" s="166">
        <v>24.431905234626921</v>
      </c>
      <c r="I24" s="62">
        <v>24.466065377767048</v>
      </c>
      <c r="J24" s="166">
        <v>25.247607521463308</v>
      </c>
      <c r="K24" s="62">
        <v>25.79731578064515</v>
      </c>
      <c r="L24" s="166">
        <v>23.291947101662757</v>
      </c>
      <c r="M24" s="62">
        <v>23.100997847278819</v>
      </c>
      <c r="N24" s="63">
        <v>23.0944039449783</v>
      </c>
      <c r="O24" s="62">
        <v>22.882683664296799</v>
      </c>
    </row>
    <row r="25" spans="1:15" x14ac:dyDescent="0.2">
      <c r="A25" s="41" t="s">
        <v>77</v>
      </c>
      <c r="B25" s="166">
        <v>30.566162080699517</v>
      </c>
      <c r="C25" s="62">
        <v>29.596344360844519</v>
      </c>
      <c r="D25" s="166">
        <v>29.288816962400738</v>
      </c>
      <c r="E25" s="62">
        <v>28.637254364698084</v>
      </c>
      <c r="F25" s="166">
        <v>28.453930918667162</v>
      </c>
      <c r="G25" s="62">
        <v>28.916270112186343</v>
      </c>
      <c r="H25" s="166">
        <v>29.255242824321115</v>
      </c>
      <c r="I25" s="62">
        <v>29.433014326812664</v>
      </c>
      <c r="J25" s="166">
        <v>29.408997896457748</v>
      </c>
      <c r="K25" s="62">
        <v>29.717631556951023</v>
      </c>
      <c r="L25" s="166">
        <v>29.183001330984865</v>
      </c>
      <c r="M25" s="62">
        <v>29.058791829800999</v>
      </c>
      <c r="N25" s="63">
        <v>29.523973465144199</v>
      </c>
      <c r="O25" s="62">
        <v>28.8589116378532</v>
      </c>
    </row>
    <row r="26" spans="1:15" x14ac:dyDescent="0.2">
      <c r="A26" s="348" t="s">
        <v>78</v>
      </c>
      <c r="B26" s="165">
        <v>29.89952478404825</v>
      </c>
      <c r="C26" s="168">
        <v>29.895147896629542</v>
      </c>
      <c r="D26" s="165">
        <v>29.889426373698495</v>
      </c>
      <c r="E26" s="168">
        <v>29.635147395968737</v>
      </c>
      <c r="F26" s="165">
        <v>29.496151971473161</v>
      </c>
      <c r="G26" s="168">
        <v>29.531187289261215</v>
      </c>
      <c r="H26" s="165">
        <v>29.520355109075087</v>
      </c>
      <c r="I26" s="168">
        <v>29.737438072677033</v>
      </c>
      <c r="J26" s="165">
        <v>29.741620923576427</v>
      </c>
      <c r="K26" s="168">
        <v>29.700202802015088</v>
      </c>
      <c r="L26" s="165">
        <v>28.950629671375232</v>
      </c>
      <c r="M26" s="168">
        <v>28.985126392084172</v>
      </c>
      <c r="N26" s="350">
        <v>29.3195320489171</v>
      </c>
      <c r="O26" s="168">
        <v>29.2254663590241</v>
      </c>
    </row>
    <row r="27" spans="1:15" x14ac:dyDescent="0.2">
      <c r="A27" s="41" t="s">
        <v>79</v>
      </c>
      <c r="B27" s="166">
        <v>22.139194721121402</v>
      </c>
      <c r="C27" s="62">
        <v>22.030179825635361</v>
      </c>
      <c r="D27" s="166">
        <v>22.008940195388885</v>
      </c>
      <c r="E27" s="62">
        <v>21.778051822618249</v>
      </c>
      <c r="F27" s="166">
        <v>21.754767207601386</v>
      </c>
      <c r="G27" s="62">
        <v>21.928719414830898</v>
      </c>
      <c r="H27" s="166">
        <v>21.968741696358297</v>
      </c>
      <c r="I27" s="62">
        <v>22.131337410289191</v>
      </c>
      <c r="J27" s="166">
        <v>21.811491127559474</v>
      </c>
      <c r="K27" s="62">
        <v>21.678952260144396</v>
      </c>
      <c r="L27" s="166">
        <v>20.797865306906488</v>
      </c>
      <c r="M27" s="62">
        <v>20.783334731706784</v>
      </c>
      <c r="N27" s="63">
        <v>20.988362696294299</v>
      </c>
      <c r="O27" s="62">
        <v>20.909700715584702</v>
      </c>
    </row>
    <row r="28" spans="1:15" x14ac:dyDescent="0.2">
      <c r="A28" s="41" t="s">
        <v>80</v>
      </c>
      <c r="B28" s="166">
        <v>30.114023836644652</v>
      </c>
      <c r="C28" s="62">
        <v>29.9880715252417</v>
      </c>
      <c r="D28" s="166">
        <v>29.839983000022254</v>
      </c>
      <c r="E28" s="62">
        <v>29.457480037617177</v>
      </c>
      <c r="F28" s="166">
        <v>29.164017044984316</v>
      </c>
      <c r="G28" s="62">
        <v>29.263362299661615</v>
      </c>
      <c r="H28" s="166">
        <v>28.894177190350163</v>
      </c>
      <c r="I28" s="62">
        <v>29.007891769089245</v>
      </c>
      <c r="J28" s="166">
        <v>29.220779421430674</v>
      </c>
      <c r="K28" s="62">
        <v>29.078493477091033</v>
      </c>
      <c r="L28" s="166">
        <v>28.449926434023823</v>
      </c>
      <c r="M28" s="62">
        <v>29.137599816018628</v>
      </c>
      <c r="N28" s="63">
        <v>29.273506835698999</v>
      </c>
      <c r="O28" s="62">
        <v>28.780548685270201</v>
      </c>
    </row>
    <row r="29" spans="1:15" x14ac:dyDescent="0.2">
      <c r="A29" s="41" t="s">
        <v>81</v>
      </c>
      <c r="B29" s="166">
        <v>39.049049784684122</v>
      </c>
      <c r="C29" s="62">
        <v>39.245340490371788</v>
      </c>
      <c r="D29" s="166">
        <v>39.516768770692281</v>
      </c>
      <c r="E29" s="62">
        <v>39.315402129974466</v>
      </c>
      <c r="F29" s="166">
        <v>39.365383735960322</v>
      </c>
      <c r="G29" s="62">
        <v>39.238336016443434</v>
      </c>
      <c r="H29" s="166">
        <v>39.333055724700166</v>
      </c>
      <c r="I29" s="62">
        <v>39.765064699418886</v>
      </c>
      <c r="J29" s="166">
        <v>39.950091124663302</v>
      </c>
      <c r="K29" s="62">
        <v>40.006286416396982</v>
      </c>
      <c r="L29" s="166">
        <v>39.302790156484384</v>
      </c>
      <c r="M29" s="62">
        <v>38.866832728701219</v>
      </c>
      <c r="N29" s="63">
        <v>39.387757773327102</v>
      </c>
      <c r="O29" s="62">
        <v>39.516963047552601</v>
      </c>
    </row>
    <row r="30" spans="1:15" x14ac:dyDescent="0.2">
      <c r="A30" s="41" t="s">
        <v>82</v>
      </c>
      <c r="B30" s="166">
        <v>23.323193934669771</v>
      </c>
      <c r="C30" s="62">
        <v>23.209489797958966</v>
      </c>
      <c r="D30" s="166">
        <v>22.942660026261049</v>
      </c>
      <c r="E30" s="62">
        <v>22.690893611998028</v>
      </c>
      <c r="F30" s="166">
        <v>22.336010348598766</v>
      </c>
      <c r="G30" s="62">
        <v>22.235680032078946</v>
      </c>
      <c r="H30" s="166">
        <v>22.407586724042861</v>
      </c>
      <c r="I30" s="62">
        <v>22.400050102964826</v>
      </c>
      <c r="J30" s="166">
        <v>22.131105025675925</v>
      </c>
      <c r="K30" s="62">
        <v>22.071466660336569</v>
      </c>
      <c r="L30" s="166">
        <v>21.191497940516463</v>
      </c>
      <c r="M30" s="62">
        <v>21.076317286012721</v>
      </c>
      <c r="N30" s="63">
        <v>21.438499521804101</v>
      </c>
      <c r="O30" s="62">
        <v>21.439840372910801</v>
      </c>
    </row>
    <row r="31" spans="1:15" x14ac:dyDescent="0.2">
      <c r="A31" s="348" t="s">
        <v>83</v>
      </c>
      <c r="B31" s="165">
        <v>26.229353763657031</v>
      </c>
      <c r="C31" s="168">
        <v>25.975118562035497</v>
      </c>
      <c r="D31" s="165">
        <v>26.039886128414825</v>
      </c>
      <c r="E31" s="168">
        <v>26.097115673179751</v>
      </c>
      <c r="F31" s="165">
        <v>26.099501675956503</v>
      </c>
      <c r="G31" s="168">
        <v>26.223753683704594</v>
      </c>
      <c r="H31" s="165">
        <v>26.45711078097457</v>
      </c>
      <c r="I31" s="168">
        <v>26.596738175469781</v>
      </c>
      <c r="J31" s="165">
        <v>26.637324562290509</v>
      </c>
      <c r="K31" s="168">
        <v>26.797490729440266</v>
      </c>
      <c r="L31" s="165">
        <v>26.733223741429818</v>
      </c>
      <c r="M31" s="168">
        <v>26.61926800289616</v>
      </c>
      <c r="N31" s="350">
        <v>26.762895455680901</v>
      </c>
      <c r="O31" s="168">
        <v>26.898543373779098</v>
      </c>
    </row>
    <row r="32" spans="1:15" x14ac:dyDescent="0.2">
      <c r="A32" s="41" t="s">
        <v>84</v>
      </c>
      <c r="B32" s="166">
        <v>26.194495984566938</v>
      </c>
      <c r="C32" s="62">
        <v>25.650342796571213</v>
      </c>
      <c r="D32" s="166">
        <v>25.529771183401596</v>
      </c>
      <c r="E32" s="62">
        <v>25.29510047417973</v>
      </c>
      <c r="F32" s="166">
        <v>25.38441346826264</v>
      </c>
      <c r="G32" s="62">
        <v>25.556530470514801</v>
      </c>
      <c r="H32" s="166">
        <v>25.823118107496679</v>
      </c>
      <c r="I32" s="62">
        <v>25.773453610227488</v>
      </c>
      <c r="J32" s="166">
        <v>26.181250687236421</v>
      </c>
      <c r="K32" s="62">
        <v>26.446444530319003</v>
      </c>
      <c r="L32" s="166">
        <v>26.609139114258188</v>
      </c>
      <c r="M32" s="62">
        <v>26.940597832478637</v>
      </c>
      <c r="N32" s="63">
        <v>26.942216726876101</v>
      </c>
      <c r="O32" s="62">
        <v>27.493082817834601</v>
      </c>
    </row>
    <row r="33" spans="1:15" x14ac:dyDescent="0.2">
      <c r="A33" s="41" t="s">
        <v>85</v>
      </c>
      <c r="B33" s="166">
        <v>22.503219772296475</v>
      </c>
      <c r="C33" s="62">
        <v>22.270098405004692</v>
      </c>
      <c r="D33" s="166">
        <v>22.246006978070255</v>
      </c>
      <c r="E33" s="62">
        <v>22.183035595466386</v>
      </c>
      <c r="F33" s="166">
        <v>22.21056128719065</v>
      </c>
      <c r="G33" s="62">
        <v>22.270521131582793</v>
      </c>
      <c r="H33" s="166">
        <v>22.381406088642549</v>
      </c>
      <c r="I33" s="62">
        <v>22.459320748604597</v>
      </c>
      <c r="J33" s="166">
        <v>22.645850877721355</v>
      </c>
      <c r="K33" s="62">
        <v>22.943430463566134</v>
      </c>
      <c r="L33" s="166">
        <v>22.70174478052159</v>
      </c>
      <c r="M33" s="62">
        <v>22.211751569978436</v>
      </c>
      <c r="N33" s="63">
        <v>21.9025390026402</v>
      </c>
      <c r="O33" s="62">
        <v>22.1970545402495</v>
      </c>
    </row>
    <row r="34" spans="1:15" x14ac:dyDescent="0.2">
      <c r="A34" s="41" t="s">
        <v>86</v>
      </c>
      <c r="B34" s="166">
        <v>26.019473713189885</v>
      </c>
      <c r="C34" s="62">
        <v>26.069707081757443</v>
      </c>
      <c r="D34" s="166">
        <v>25.711558496233419</v>
      </c>
      <c r="E34" s="62">
        <v>25.598090107402321</v>
      </c>
      <c r="F34" s="166">
        <v>25.341503261922917</v>
      </c>
      <c r="G34" s="62">
        <v>25.656980045325479</v>
      </c>
      <c r="H34" s="166">
        <v>25.792588942126258</v>
      </c>
      <c r="I34" s="62">
        <v>26.462815143375863</v>
      </c>
      <c r="J34" s="166">
        <v>26.198510082343347</v>
      </c>
      <c r="K34" s="62">
        <v>26.470283246778909</v>
      </c>
      <c r="L34" s="166">
        <v>26.639167862895036</v>
      </c>
      <c r="M34" s="62">
        <v>26.805254626244057</v>
      </c>
      <c r="N34" s="351">
        <v>26.706909311269101</v>
      </c>
      <c r="O34" s="269">
        <v>26.754163940419399</v>
      </c>
    </row>
    <row r="35" spans="1:15" x14ac:dyDescent="0.2">
      <c r="A35" s="41" t="s">
        <v>87</v>
      </c>
      <c r="B35" s="166">
        <v>26.610872013726407</v>
      </c>
      <c r="C35" s="62">
        <v>26.374407810230124</v>
      </c>
      <c r="D35" s="166">
        <v>26.298306304366051</v>
      </c>
      <c r="E35" s="62">
        <v>26.304777493949171</v>
      </c>
      <c r="F35" s="166">
        <v>26.367879173958123</v>
      </c>
      <c r="G35" s="62">
        <v>26.403241295732098</v>
      </c>
      <c r="H35" s="166">
        <v>26.832459372219574</v>
      </c>
      <c r="I35" s="62">
        <v>27.06719178938204</v>
      </c>
      <c r="J35" s="166">
        <v>27.173033476320722</v>
      </c>
      <c r="K35" s="62">
        <v>27.364329188943117</v>
      </c>
      <c r="L35" s="166">
        <v>27.293102484157426</v>
      </c>
      <c r="M35" s="62">
        <v>27.237156427706697</v>
      </c>
      <c r="N35" s="63">
        <v>27.173689250940601</v>
      </c>
      <c r="O35" s="62">
        <v>27.198241123531101</v>
      </c>
    </row>
    <row r="36" spans="1:15" x14ac:dyDescent="0.2">
      <c r="A36" s="41" t="s">
        <v>88</v>
      </c>
      <c r="B36" s="166">
        <v>30.649762592231898</v>
      </c>
      <c r="C36" s="62">
        <v>30.43244763928935</v>
      </c>
      <c r="D36" s="166">
        <v>30.635886089478642</v>
      </c>
      <c r="E36" s="62">
        <v>30.991762362017553</v>
      </c>
      <c r="F36" s="166">
        <v>31.081776772100348</v>
      </c>
      <c r="G36" s="62">
        <v>31.256153456219934</v>
      </c>
      <c r="H36" s="166">
        <v>31.467205068668598</v>
      </c>
      <c r="I36" s="62">
        <v>31.600223401147204</v>
      </c>
      <c r="J36" s="166">
        <v>31.444124432874069</v>
      </c>
      <c r="K36" s="62">
        <v>31.330906290678005</v>
      </c>
      <c r="L36" s="166">
        <v>31.266397270806152</v>
      </c>
      <c r="M36" s="62">
        <v>31.01589512273285</v>
      </c>
      <c r="N36" s="63">
        <v>31.9405875377802</v>
      </c>
      <c r="O36" s="62">
        <v>31.9027433046891</v>
      </c>
    </row>
    <row r="37" spans="1:15" x14ac:dyDescent="0.2">
      <c r="A37" s="41" t="s">
        <v>89</v>
      </c>
      <c r="B37" s="166">
        <v>21.817686765191109</v>
      </c>
      <c r="C37" s="62">
        <v>21.478069085196118</v>
      </c>
      <c r="D37" s="166">
        <v>22.069122731257689</v>
      </c>
      <c r="E37" s="62">
        <v>22.13320024154374</v>
      </c>
      <c r="F37" s="166">
        <v>21.881707893574394</v>
      </c>
      <c r="G37" s="62">
        <v>21.924731306533438</v>
      </c>
      <c r="H37" s="166">
        <v>21.956680707141341</v>
      </c>
      <c r="I37" s="62">
        <v>21.786559943615902</v>
      </c>
      <c r="J37" s="166">
        <v>21.673926461160239</v>
      </c>
      <c r="K37" s="62">
        <v>21.950251895438921</v>
      </c>
      <c r="L37" s="166">
        <v>21.728551757264022</v>
      </c>
      <c r="M37" s="62">
        <v>21.638455672442053</v>
      </c>
      <c r="N37" s="63">
        <v>21.392807763130602</v>
      </c>
      <c r="O37" s="62">
        <v>21.546328885848599</v>
      </c>
    </row>
    <row r="38" spans="1:15" x14ac:dyDescent="0.2">
      <c r="A38" s="348" t="s">
        <v>90</v>
      </c>
      <c r="B38" s="165">
        <v>32.213125953335592</v>
      </c>
      <c r="C38" s="168">
        <v>32.016997436332367</v>
      </c>
      <c r="D38" s="165">
        <v>31.834199265371424</v>
      </c>
      <c r="E38" s="168">
        <v>31.398584209646629</v>
      </c>
      <c r="F38" s="165">
        <v>31.141544255441346</v>
      </c>
      <c r="G38" s="168">
        <v>30.818714850548705</v>
      </c>
      <c r="H38" s="165">
        <v>30.556772948342012</v>
      </c>
      <c r="I38" s="168">
        <v>30.542807829120225</v>
      </c>
      <c r="J38" s="165">
        <v>30.062691856984415</v>
      </c>
      <c r="K38" s="168">
        <v>30.128518830177445</v>
      </c>
      <c r="L38" s="165">
        <v>29.449319921477549</v>
      </c>
      <c r="M38" s="168">
        <v>29.019106102299382</v>
      </c>
      <c r="N38" s="350">
        <v>28.9570995165674</v>
      </c>
      <c r="O38" s="168">
        <v>28.665786035173099</v>
      </c>
    </row>
    <row r="39" spans="1:15" x14ac:dyDescent="0.2">
      <c r="A39" s="41" t="s">
        <v>91</v>
      </c>
      <c r="B39" s="166">
        <v>32.443469190052475</v>
      </c>
      <c r="C39" s="62">
        <v>32.221788852874049</v>
      </c>
      <c r="D39" s="166">
        <v>31.623760930760337</v>
      </c>
      <c r="E39" s="62">
        <v>31.152180469547091</v>
      </c>
      <c r="F39" s="166">
        <v>31.023341707241428</v>
      </c>
      <c r="G39" s="62">
        <v>30.478818630805016</v>
      </c>
      <c r="H39" s="166">
        <v>30.396701702804059</v>
      </c>
      <c r="I39" s="62">
        <v>30.274724824922934</v>
      </c>
      <c r="J39" s="166">
        <v>29.765837137940931</v>
      </c>
      <c r="K39" s="62">
        <v>30.355009414364968</v>
      </c>
      <c r="L39" s="166">
        <v>29.245347501366634</v>
      </c>
      <c r="M39" s="62">
        <v>28.358114690418429</v>
      </c>
      <c r="N39" s="63">
        <v>28.007533208611701</v>
      </c>
      <c r="O39" s="62">
        <v>27.715077843202</v>
      </c>
    </row>
    <row r="40" spans="1:15" x14ac:dyDescent="0.2">
      <c r="A40" s="41" t="s">
        <v>92</v>
      </c>
      <c r="B40" s="166">
        <v>32.006128959405153</v>
      </c>
      <c r="C40" s="62">
        <v>31.840780712138503</v>
      </c>
      <c r="D40" s="166">
        <v>32.015740079349669</v>
      </c>
      <c r="E40" s="62">
        <v>31.612035470111564</v>
      </c>
      <c r="F40" s="166">
        <v>31.239837673930658</v>
      </c>
      <c r="G40" s="62">
        <v>31.115563660845321</v>
      </c>
      <c r="H40" s="166">
        <v>30.69264612053334</v>
      </c>
      <c r="I40" s="62">
        <v>30.775475500739361</v>
      </c>
      <c r="J40" s="166">
        <v>30.321707263687991</v>
      </c>
      <c r="K40" s="62">
        <v>29.922154336113604</v>
      </c>
      <c r="L40" s="166">
        <v>29.624858484541296</v>
      </c>
      <c r="M40" s="62">
        <v>29.613672246460492</v>
      </c>
      <c r="N40" s="352">
        <v>29.824226398320501</v>
      </c>
      <c r="O40" s="169">
        <v>29.541814311550699</v>
      </c>
    </row>
    <row r="41" spans="1:15" x14ac:dyDescent="0.2">
      <c r="A41" s="348" t="s">
        <v>93</v>
      </c>
      <c r="B41" s="165">
        <v>29.988564815648473</v>
      </c>
      <c r="C41" s="168">
        <v>29.747062401910906</v>
      </c>
      <c r="D41" s="165">
        <v>29.586831335938804</v>
      </c>
      <c r="E41" s="168">
        <v>29.584108018443946</v>
      </c>
      <c r="F41" s="165">
        <v>29.670357181766139</v>
      </c>
      <c r="G41" s="168">
        <v>29.651657851240344</v>
      </c>
      <c r="H41" s="165">
        <v>29.837908540651313</v>
      </c>
      <c r="I41" s="168">
        <v>29.944517256896063</v>
      </c>
      <c r="J41" s="165">
        <v>30.058702930404653</v>
      </c>
      <c r="K41" s="168">
        <v>30.07689572652793</v>
      </c>
      <c r="L41" s="165">
        <v>29.93959884335786</v>
      </c>
      <c r="M41" s="168">
        <v>29.791556049667605</v>
      </c>
      <c r="N41" s="350">
        <v>29.9891011589045</v>
      </c>
      <c r="O41" s="168">
        <v>30.060956482903901</v>
      </c>
    </row>
    <row r="42" spans="1:15" x14ac:dyDescent="0.2">
      <c r="A42" s="41" t="s">
        <v>94</v>
      </c>
      <c r="B42" s="166">
        <v>32.233624862711125</v>
      </c>
      <c r="C42" s="62">
        <v>32.245502217477949</v>
      </c>
      <c r="D42" s="166">
        <v>31.927401170198952</v>
      </c>
      <c r="E42" s="62">
        <v>31.89542468166335</v>
      </c>
      <c r="F42" s="166">
        <v>32.210880867596174</v>
      </c>
      <c r="G42" s="62">
        <v>32.424241694107174</v>
      </c>
      <c r="H42" s="166">
        <v>32.405780910258585</v>
      </c>
      <c r="I42" s="62">
        <v>32.501294196176062</v>
      </c>
      <c r="J42" s="166">
        <v>32.565505485104893</v>
      </c>
      <c r="K42" s="62">
        <v>32.484779840898156</v>
      </c>
      <c r="L42" s="166">
        <v>32.2046900096841</v>
      </c>
      <c r="M42" s="62">
        <v>31.844806263607957</v>
      </c>
      <c r="N42" s="63">
        <v>31.8586619041773</v>
      </c>
      <c r="O42" s="62">
        <v>32.105416674866902</v>
      </c>
    </row>
    <row r="43" spans="1:15" x14ac:dyDescent="0.2">
      <c r="A43" s="41" t="s">
        <v>95</v>
      </c>
      <c r="B43" s="166">
        <v>23.570747557472039</v>
      </c>
      <c r="C43" s="62">
        <v>23.240484392249837</v>
      </c>
      <c r="D43" s="166">
        <v>22.925998547384882</v>
      </c>
      <c r="E43" s="62">
        <v>22.960778076414556</v>
      </c>
      <c r="F43" s="166">
        <v>23.574668420936199</v>
      </c>
      <c r="G43" s="62">
        <v>23.170792530201634</v>
      </c>
      <c r="H43" s="166">
        <v>23.597754579405247</v>
      </c>
      <c r="I43" s="62">
        <v>23.769958349259792</v>
      </c>
      <c r="J43" s="166">
        <v>23.864656017669759</v>
      </c>
      <c r="K43" s="62">
        <v>24.062804697185559</v>
      </c>
      <c r="L43" s="166">
        <v>24.224814933196736</v>
      </c>
      <c r="M43" s="62">
        <v>23.957671003201295</v>
      </c>
      <c r="N43" s="63">
        <v>24.067971349515801</v>
      </c>
      <c r="O43" s="62">
        <v>24.213014753984901</v>
      </c>
    </row>
    <row r="44" spans="1:15" x14ac:dyDescent="0.2">
      <c r="A44" s="41" t="s">
        <v>96</v>
      </c>
      <c r="B44" s="166">
        <v>26.179498611033974</v>
      </c>
      <c r="C44" s="62">
        <v>25.813950361654243</v>
      </c>
      <c r="D44" s="166">
        <v>25.929145585699242</v>
      </c>
      <c r="E44" s="62">
        <v>25.989686802907535</v>
      </c>
      <c r="F44" s="166">
        <v>25.640240352387877</v>
      </c>
      <c r="G44" s="62">
        <v>25.479815355937298</v>
      </c>
      <c r="H44" s="166">
        <v>25.980831908822047</v>
      </c>
      <c r="I44" s="62">
        <v>26.13523264226146</v>
      </c>
      <c r="J44" s="166">
        <v>26.060184305995165</v>
      </c>
      <c r="K44" s="62">
        <v>26.037661635667465</v>
      </c>
      <c r="L44" s="166">
        <v>25.916048279438886</v>
      </c>
      <c r="M44" s="62">
        <v>26.105603481296558</v>
      </c>
      <c r="N44" s="63">
        <v>25.900756777393099</v>
      </c>
      <c r="O44" s="62">
        <v>25.637963213447101</v>
      </c>
    </row>
    <row r="45" spans="1:15" x14ac:dyDescent="0.2">
      <c r="A45" s="41" t="s">
        <v>97</v>
      </c>
      <c r="B45" s="166">
        <v>26.772326785551456</v>
      </c>
      <c r="C45" s="62">
        <v>26.574557291576618</v>
      </c>
      <c r="D45" s="166">
        <v>26.439695270007629</v>
      </c>
      <c r="E45" s="62">
        <v>26.609057526030249</v>
      </c>
      <c r="F45" s="166">
        <v>26.779680035131978</v>
      </c>
      <c r="G45" s="62">
        <v>26.620820800061651</v>
      </c>
      <c r="H45" s="166">
        <v>26.591088182417039</v>
      </c>
      <c r="I45" s="62">
        <v>26.712092563410753</v>
      </c>
      <c r="J45" s="166">
        <v>26.457787660139118</v>
      </c>
      <c r="K45" s="62">
        <v>26.540828436160723</v>
      </c>
      <c r="L45" s="166">
        <v>26.635109948684867</v>
      </c>
      <c r="M45" s="62">
        <v>26.473689592553178</v>
      </c>
      <c r="N45" s="63">
        <v>26.399965454855099</v>
      </c>
      <c r="O45" s="62">
        <v>26.135122406972599</v>
      </c>
    </row>
    <row r="46" spans="1:15" x14ac:dyDescent="0.2">
      <c r="A46" s="41" t="s">
        <v>98</v>
      </c>
      <c r="B46" s="166">
        <v>27.16454786537545</v>
      </c>
      <c r="C46" s="62">
        <v>26.272797072854086</v>
      </c>
      <c r="D46" s="166">
        <v>26.707096411620196</v>
      </c>
      <c r="E46" s="62">
        <v>26.582222315504175</v>
      </c>
      <c r="F46" s="166">
        <v>26.362509003713306</v>
      </c>
      <c r="G46" s="62">
        <v>26.069902273299487</v>
      </c>
      <c r="H46" s="166">
        <v>26.246280841086396</v>
      </c>
      <c r="I46" s="62">
        <v>26.495925974909213</v>
      </c>
      <c r="J46" s="166">
        <v>26.518535509035114</v>
      </c>
      <c r="K46" s="62">
        <v>26.400210368134626</v>
      </c>
      <c r="L46" s="166">
        <v>26.80779440260552</v>
      </c>
      <c r="M46" s="62">
        <v>26.954286903114287</v>
      </c>
      <c r="N46" s="63">
        <v>26.597636555184501</v>
      </c>
      <c r="O46" s="62">
        <v>26.0851211335732</v>
      </c>
    </row>
    <row r="47" spans="1:15" x14ac:dyDescent="0.2">
      <c r="A47" s="41" t="s">
        <v>99</v>
      </c>
      <c r="B47" s="166">
        <v>33.492061242501592</v>
      </c>
      <c r="C47" s="62">
        <v>33.130948042478941</v>
      </c>
      <c r="D47" s="166">
        <v>33.039726417222028</v>
      </c>
      <c r="E47" s="62">
        <v>33.127714729875031</v>
      </c>
      <c r="F47" s="166">
        <v>32.979405404228395</v>
      </c>
      <c r="G47" s="62">
        <v>32.770025808603549</v>
      </c>
      <c r="H47" s="166">
        <v>33.117632217261892</v>
      </c>
      <c r="I47" s="62">
        <v>33.063428215712591</v>
      </c>
      <c r="J47" s="166">
        <v>33.561910481654138</v>
      </c>
      <c r="K47" s="62">
        <v>33.733421594743831</v>
      </c>
      <c r="L47" s="166">
        <v>32.969731553233544</v>
      </c>
      <c r="M47" s="62">
        <v>32.915097907949246</v>
      </c>
      <c r="N47" s="63">
        <v>33.712711444117403</v>
      </c>
      <c r="O47" s="62">
        <v>34.500647005868501</v>
      </c>
    </row>
    <row r="48" spans="1:15" x14ac:dyDescent="0.2">
      <c r="A48" s="41" t="s">
        <v>100</v>
      </c>
      <c r="B48" s="166">
        <v>37.939621780295305</v>
      </c>
      <c r="C48" s="62">
        <v>37.364614579285586</v>
      </c>
      <c r="D48" s="166">
        <v>37.222286400907507</v>
      </c>
      <c r="E48" s="62">
        <v>37.678904407929643</v>
      </c>
      <c r="F48" s="166">
        <v>37.653884931570872</v>
      </c>
      <c r="G48" s="62">
        <v>37.543261196047403</v>
      </c>
      <c r="H48" s="166">
        <v>37.604339979372533</v>
      </c>
      <c r="I48" s="62">
        <v>37.658978284876298</v>
      </c>
      <c r="J48" s="166">
        <v>37.959416507220453</v>
      </c>
      <c r="K48" s="62">
        <v>38.187039677530336</v>
      </c>
      <c r="L48" s="166">
        <v>38.361906181622729</v>
      </c>
      <c r="M48" s="62">
        <v>38.016253506728845</v>
      </c>
      <c r="N48" s="63">
        <v>37.883522952834902</v>
      </c>
      <c r="O48" s="62">
        <v>37.774001724804499</v>
      </c>
    </row>
    <row r="49" spans="1:15" x14ac:dyDescent="0.2">
      <c r="A49" s="41" t="s">
        <v>101</v>
      </c>
      <c r="B49" s="166">
        <v>27.662751143020738</v>
      </c>
      <c r="C49" s="62">
        <v>27.325999159149628</v>
      </c>
      <c r="D49" s="166">
        <v>27.101943659795076</v>
      </c>
      <c r="E49" s="62">
        <v>26.978522271632595</v>
      </c>
      <c r="F49" s="166">
        <v>26.542031744816612</v>
      </c>
      <c r="G49" s="62">
        <v>26.883988320997727</v>
      </c>
      <c r="H49" s="166">
        <v>27.123116232346611</v>
      </c>
      <c r="I49" s="62">
        <v>27.33303495852865</v>
      </c>
      <c r="J49" s="166">
        <v>27.005768536472225</v>
      </c>
      <c r="K49" s="62">
        <v>27.003651149106602</v>
      </c>
      <c r="L49" s="166">
        <v>26.504491691980068</v>
      </c>
      <c r="M49" s="62">
        <v>26.620866345923915</v>
      </c>
      <c r="N49" s="63">
        <v>27.429178594071701</v>
      </c>
      <c r="O49" s="62">
        <v>27.507307370751999</v>
      </c>
    </row>
    <row r="50" spans="1:15" x14ac:dyDescent="0.2">
      <c r="A50" s="41" t="s">
        <v>102</v>
      </c>
      <c r="B50" s="166">
        <v>29.828737438216645</v>
      </c>
      <c r="C50" s="62">
        <v>29.793085264293367</v>
      </c>
      <c r="D50" s="166">
        <v>29.73009234034016</v>
      </c>
      <c r="E50" s="62">
        <v>29.377339549909426</v>
      </c>
      <c r="F50" s="166">
        <v>29.338788157998156</v>
      </c>
      <c r="G50" s="62">
        <v>29.554049054717236</v>
      </c>
      <c r="H50" s="166">
        <v>29.759400952431676</v>
      </c>
      <c r="I50" s="62">
        <v>29.769412404039564</v>
      </c>
      <c r="J50" s="166">
        <v>29.738151163029926</v>
      </c>
      <c r="K50" s="62">
        <v>29.888523873096265</v>
      </c>
      <c r="L50" s="166">
        <v>29.579686079105056</v>
      </c>
      <c r="M50" s="62">
        <v>29.471709635443492</v>
      </c>
      <c r="N50" s="63">
        <v>29.874622394012</v>
      </c>
      <c r="O50" s="62">
        <v>29.661563416130999</v>
      </c>
    </row>
    <row r="51" spans="1:15" x14ac:dyDescent="0.2">
      <c r="A51" s="41" t="s">
        <v>103</v>
      </c>
      <c r="B51" s="166">
        <v>24.038520305290728</v>
      </c>
      <c r="C51" s="62">
        <v>23.887990762861204</v>
      </c>
      <c r="D51" s="166">
        <v>23.625120654274617</v>
      </c>
      <c r="E51" s="62">
        <v>23.449370047838581</v>
      </c>
      <c r="F51" s="166">
        <v>23.312924291081671</v>
      </c>
      <c r="G51" s="62">
        <v>23.301836931649788</v>
      </c>
      <c r="H51" s="166">
        <v>23.26206493402843</v>
      </c>
      <c r="I51" s="62">
        <v>23.61547969130406</v>
      </c>
      <c r="J51" s="166">
        <v>24.020977198785296</v>
      </c>
      <c r="K51" s="62">
        <v>22.924387485209632</v>
      </c>
      <c r="L51" s="166">
        <v>23.078824624607005</v>
      </c>
      <c r="M51" s="62">
        <v>23.361513299318968</v>
      </c>
      <c r="N51" s="352">
        <v>23.9287153336155</v>
      </c>
      <c r="O51" s="169">
        <v>24.1107394466143</v>
      </c>
    </row>
    <row r="52" spans="1:15" x14ac:dyDescent="0.2">
      <c r="A52" s="348" t="s">
        <v>104</v>
      </c>
      <c r="B52" s="165">
        <v>28.572736637726262</v>
      </c>
      <c r="C52" s="168">
        <v>28.297791974856864</v>
      </c>
      <c r="D52" s="165">
        <v>28.314223691595167</v>
      </c>
      <c r="E52" s="168">
        <v>28.31897342272698</v>
      </c>
      <c r="F52" s="165">
        <v>28.459015735828302</v>
      </c>
      <c r="G52" s="168">
        <v>28.750653689637872</v>
      </c>
      <c r="H52" s="165">
        <v>28.915933690576598</v>
      </c>
      <c r="I52" s="168">
        <v>28.987109077178278</v>
      </c>
      <c r="J52" s="165">
        <v>28.792030439837212</v>
      </c>
      <c r="K52" s="168">
        <v>29.429145051130075</v>
      </c>
      <c r="L52" s="165">
        <v>29.653999465578067</v>
      </c>
      <c r="M52" s="168">
        <v>29.499766646081721</v>
      </c>
      <c r="N52" s="350">
        <v>29.705159338728802</v>
      </c>
      <c r="O52" s="168">
        <v>29.842277862841801</v>
      </c>
    </row>
    <row r="53" spans="1:15" x14ac:dyDescent="0.2">
      <c r="A53" s="41" t="s">
        <v>105</v>
      </c>
      <c r="B53" s="166">
        <v>31.975683741911489</v>
      </c>
      <c r="C53" s="62">
        <v>31.4822636803192</v>
      </c>
      <c r="D53" s="166">
        <v>31.463504439684986</v>
      </c>
      <c r="E53" s="62">
        <v>31.479636079319906</v>
      </c>
      <c r="F53" s="166">
        <v>31.661811516289639</v>
      </c>
      <c r="G53" s="62">
        <v>32.059401632980055</v>
      </c>
      <c r="H53" s="166">
        <v>32.271270029491262</v>
      </c>
      <c r="I53" s="62">
        <v>32.330108276481113</v>
      </c>
      <c r="J53" s="166">
        <v>31.875938986419886</v>
      </c>
      <c r="K53" s="62">
        <v>32.64264338015996</v>
      </c>
      <c r="L53" s="166">
        <v>32.952370391763473</v>
      </c>
      <c r="M53" s="62">
        <v>32.675203395680526</v>
      </c>
      <c r="N53" s="63">
        <v>32.827381612106599</v>
      </c>
      <c r="O53" s="62">
        <v>33.129844213641299</v>
      </c>
    </row>
    <row r="54" spans="1:15" x14ac:dyDescent="0.2">
      <c r="A54" s="41" t="s">
        <v>106</v>
      </c>
      <c r="B54" s="166">
        <v>25.819951104607334</v>
      </c>
      <c r="C54" s="62">
        <v>25.716192474322746</v>
      </c>
      <c r="D54" s="166">
        <v>25.997975442007125</v>
      </c>
      <c r="E54" s="62">
        <v>25.948998595593288</v>
      </c>
      <c r="F54" s="166">
        <v>26.053244913340706</v>
      </c>
      <c r="G54" s="62">
        <v>26.505449993639253</v>
      </c>
      <c r="H54" s="166">
        <v>26.503327817498914</v>
      </c>
      <c r="I54" s="62">
        <v>26.646824883241649</v>
      </c>
      <c r="J54" s="166">
        <v>26.789061269629833</v>
      </c>
      <c r="K54" s="62">
        <v>27.583534787572471</v>
      </c>
      <c r="L54" s="166">
        <v>27.699020060253336</v>
      </c>
      <c r="M54" s="62">
        <v>27.684887710513674</v>
      </c>
      <c r="N54" s="63">
        <v>27.9312915505128</v>
      </c>
      <c r="O54" s="62">
        <v>27.981474523307501</v>
      </c>
    </row>
    <row r="55" spans="1:15" x14ac:dyDescent="0.2">
      <c r="A55" s="41" t="s">
        <v>107</v>
      </c>
      <c r="B55" s="166">
        <v>24.019783013327888</v>
      </c>
      <c r="C55" s="62">
        <v>23.91117452133151</v>
      </c>
      <c r="D55" s="166">
        <v>23.941103154310142</v>
      </c>
      <c r="E55" s="62">
        <v>24.088070688826338</v>
      </c>
      <c r="F55" s="166">
        <v>24.216546554144148</v>
      </c>
      <c r="G55" s="62">
        <v>24.443570632546763</v>
      </c>
      <c r="H55" s="166">
        <v>24.686131636477789</v>
      </c>
      <c r="I55" s="62">
        <v>24.960899883881925</v>
      </c>
      <c r="J55" s="166">
        <v>24.678348435021086</v>
      </c>
      <c r="K55" s="62">
        <v>25.169978978827032</v>
      </c>
      <c r="L55" s="166">
        <v>25.288512942145296</v>
      </c>
      <c r="M55" s="62">
        <v>25.519511757328626</v>
      </c>
      <c r="N55" s="63">
        <v>25.223373334459001</v>
      </c>
      <c r="O55" s="62">
        <v>25.178967034619099</v>
      </c>
    </row>
    <row r="56" spans="1:15" x14ac:dyDescent="0.2">
      <c r="A56" s="41" t="s">
        <v>108</v>
      </c>
      <c r="B56" s="166">
        <v>24.059986375876697</v>
      </c>
      <c r="C56" s="62">
        <v>23.857161302675522</v>
      </c>
      <c r="D56" s="166">
        <v>23.742595876219148</v>
      </c>
      <c r="E56" s="62">
        <v>23.591940341787744</v>
      </c>
      <c r="F56" s="166">
        <v>23.788590833876395</v>
      </c>
      <c r="G56" s="62">
        <v>23.887443130764229</v>
      </c>
      <c r="H56" s="166">
        <v>24.10104486362896</v>
      </c>
      <c r="I56" s="62">
        <v>24.030602217411467</v>
      </c>
      <c r="J56" s="166">
        <v>23.848790659190698</v>
      </c>
      <c r="K56" s="62">
        <v>24.216885510016969</v>
      </c>
      <c r="L56" s="166">
        <v>24.326628135249781</v>
      </c>
      <c r="M56" s="62">
        <v>24.135567127276879</v>
      </c>
      <c r="N56" s="63">
        <v>24.1416706725411</v>
      </c>
      <c r="O56" s="62">
        <v>24.157431456527</v>
      </c>
    </row>
    <row r="57" spans="1:15" x14ac:dyDescent="0.2">
      <c r="A57" s="41" t="s">
        <v>109</v>
      </c>
      <c r="B57" s="166">
        <v>30.921953800528069</v>
      </c>
      <c r="C57" s="62">
        <v>30.927759372079411</v>
      </c>
      <c r="D57" s="166">
        <v>30.593876419037318</v>
      </c>
      <c r="E57" s="62">
        <v>30.764395163427292</v>
      </c>
      <c r="F57" s="166">
        <v>30.735000031525033</v>
      </c>
      <c r="G57" s="62">
        <v>30.490064725956326</v>
      </c>
      <c r="H57" s="166">
        <v>30.73580832765408</v>
      </c>
      <c r="I57" s="62">
        <v>30.693885146848725</v>
      </c>
      <c r="J57" s="166">
        <v>30.854638712693863</v>
      </c>
      <c r="K57" s="62">
        <v>31.017308386620442</v>
      </c>
      <c r="L57" s="166">
        <v>31.380989402758239</v>
      </c>
      <c r="M57" s="62">
        <v>31.050244165260096</v>
      </c>
      <c r="N57" s="63">
        <v>32.133119720967997</v>
      </c>
      <c r="O57" s="62">
        <v>32.049703852984202</v>
      </c>
    </row>
    <row r="58" spans="1:15" x14ac:dyDescent="0.2">
      <c r="A58" s="348" t="s">
        <v>182</v>
      </c>
      <c r="B58" s="165">
        <v>41.19288270256758</v>
      </c>
      <c r="C58" s="168">
        <v>40.533525311395024</v>
      </c>
      <c r="D58" s="165">
        <v>40.667541115421045</v>
      </c>
      <c r="E58" s="168">
        <v>40.685688397392063</v>
      </c>
      <c r="F58" s="165">
        <v>40.720705956256381</v>
      </c>
      <c r="G58" s="168">
        <v>40.796694119501332</v>
      </c>
      <c r="H58" s="165">
        <v>41.330158313265073</v>
      </c>
      <c r="I58" s="168">
        <v>41.65239556721324</v>
      </c>
      <c r="J58" s="165">
        <v>41.944956083397393</v>
      </c>
      <c r="K58" s="168">
        <v>42.225458922634623</v>
      </c>
      <c r="L58" s="165">
        <v>42.424860062338396</v>
      </c>
      <c r="M58" s="168">
        <v>41.311328129205386</v>
      </c>
      <c r="N58" s="350">
        <v>41.768609103636699</v>
      </c>
      <c r="O58" s="409">
        <v>42.195951660003303</v>
      </c>
    </row>
    <row r="59" spans="1:15" x14ac:dyDescent="0.2">
      <c r="A59" s="41" t="s">
        <v>111</v>
      </c>
      <c r="B59" s="166">
        <v>33.785501775703764</v>
      </c>
      <c r="C59" s="62">
        <v>33.339763040956733</v>
      </c>
      <c r="D59" s="166">
        <v>32.858308846619799</v>
      </c>
      <c r="E59" s="62">
        <v>32.701860877653615</v>
      </c>
      <c r="F59" s="166">
        <v>32.553712993299627</v>
      </c>
      <c r="G59" s="62">
        <v>32.487191880072572</v>
      </c>
      <c r="H59" s="166">
        <v>34.518596464657044</v>
      </c>
      <c r="I59" s="62">
        <v>35.04085115184337</v>
      </c>
      <c r="J59" s="166">
        <v>35.539095568204864</v>
      </c>
      <c r="K59" s="62">
        <v>37.537174170775266</v>
      </c>
      <c r="L59" s="166">
        <v>37.441334754289684</v>
      </c>
      <c r="M59" s="62">
        <v>36.785672083716982</v>
      </c>
      <c r="N59" s="63">
        <v>37.195783249544697</v>
      </c>
      <c r="O59" s="62">
        <v>37.914998343911201</v>
      </c>
    </row>
    <row r="60" spans="1:15" x14ac:dyDescent="0.2">
      <c r="A60" s="41" t="s">
        <v>112</v>
      </c>
      <c r="B60" s="166">
        <v>29.452976594754233</v>
      </c>
      <c r="C60" s="62">
        <v>28.7246882244775</v>
      </c>
      <c r="D60" s="166">
        <v>29.228395919458713</v>
      </c>
      <c r="E60" s="62">
        <v>29.612288895049012</v>
      </c>
      <c r="F60" s="166">
        <v>30.93706530949223</v>
      </c>
      <c r="G60" s="62">
        <v>30.540474072613552</v>
      </c>
      <c r="H60" s="166">
        <v>30.116013070604623</v>
      </c>
      <c r="I60" s="62">
        <v>30.564692796740648</v>
      </c>
      <c r="J60" s="166">
        <v>30.47431325965454</v>
      </c>
      <c r="K60" s="62">
        <v>30.911563663451069</v>
      </c>
      <c r="L60" s="166">
        <v>31.171841740595347</v>
      </c>
      <c r="M60" s="62">
        <v>30.318096410083875</v>
      </c>
      <c r="N60" s="63">
        <v>30.878476318178901</v>
      </c>
      <c r="O60" s="62">
        <v>29.715979306167</v>
      </c>
    </row>
    <row r="61" spans="1:15" x14ac:dyDescent="0.2">
      <c r="A61" s="41" t="s">
        <v>113</v>
      </c>
      <c r="B61" s="166">
        <v>83.751963615574354</v>
      </c>
      <c r="C61" s="62">
        <v>83.115881213357568</v>
      </c>
      <c r="D61" s="166">
        <v>82.853190803462411</v>
      </c>
      <c r="E61" s="62">
        <v>82.510357418685643</v>
      </c>
      <c r="F61" s="166">
        <v>83.294423567561424</v>
      </c>
      <c r="G61" s="62">
        <v>82.916213292596126</v>
      </c>
      <c r="H61" s="166">
        <v>85.235873796793754</v>
      </c>
      <c r="I61" s="62">
        <v>85.397486567391667</v>
      </c>
      <c r="J61" s="166">
        <v>85.976671770449769</v>
      </c>
      <c r="K61" s="62">
        <v>86.440298706684999</v>
      </c>
      <c r="L61" s="166">
        <v>87.521491905321142</v>
      </c>
      <c r="M61" s="62">
        <v>87.454181718489323</v>
      </c>
      <c r="N61" s="63">
        <v>89.930583888592196</v>
      </c>
      <c r="O61" s="410">
        <v>92.514736750124001</v>
      </c>
    </row>
    <row r="62" spans="1:15" x14ac:dyDescent="0.2">
      <c r="A62" s="41" t="s">
        <v>114</v>
      </c>
      <c r="B62" s="166">
        <v>26.302574103132081</v>
      </c>
      <c r="C62" s="62">
        <v>25.828579899535324</v>
      </c>
      <c r="D62" s="166">
        <v>26.340980245520811</v>
      </c>
      <c r="E62" s="62">
        <v>26.420612073835148</v>
      </c>
      <c r="F62" s="166">
        <v>26.279564263411856</v>
      </c>
      <c r="G62" s="62">
        <v>26.575712821536435</v>
      </c>
      <c r="H62" s="166">
        <v>26.992340575585306</v>
      </c>
      <c r="I62" s="62">
        <v>27.427193526330644</v>
      </c>
      <c r="J62" s="166">
        <v>27.664912278225792</v>
      </c>
      <c r="K62" s="62">
        <v>27.805160872445008</v>
      </c>
      <c r="L62" s="166">
        <v>28.121546176930362</v>
      </c>
      <c r="M62" s="62">
        <v>27.495268554790744</v>
      </c>
      <c r="N62" s="63">
        <v>27.351579234723701</v>
      </c>
      <c r="O62" s="62">
        <v>28.110790786792499</v>
      </c>
    </row>
    <row r="63" spans="1:15" x14ac:dyDescent="0.2">
      <c r="A63" s="41" t="s">
        <v>115</v>
      </c>
      <c r="B63" s="166">
        <v>34.978129551449832</v>
      </c>
      <c r="C63" s="62">
        <v>33.961058710859255</v>
      </c>
      <c r="D63" s="166">
        <v>34.424904464630174</v>
      </c>
      <c r="E63" s="62">
        <v>34.826311202625341</v>
      </c>
      <c r="F63" s="166">
        <v>35.161989904105454</v>
      </c>
      <c r="G63" s="62">
        <v>35.246177267521915</v>
      </c>
      <c r="H63" s="166">
        <v>34.965816733605877</v>
      </c>
      <c r="I63" s="62">
        <v>35.457300063754246</v>
      </c>
      <c r="J63" s="166">
        <v>36.254994420165765</v>
      </c>
      <c r="K63" s="62">
        <v>37.056715630983462</v>
      </c>
      <c r="L63" s="166">
        <v>37.398286490160956</v>
      </c>
      <c r="M63" s="62">
        <v>36.20873876792195</v>
      </c>
      <c r="N63" s="63">
        <v>36.305050089357202</v>
      </c>
      <c r="O63" s="62">
        <v>36.462892826349602</v>
      </c>
    </row>
    <row r="64" spans="1:15" x14ac:dyDescent="0.2">
      <c r="A64" s="41" t="s">
        <v>116</v>
      </c>
      <c r="B64" s="166">
        <v>35.711945982893127</v>
      </c>
      <c r="C64" s="62">
        <v>35.052032098724283</v>
      </c>
      <c r="D64" s="166">
        <v>35.178536564030331</v>
      </c>
      <c r="E64" s="62">
        <v>35.429638000640786</v>
      </c>
      <c r="F64" s="166">
        <v>33.443056928787428</v>
      </c>
      <c r="G64" s="62">
        <v>35.421516324699105</v>
      </c>
      <c r="H64" s="166">
        <v>35.539546086272075</v>
      </c>
      <c r="I64" s="62">
        <v>35.912807696747073</v>
      </c>
      <c r="J64" s="166">
        <v>36.108055105182338</v>
      </c>
      <c r="K64" s="62">
        <v>34.977287983206701</v>
      </c>
      <c r="L64" s="166">
        <v>35.397005265321113</v>
      </c>
      <c r="M64" s="62">
        <v>33.608255447451555</v>
      </c>
      <c r="N64" s="63">
        <v>33.900197871185703</v>
      </c>
      <c r="O64" s="62">
        <v>34.175766551951597</v>
      </c>
    </row>
    <row r="65" spans="1:15" x14ac:dyDescent="0.2">
      <c r="A65" s="41" t="s">
        <v>117</v>
      </c>
      <c r="B65" s="166">
        <v>27.516974047365409</v>
      </c>
      <c r="C65" s="62">
        <v>27.068230227506334</v>
      </c>
      <c r="D65" s="166">
        <v>27.783048065167264</v>
      </c>
      <c r="E65" s="62">
        <v>28.022426786682246</v>
      </c>
      <c r="F65" s="166">
        <v>28.119770742237524</v>
      </c>
      <c r="G65" s="62">
        <v>28.511508706238747</v>
      </c>
      <c r="H65" s="166">
        <v>28.64921336696262</v>
      </c>
      <c r="I65" s="62">
        <v>29.414393564916384</v>
      </c>
      <c r="J65" s="166">
        <v>29.569536543866118</v>
      </c>
      <c r="K65" s="62">
        <v>30.027536652085089</v>
      </c>
      <c r="L65" s="166">
        <v>29.898973745082255</v>
      </c>
      <c r="M65" s="62">
        <v>28.793452960789189</v>
      </c>
      <c r="N65" s="63">
        <v>28.965187937448</v>
      </c>
      <c r="O65" s="62">
        <v>29.411175957545499</v>
      </c>
    </row>
    <row r="66" spans="1:15" x14ac:dyDescent="0.2">
      <c r="A66" s="41" t="s">
        <v>118</v>
      </c>
      <c r="B66" s="166">
        <v>30.363840304750354</v>
      </c>
      <c r="C66" s="62">
        <v>30.256276258315449</v>
      </c>
      <c r="D66" s="166">
        <v>30.762864111918191</v>
      </c>
      <c r="E66" s="62">
        <v>30.799739865359793</v>
      </c>
      <c r="F66" s="166">
        <v>30.777576358476455</v>
      </c>
      <c r="G66" s="62">
        <v>30.918830577342934</v>
      </c>
      <c r="H66" s="166">
        <v>31.150705259206529</v>
      </c>
      <c r="I66" s="62">
        <v>31.4905337115935</v>
      </c>
      <c r="J66" s="166">
        <v>31.475168267403564</v>
      </c>
      <c r="K66" s="62">
        <v>31.204467885245762</v>
      </c>
      <c r="L66" s="166">
        <v>30.974787007512134</v>
      </c>
      <c r="M66" s="62">
        <v>30.069988671079098</v>
      </c>
      <c r="N66" s="63">
        <v>30.0248871375649</v>
      </c>
      <c r="O66" s="62">
        <v>30.108903672241102</v>
      </c>
    </row>
    <row r="67" spans="1:15" x14ac:dyDescent="0.2">
      <c r="A67" s="348" t="s">
        <v>119</v>
      </c>
      <c r="B67" s="165">
        <v>27.173041991337168</v>
      </c>
      <c r="C67" s="168">
        <v>26.84017725813252</v>
      </c>
      <c r="D67" s="165">
        <v>26.956885747479721</v>
      </c>
      <c r="E67" s="168">
        <v>26.927132249223803</v>
      </c>
      <c r="F67" s="165">
        <v>26.853230375169172</v>
      </c>
      <c r="G67" s="168">
        <v>26.930523211364878</v>
      </c>
      <c r="H67" s="165">
        <v>27.115329747411657</v>
      </c>
      <c r="I67" s="168">
        <v>27.304155842594447</v>
      </c>
      <c r="J67" s="165">
        <v>27.354511475195604</v>
      </c>
      <c r="K67" s="168">
        <v>27.292183476598794</v>
      </c>
      <c r="L67" s="165">
        <v>26.923752722547089</v>
      </c>
      <c r="M67" s="168">
        <v>26.774761247898919</v>
      </c>
      <c r="N67" s="350">
        <v>26.959813225989599</v>
      </c>
      <c r="O67" s="168">
        <v>26.923974848801901</v>
      </c>
    </row>
    <row r="68" spans="1:15" x14ac:dyDescent="0.2">
      <c r="A68" s="41" t="s">
        <v>120</v>
      </c>
      <c r="B68" s="166">
        <v>30.034803121202458</v>
      </c>
      <c r="C68" s="62">
        <v>29.507324752603335</v>
      </c>
      <c r="D68" s="166">
        <v>29.907478474395305</v>
      </c>
      <c r="E68" s="62">
        <v>29.7241490493691</v>
      </c>
      <c r="F68" s="166">
        <v>29.781032399609828</v>
      </c>
      <c r="G68" s="62">
        <v>29.894321003055342</v>
      </c>
      <c r="H68" s="166">
        <v>29.92640069248052</v>
      </c>
      <c r="I68" s="62">
        <v>30.025754226654815</v>
      </c>
      <c r="J68" s="166">
        <v>29.99199067713317</v>
      </c>
      <c r="K68" s="62">
        <v>30.095676012143034</v>
      </c>
      <c r="L68" s="166">
        <v>29.810909827884085</v>
      </c>
      <c r="M68" s="62">
        <v>29.478973903792753</v>
      </c>
      <c r="N68" s="63">
        <v>30.208004506943698</v>
      </c>
      <c r="O68" s="62">
        <v>30.321614477046602</v>
      </c>
    </row>
    <row r="69" spans="1:15" x14ac:dyDescent="0.2">
      <c r="A69" s="41" t="s">
        <v>121</v>
      </c>
      <c r="B69" s="166">
        <v>24.775864802552785</v>
      </c>
      <c r="C69" s="62">
        <v>24.145318200844688</v>
      </c>
      <c r="D69" s="166">
        <v>24.522307174372127</v>
      </c>
      <c r="E69" s="62">
        <v>24.223341412556294</v>
      </c>
      <c r="F69" s="166">
        <v>23.865027859411814</v>
      </c>
      <c r="G69" s="62">
        <v>23.957724287034907</v>
      </c>
      <c r="H69" s="166">
        <v>23.658627872452694</v>
      </c>
      <c r="I69" s="62">
        <v>23.806343529832461</v>
      </c>
      <c r="J69" s="166">
        <v>23.881864181624064</v>
      </c>
      <c r="K69" s="62">
        <v>23.646200514097629</v>
      </c>
      <c r="L69" s="166">
        <v>23.174433260848911</v>
      </c>
      <c r="M69" s="62">
        <v>23.322391750223794</v>
      </c>
      <c r="N69" s="63">
        <v>23.292679985735301</v>
      </c>
      <c r="O69" s="62">
        <v>22.761014290637402</v>
      </c>
    </row>
    <row r="70" spans="1:15" x14ac:dyDescent="0.2">
      <c r="A70" s="41" t="s">
        <v>122</v>
      </c>
      <c r="B70" s="166">
        <v>22.144863026294498</v>
      </c>
      <c r="C70" s="62">
        <v>22.168223831148214</v>
      </c>
      <c r="D70" s="166">
        <v>23.419701182114302</v>
      </c>
      <c r="E70" s="62">
        <v>23.429783478163852</v>
      </c>
      <c r="F70" s="166">
        <v>23.399951717522686</v>
      </c>
      <c r="G70" s="62">
        <v>23.734689871207117</v>
      </c>
      <c r="H70" s="166">
        <v>23.766500406733861</v>
      </c>
      <c r="I70" s="62">
        <v>24.011160587438884</v>
      </c>
      <c r="J70" s="166">
        <v>24.431748729150907</v>
      </c>
      <c r="K70" s="62">
        <v>24.505444271662313</v>
      </c>
      <c r="L70" s="166">
        <v>24.249144659805637</v>
      </c>
      <c r="M70" s="62">
        <v>23.822835312740217</v>
      </c>
      <c r="N70" s="63">
        <v>23.8782176439823</v>
      </c>
      <c r="O70" s="62">
        <v>23.9470820828552</v>
      </c>
    </row>
    <row r="71" spans="1:15" x14ac:dyDescent="0.2">
      <c r="A71" s="41" t="s">
        <v>123</v>
      </c>
      <c r="B71" s="166">
        <v>21.975669407992172</v>
      </c>
      <c r="C71" s="62">
        <v>21.676392550901092</v>
      </c>
      <c r="D71" s="166">
        <v>21.549333460787903</v>
      </c>
      <c r="E71" s="62">
        <v>21.540593355834694</v>
      </c>
      <c r="F71" s="166">
        <v>21.442840730787065</v>
      </c>
      <c r="G71" s="62">
        <v>21.376258361086862</v>
      </c>
      <c r="H71" s="166">
        <v>21.691594518021134</v>
      </c>
      <c r="I71" s="62">
        <v>21.6053124031443</v>
      </c>
      <c r="J71" s="166">
        <v>21.939467098042488</v>
      </c>
      <c r="K71" s="62">
        <v>21.587454097780515</v>
      </c>
      <c r="L71" s="166">
        <v>21.713907679185475</v>
      </c>
      <c r="M71" s="62">
        <v>21.852450890092644</v>
      </c>
      <c r="N71" s="63">
        <v>22.0072863141</v>
      </c>
      <c r="O71" s="62">
        <v>21.9485231467484</v>
      </c>
    </row>
    <row r="72" spans="1:15" x14ac:dyDescent="0.2">
      <c r="A72" s="349" t="s">
        <v>124</v>
      </c>
      <c r="B72" s="166">
        <v>30.168059939106268</v>
      </c>
      <c r="C72" s="62">
        <v>29.9632927671753</v>
      </c>
      <c r="D72" s="166">
        <v>29.674647611021026</v>
      </c>
      <c r="E72" s="62">
        <v>29.821069330910177</v>
      </c>
      <c r="F72" s="166">
        <v>29.793937245614313</v>
      </c>
      <c r="G72" s="62">
        <v>29.857242097822628</v>
      </c>
      <c r="H72" s="166">
        <v>30.302294142732901</v>
      </c>
      <c r="I72" s="62">
        <v>30.682197539950653</v>
      </c>
      <c r="J72" s="166">
        <v>30.500456342941618</v>
      </c>
      <c r="K72" s="62">
        <v>30.513474716992025</v>
      </c>
      <c r="L72" s="166">
        <v>29.871435530678099</v>
      </c>
      <c r="M72" s="62">
        <v>29.611195390146559</v>
      </c>
      <c r="N72" s="352">
        <v>29.609941514482099</v>
      </c>
      <c r="O72" s="169">
        <v>29.664848569247599</v>
      </c>
    </row>
    <row r="73" spans="1:15" x14ac:dyDescent="0.2">
      <c r="A73" s="53" t="s">
        <v>125</v>
      </c>
      <c r="B73" s="165">
        <v>28.408743738882798</v>
      </c>
      <c r="C73" s="168">
        <v>28.516538871368954</v>
      </c>
      <c r="D73" s="165">
        <v>28.676802606647531</v>
      </c>
      <c r="E73" s="168">
        <v>28.41314580117723</v>
      </c>
      <c r="F73" s="165">
        <v>28.206908114690862</v>
      </c>
      <c r="G73" s="168">
        <v>28.695931357959072</v>
      </c>
      <c r="H73" s="165">
        <v>28.939309160099853</v>
      </c>
      <c r="I73" s="168">
        <v>29.138615438807211</v>
      </c>
      <c r="J73" s="165">
        <v>28.803537800567511</v>
      </c>
      <c r="K73" s="168">
        <v>28.956084475292968</v>
      </c>
      <c r="L73" s="165">
        <v>28.73248524128109</v>
      </c>
      <c r="M73" s="168">
        <v>28.222147747735963</v>
      </c>
      <c r="N73" s="353">
        <v>28.330092152858299</v>
      </c>
      <c r="O73" s="64">
        <v>28.475471698661799</v>
      </c>
    </row>
    <row r="74" spans="1:15" x14ac:dyDescent="0.2">
      <c r="A74" s="41" t="s">
        <v>126</v>
      </c>
      <c r="B74" s="166">
        <v>20.541317272780688</v>
      </c>
      <c r="C74" s="62">
        <v>20.33229315741146</v>
      </c>
      <c r="D74" s="166">
        <v>20.440938992438483</v>
      </c>
      <c r="E74" s="62">
        <v>20.410481758294157</v>
      </c>
      <c r="F74" s="166">
        <v>19.960916952918275</v>
      </c>
      <c r="G74" s="62">
        <v>20.491924249117282</v>
      </c>
      <c r="H74" s="166">
        <v>20.930392780225006</v>
      </c>
      <c r="I74" s="62">
        <v>20.907911908232034</v>
      </c>
      <c r="J74" s="166">
        <v>20.46840509851069</v>
      </c>
      <c r="K74" s="62">
        <v>20.424059554652928</v>
      </c>
      <c r="L74" s="166">
        <v>20.891352381823467</v>
      </c>
      <c r="M74" s="62">
        <v>20.97961565738181</v>
      </c>
      <c r="N74" s="63">
        <v>20.981984345838601</v>
      </c>
      <c r="O74" s="62">
        <v>21.0527475258191</v>
      </c>
    </row>
    <row r="75" spans="1:15" x14ac:dyDescent="0.2">
      <c r="A75" s="41" t="s">
        <v>127</v>
      </c>
      <c r="B75" s="166">
        <v>36.243698581267566</v>
      </c>
      <c r="C75" s="62">
        <v>36.461066277054336</v>
      </c>
      <c r="D75" s="166">
        <v>36.458252529349735</v>
      </c>
      <c r="E75" s="62">
        <v>35.939128763066037</v>
      </c>
      <c r="F75" s="166">
        <v>35.510149396166312</v>
      </c>
      <c r="G75" s="62">
        <v>35.768760606257203</v>
      </c>
      <c r="H75" s="166">
        <v>35.865553834020318</v>
      </c>
      <c r="I75" s="62">
        <v>35.988762509110529</v>
      </c>
      <c r="J75" s="166">
        <v>36.231157278743225</v>
      </c>
      <c r="K75" s="62">
        <v>36.60415812831188</v>
      </c>
      <c r="L75" s="166">
        <v>35.639174055256433</v>
      </c>
      <c r="M75" s="62">
        <v>35.244745046654245</v>
      </c>
      <c r="N75" s="63">
        <v>35.500366233191798</v>
      </c>
      <c r="O75" s="62">
        <v>36.864999162135</v>
      </c>
    </row>
    <row r="76" spans="1:15" x14ac:dyDescent="0.2">
      <c r="A76" s="41" t="s">
        <v>128</v>
      </c>
      <c r="B76" s="166">
        <v>22.360441167665407</v>
      </c>
      <c r="C76" s="62">
        <v>22.236594118703664</v>
      </c>
      <c r="D76" s="166">
        <v>22.143782642183481</v>
      </c>
      <c r="E76" s="62">
        <v>21.986118272532156</v>
      </c>
      <c r="F76" s="166">
        <v>21.606426338873071</v>
      </c>
      <c r="G76" s="62">
        <v>21.875636233577911</v>
      </c>
      <c r="H76" s="166">
        <v>22.174721765447661</v>
      </c>
      <c r="I76" s="62">
        <v>22.434916357821006</v>
      </c>
      <c r="J76" s="166">
        <v>21.718713228770671</v>
      </c>
      <c r="K76" s="62">
        <v>21.599769512960481</v>
      </c>
      <c r="L76" s="166">
        <v>22.003873577989793</v>
      </c>
      <c r="M76" s="62">
        <v>21.722850223673511</v>
      </c>
      <c r="N76" s="63">
        <v>21.7564100010987</v>
      </c>
      <c r="O76" s="62">
        <v>21.700236567044001</v>
      </c>
    </row>
    <row r="77" spans="1:15" x14ac:dyDescent="0.2">
      <c r="A77" s="41" t="s">
        <v>129</v>
      </c>
      <c r="B77" s="166">
        <v>22.640361011108972</v>
      </c>
      <c r="C77" s="62">
        <v>22.334049535366336</v>
      </c>
      <c r="D77" s="166">
        <v>22.230364185213478</v>
      </c>
      <c r="E77" s="62">
        <v>22.080748896213816</v>
      </c>
      <c r="F77" s="166">
        <v>22.140325675241534</v>
      </c>
      <c r="G77" s="62">
        <v>27.309980821449344</v>
      </c>
      <c r="H77" s="166">
        <v>28.131779324214449</v>
      </c>
      <c r="I77" s="62">
        <v>29.919390628108705</v>
      </c>
      <c r="J77" s="166">
        <v>26.500137546434626</v>
      </c>
      <c r="K77" s="62">
        <v>26.931035266951028</v>
      </c>
      <c r="L77" s="166">
        <v>29.036387628218005</v>
      </c>
      <c r="M77" s="62">
        <v>26.62855701101288</v>
      </c>
      <c r="N77" s="63">
        <v>27.037016351807601</v>
      </c>
      <c r="O77" s="62">
        <v>26.006722076468499</v>
      </c>
    </row>
    <row r="78" spans="1:15" x14ac:dyDescent="0.2">
      <c r="A78" s="41" t="s">
        <v>130</v>
      </c>
      <c r="B78" s="166">
        <v>25.405140322278911</v>
      </c>
      <c r="C78" s="62">
        <v>25.154865171295647</v>
      </c>
      <c r="D78" s="166">
        <v>25.466780480383768</v>
      </c>
      <c r="E78" s="62">
        <v>25.316623007186021</v>
      </c>
      <c r="F78" s="166">
        <v>25.392243716612938</v>
      </c>
      <c r="G78" s="62">
        <v>25.281670471060956</v>
      </c>
      <c r="H78" s="166">
        <v>25.25027069806422</v>
      </c>
      <c r="I78" s="62">
        <v>25.572122149503741</v>
      </c>
      <c r="J78" s="166">
        <v>25.097365223019882</v>
      </c>
      <c r="K78" s="62">
        <v>25.260192991102109</v>
      </c>
      <c r="L78" s="166">
        <v>25.525853648454611</v>
      </c>
      <c r="M78" s="62">
        <v>24.927354071311715</v>
      </c>
      <c r="N78" s="63">
        <v>24.951977526187701</v>
      </c>
      <c r="O78" s="62">
        <v>23.1893314056977</v>
      </c>
    </row>
    <row r="79" spans="1:15" x14ac:dyDescent="0.2">
      <c r="A79" s="41" t="s">
        <v>131</v>
      </c>
      <c r="B79" s="166">
        <v>24.329079818312469</v>
      </c>
      <c r="C79" s="62">
        <v>24.229727600311239</v>
      </c>
      <c r="D79" s="166">
        <v>24.948684904413643</v>
      </c>
      <c r="E79" s="62">
        <v>23.881608082680373</v>
      </c>
      <c r="F79" s="166">
        <v>23.944210933449384</v>
      </c>
      <c r="G79" s="62">
        <v>23.862415137757054</v>
      </c>
      <c r="H79" s="166">
        <v>23.785615500217308</v>
      </c>
      <c r="I79" s="62">
        <v>23.612729753348741</v>
      </c>
      <c r="J79" s="166">
        <v>23.571384245075322</v>
      </c>
      <c r="K79" s="62">
        <v>23.872192457466703</v>
      </c>
      <c r="L79" s="166">
        <v>23.932850287595901</v>
      </c>
      <c r="M79" s="62">
        <v>23.917942257437499</v>
      </c>
      <c r="N79" s="63">
        <v>24.3947418899977</v>
      </c>
      <c r="O79" s="62">
        <v>24.5742544982316</v>
      </c>
    </row>
    <row r="80" spans="1:15" x14ac:dyDescent="0.2">
      <c r="A80" s="41" t="s">
        <v>132</v>
      </c>
      <c r="B80" s="166">
        <v>24.585795684245447</v>
      </c>
      <c r="C80" s="62">
        <v>24.163891016330126</v>
      </c>
      <c r="D80" s="166">
        <v>24.720436555901966</v>
      </c>
      <c r="E80" s="62">
        <v>24.414791646286513</v>
      </c>
      <c r="F80" s="166">
        <v>24.332480454280766</v>
      </c>
      <c r="G80" s="62">
        <v>23.897965395704077</v>
      </c>
      <c r="H80" s="166">
        <v>24.1837322156046</v>
      </c>
      <c r="I80" s="62">
        <v>24.241579357885545</v>
      </c>
      <c r="J80" s="166">
        <v>24.260876709996666</v>
      </c>
      <c r="K80" s="62">
        <v>24.508395465655269</v>
      </c>
      <c r="L80" s="166">
        <v>24.356480018723222</v>
      </c>
      <c r="M80" s="62">
        <v>24.850886713264693</v>
      </c>
      <c r="N80" s="63">
        <v>24.991552966841201</v>
      </c>
      <c r="O80" s="62">
        <v>25.587078867339201</v>
      </c>
    </row>
    <row r="81" spans="1:15" x14ac:dyDescent="0.2">
      <c r="A81" s="41" t="s">
        <v>133</v>
      </c>
      <c r="B81" s="166">
        <v>32.852091844144795</v>
      </c>
      <c r="C81" s="62">
        <v>32.688854224772633</v>
      </c>
      <c r="D81" s="166">
        <v>33.467096479868481</v>
      </c>
      <c r="E81" s="62">
        <v>34.190406015335881</v>
      </c>
      <c r="F81" s="166">
        <v>34.202837536358544</v>
      </c>
      <c r="G81" s="62">
        <v>34.455821462414164</v>
      </c>
      <c r="H81" s="166">
        <v>34.812932942490512</v>
      </c>
      <c r="I81" s="62">
        <v>35.333415485115843</v>
      </c>
      <c r="J81" s="166">
        <v>35.813858719473707</v>
      </c>
      <c r="K81" s="62">
        <v>36.418877656384211</v>
      </c>
      <c r="L81" s="166">
        <v>36.252726109239255</v>
      </c>
      <c r="M81" s="62">
        <v>35.202348765194152</v>
      </c>
      <c r="N81" s="63">
        <v>35.091083483260597</v>
      </c>
      <c r="O81" s="62">
        <v>35.654652609636003</v>
      </c>
    </row>
    <row r="82" spans="1:15" x14ac:dyDescent="0.2">
      <c r="A82" s="41" t="s">
        <v>134</v>
      </c>
      <c r="B82" s="166">
        <v>21.900603344244715</v>
      </c>
      <c r="C82" s="62">
        <v>22.491265794396597</v>
      </c>
      <c r="D82" s="166">
        <v>22.641811210792067</v>
      </c>
      <c r="E82" s="62">
        <v>22.084299461931405</v>
      </c>
      <c r="F82" s="166">
        <v>21.78672287290512</v>
      </c>
      <c r="G82" s="62">
        <v>21.714443368462199</v>
      </c>
      <c r="H82" s="166">
        <v>21.774462872667218</v>
      </c>
      <c r="I82" s="62">
        <v>21.895201176480057</v>
      </c>
      <c r="J82" s="166">
        <v>21.882118837218425</v>
      </c>
      <c r="K82" s="62">
        <v>21.816833291395437</v>
      </c>
      <c r="L82" s="166">
        <v>21.625436012312392</v>
      </c>
      <c r="M82" s="62">
        <v>22.142424935270483</v>
      </c>
      <c r="N82" s="63">
        <v>22.1766654024273</v>
      </c>
      <c r="O82" s="62">
        <v>22.040337170089899</v>
      </c>
    </row>
    <row r="83" spans="1:15" x14ac:dyDescent="0.2">
      <c r="A83" s="41" t="s">
        <v>135</v>
      </c>
      <c r="B83" s="166">
        <v>25.457128361207985</v>
      </c>
      <c r="C83" s="62">
        <v>25.491306784123534</v>
      </c>
      <c r="D83" s="166">
        <v>25.492797858702314</v>
      </c>
      <c r="E83" s="62">
        <v>25.712569061194568</v>
      </c>
      <c r="F83" s="166">
        <v>25.536487446179876</v>
      </c>
      <c r="G83" s="62">
        <v>25.964752959740441</v>
      </c>
      <c r="H83" s="166">
        <v>26.065897491942284</v>
      </c>
      <c r="I83" s="62">
        <v>26.233029663165208</v>
      </c>
      <c r="J83" s="166">
        <v>25.054882112537474</v>
      </c>
      <c r="K83" s="62">
        <v>25.043673409568161</v>
      </c>
      <c r="L83" s="166">
        <v>23.730292668383697</v>
      </c>
      <c r="M83" s="62">
        <v>23.249396046291849</v>
      </c>
      <c r="N83" s="63">
        <v>23.265631662652499</v>
      </c>
      <c r="O83" s="62">
        <v>23.159336082480301</v>
      </c>
    </row>
    <row r="84" spans="1:15" x14ac:dyDescent="0.2">
      <c r="A84" s="41" t="s">
        <v>136</v>
      </c>
      <c r="B84" s="166">
        <v>19.751025560295673</v>
      </c>
      <c r="C84" s="62">
        <v>20.419595047616912</v>
      </c>
      <c r="D84" s="166">
        <v>20.482744062599412</v>
      </c>
      <c r="E84" s="62">
        <v>20.57974372251422</v>
      </c>
      <c r="F84" s="166">
        <v>20.35344434254365</v>
      </c>
      <c r="G84" s="62">
        <v>20.47339037580333</v>
      </c>
      <c r="H84" s="166">
        <v>20.597028289238043</v>
      </c>
      <c r="I84" s="62">
        <v>20.620971938220702</v>
      </c>
      <c r="J84" s="166">
        <v>20.677257241618786</v>
      </c>
      <c r="K84" s="62">
        <v>20.576576505271738</v>
      </c>
      <c r="L84" s="166">
        <v>20.332336104082369</v>
      </c>
      <c r="M84" s="62">
        <v>20.407731980275866</v>
      </c>
      <c r="N84" s="63">
        <v>20.4110251006962</v>
      </c>
      <c r="O84" s="62">
        <v>20.319468522501101</v>
      </c>
    </row>
    <row r="85" spans="1:15" x14ac:dyDescent="0.2">
      <c r="A85" s="41" t="s">
        <v>137</v>
      </c>
      <c r="B85" s="166">
        <v>40.510349522716837</v>
      </c>
      <c r="C85" s="62">
        <v>41.180971307125517</v>
      </c>
      <c r="D85" s="166">
        <v>41.222231901269346</v>
      </c>
      <c r="E85" s="62">
        <v>39.848751484545772</v>
      </c>
      <c r="F85" s="166">
        <v>39.66997229862065</v>
      </c>
      <c r="G85" s="62">
        <v>39.707965695024548</v>
      </c>
      <c r="H85" s="166">
        <v>40.421028930156339</v>
      </c>
      <c r="I85" s="62">
        <v>39.551648003136606</v>
      </c>
      <c r="J85" s="166">
        <v>39.732398167161314</v>
      </c>
      <c r="K85" s="62">
        <v>39.170837878064532</v>
      </c>
      <c r="L85" s="166">
        <v>39.095730468320248</v>
      </c>
      <c r="M85" s="62">
        <v>37.411226594686752</v>
      </c>
      <c r="N85" s="63">
        <v>37.260557927853199</v>
      </c>
      <c r="O85" s="62">
        <v>37.142704397336402</v>
      </c>
    </row>
    <row r="86" spans="1:15" x14ac:dyDescent="0.2">
      <c r="A86" s="348" t="s">
        <v>138</v>
      </c>
      <c r="B86" s="165">
        <v>28.782126055041488</v>
      </c>
      <c r="C86" s="168">
        <v>28.497745259512744</v>
      </c>
      <c r="D86" s="165">
        <v>28.916928261761953</v>
      </c>
      <c r="E86" s="168">
        <v>28.832219886912103</v>
      </c>
      <c r="F86" s="165">
        <v>28.743792593095634</v>
      </c>
      <c r="G86" s="168">
        <v>29.017400049058793</v>
      </c>
      <c r="H86" s="165">
        <v>29.182505646394393</v>
      </c>
      <c r="I86" s="168">
        <v>29.331575053882414</v>
      </c>
      <c r="J86" s="165">
        <v>29.697245851785663</v>
      </c>
      <c r="K86" s="168">
        <v>29.702503436887042</v>
      </c>
      <c r="L86" s="165">
        <v>29.642594674195212</v>
      </c>
      <c r="M86" s="168">
        <v>29.194355209471713</v>
      </c>
      <c r="N86" s="350">
        <v>29.382529540097199</v>
      </c>
      <c r="O86" s="168">
        <v>29.4251407067256</v>
      </c>
    </row>
    <row r="87" spans="1:15" x14ac:dyDescent="0.2">
      <c r="A87" s="41" t="s">
        <v>139</v>
      </c>
      <c r="B87" s="166">
        <v>21.340217384946488</v>
      </c>
      <c r="C87" s="62">
        <v>21.001420353560224</v>
      </c>
      <c r="D87" s="166">
        <v>21.698448811285996</v>
      </c>
      <c r="E87" s="62">
        <v>21.368011380325719</v>
      </c>
      <c r="F87" s="166">
        <v>21.071658462427731</v>
      </c>
      <c r="G87" s="62">
        <v>21.625687020608591</v>
      </c>
      <c r="H87" s="166">
        <v>21.895049429221348</v>
      </c>
      <c r="I87" s="62">
        <v>21.946841705066422</v>
      </c>
      <c r="J87" s="166">
        <v>21.607079454995887</v>
      </c>
      <c r="K87" s="62">
        <v>22.006019317220137</v>
      </c>
      <c r="L87" s="166">
        <v>21.831189657796227</v>
      </c>
      <c r="M87" s="62">
        <v>21.8539561150018</v>
      </c>
      <c r="N87" s="63">
        <v>22.0924626440571</v>
      </c>
      <c r="O87" s="62">
        <v>21.8889465645236</v>
      </c>
    </row>
    <row r="88" spans="1:15" x14ac:dyDescent="0.2">
      <c r="A88" s="41" t="s">
        <v>140</v>
      </c>
      <c r="B88" s="166">
        <v>21.112862905857781</v>
      </c>
      <c r="C88" s="62">
        <v>20.960764729854208</v>
      </c>
      <c r="D88" s="166">
        <v>21.962361080390732</v>
      </c>
      <c r="E88" s="62">
        <v>22.279657772120647</v>
      </c>
      <c r="F88" s="166">
        <v>22.277637320512753</v>
      </c>
      <c r="G88" s="62">
        <v>23.715120011132047</v>
      </c>
      <c r="H88" s="166">
        <v>23.203200665741846</v>
      </c>
      <c r="I88" s="62">
        <v>23.442770648492218</v>
      </c>
      <c r="J88" s="166">
        <v>23.719344655859089</v>
      </c>
      <c r="K88" s="62">
        <v>23.272435117823864</v>
      </c>
      <c r="L88" s="166">
        <v>23.160630337361525</v>
      </c>
      <c r="M88" s="62">
        <v>22.491120608056935</v>
      </c>
      <c r="N88" s="63">
        <v>23.119183922677198</v>
      </c>
      <c r="O88" s="62">
        <v>23.2116239429686</v>
      </c>
    </row>
    <row r="89" spans="1:15" x14ac:dyDescent="0.2">
      <c r="A89" s="41" t="s">
        <v>141</v>
      </c>
      <c r="B89" s="166">
        <v>34.587251384280172</v>
      </c>
      <c r="C89" s="62">
        <v>34.361484402596766</v>
      </c>
      <c r="D89" s="166">
        <v>34.286060154988085</v>
      </c>
      <c r="E89" s="62">
        <v>34.172429589151086</v>
      </c>
      <c r="F89" s="166">
        <v>33.612117099111948</v>
      </c>
      <c r="G89" s="62">
        <v>33.846858839188044</v>
      </c>
      <c r="H89" s="166">
        <v>34.075751589989515</v>
      </c>
      <c r="I89" s="62">
        <v>34.281087895920066</v>
      </c>
      <c r="J89" s="166">
        <v>34.51171786009381</v>
      </c>
      <c r="K89" s="62">
        <v>34.386736092147594</v>
      </c>
      <c r="L89" s="166">
        <v>34.262250749452747</v>
      </c>
      <c r="M89" s="62">
        <v>33.698004684413704</v>
      </c>
      <c r="N89" s="63">
        <v>33.868764044038798</v>
      </c>
      <c r="O89" s="62">
        <v>34.014953691583699</v>
      </c>
    </row>
    <row r="90" spans="1:15" x14ac:dyDescent="0.2">
      <c r="A90" s="41" t="s">
        <v>142</v>
      </c>
      <c r="B90" s="166">
        <v>34.954185960018009</v>
      </c>
      <c r="C90" s="62">
        <v>35.443898959620135</v>
      </c>
      <c r="D90" s="166">
        <v>35.422622285413134</v>
      </c>
      <c r="E90" s="62">
        <v>35.753542313577306</v>
      </c>
      <c r="F90" s="166">
        <v>35.484989230951214</v>
      </c>
      <c r="G90" s="62">
        <v>35.414018686738395</v>
      </c>
      <c r="H90" s="166">
        <v>35.194488212972217</v>
      </c>
      <c r="I90" s="62">
        <v>35.872944002176276</v>
      </c>
      <c r="J90" s="166">
        <v>35.322506663163701</v>
      </c>
      <c r="K90" s="62">
        <v>35.074206090970897</v>
      </c>
      <c r="L90" s="166">
        <v>35.223093528127905</v>
      </c>
      <c r="M90" s="62">
        <v>34.260277007155452</v>
      </c>
      <c r="N90" s="63">
        <v>34.558754313048901</v>
      </c>
      <c r="O90" s="62">
        <v>34.7049236122011</v>
      </c>
    </row>
    <row r="91" spans="1:15" x14ac:dyDescent="0.2">
      <c r="A91" s="41" t="s">
        <v>143</v>
      </c>
      <c r="B91" s="166">
        <v>25.818748715524048</v>
      </c>
      <c r="C91" s="62">
        <v>25.53887649427055</v>
      </c>
      <c r="D91" s="166">
        <v>25.38898867071018</v>
      </c>
      <c r="E91" s="62">
        <v>25.222444258328384</v>
      </c>
      <c r="F91" s="166">
        <v>25.021753021614902</v>
      </c>
      <c r="G91" s="62">
        <v>24.922557266830268</v>
      </c>
      <c r="H91" s="166">
        <v>25.094570752859262</v>
      </c>
      <c r="I91" s="62">
        <v>25.483423828580452</v>
      </c>
      <c r="J91" s="166">
        <v>25.805153565226789</v>
      </c>
      <c r="K91" s="62">
        <v>25.897175289404796</v>
      </c>
      <c r="L91" s="166">
        <v>26.122288325086387</v>
      </c>
      <c r="M91" s="62">
        <v>25.519815568787592</v>
      </c>
      <c r="N91" s="63">
        <v>26.054056924273599</v>
      </c>
      <c r="O91" s="62">
        <v>25.826407596464101</v>
      </c>
    </row>
    <row r="92" spans="1:15" x14ac:dyDescent="0.2">
      <c r="A92" s="41" t="s">
        <v>144</v>
      </c>
      <c r="B92" s="166">
        <v>23.052606798139998</v>
      </c>
      <c r="C92" s="62">
        <v>23.076871467628859</v>
      </c>
      <c r="D92" s="166">
        <v>23.801468673771065</v>
      </c>
      <c r="E92" s="62">
        <v>23.888098219269128</v>
      </c>
      <c r="F92" s="166">
        <v>23.446381744758423</v>
      </c>
      <c r="G92" s="62">
        <v>23.613929326016414</v>
      </c>
      <c r="H92" s="166">
        <v>23.771602006942562</v>
      </c>
      <c r="I92" s="62">
        <v>24.035805869708408</v>
      </c>
      <c r="J92" s="166">
        <v>24.827189760285858</v>
      </c>
      <c r="K92" s="62">
        <v>25.121258111864851</v>
      </c>
      <c r="L92" s="166">
        <v>24.494394672790705</v>
      </c>
      <c r="M92" s="62">
        <v>24.225607828870469</v>
      </c>
      <c r="N92" s="63">
        <v>24.050268067355901</v>
      </c>
      <c r="O92" s="62">
        <v>23.720477526835801</v>
      </c>
    </row>
    <row r="93" spans="1:15" x14ac:dyDescent="0.2">
      <c r="A93" s="41" t="s">
        <v>145</v>
      </c>
      <c r="B93" s="166">
        <v>20.886916895764791</v>
      </c>
      <c r="C93" s="62">
        <v>20.743666943655796</v>
      </c>
      <c r="D93" s="166">
        <v>21.24583306244622</v>
      </c>
      <c r="E93" s="62">
        <v>20.898614739601634</v>
      </c>
      <c r="F93" s="166">
        <v>21.196756717490455</v>
      </c>
      <c r="G93" s="62">
        <v>20.984448628627717</v>
      </c>
      <c r="H93" s="166">
        <v>21.205962078107365</v>
      </c>
      <c r="I93" s="62">
        <v>21.173898932354529</v>
      </c>
      <c r="J93" s="166">
        <v>21.367411771420496</v>
      </c>
      <c r="K93" s="62">
        <v>21.365320358370582</v>
      </c>
      <c r="L93" s="166">
        <v>21.404243738021055</v>
      </c>
      <c r="M93" s="62">
        <v>21.491558420289813</v>
      </c>
      <c r="N93" s="63">
        <v>21.709151355170501</v>
      </c>
      <c r="O93" s="62">
        <v>21.788736900720298</v>
      </c>
    </row>
    <row r="94" spans="1:15" x14ac:dyDescent="0.2">
      <c r="A94" s="41" t="s">
        <v>146</v>
      </c>
      <c r="B94" s="166">
        <v>20.813139685247148</v>
      </c>
      <c r="C94" s="62">
        <v>20.784694663674486</v>
      </c>
      <c r="D94" s="166">
        <v>21.517234163886879</v>
      </c>
      <c r="E94" s="62">
        <v>21.133770733825848</v>
      </c>
      <c r="F94" s="166">
        <v>20.756315845378968</v>
      </c>
      <c r="G94" s="62">
        <v>20.896345540997043</v>
      </c>
      <c r="H94" s="166">
        <v>21.054751202264562</v>
      </c>
      <c r="I94" s="62">
        <v>21.100845902102495</v>
      </c>
      <c r="J94" s="166">
        <v>21.350842447594406</v>
      </c>
      <c r="K94" s="62">
        <v>21.344848507660636</v>
      </c>
      <c r="L94" s="166">
        <v>21.391601728270562</v>
      </c>
      <c r="M94" s="62">
        <v>21.52515580235308</v>
      </c>
      <c r="N94" s="63">
        <v>21.368391094754301</v>
      </c>
      <c r="O94" s="62">
        <v>21.4880690276763</v>
      </c>
    </row>
    <row r="95" spans="1:15" x14ac:dyDescent="0.2">
      <c r="A95" s="41" t="s">
        <v>147</v>
      </c>
      <c r="B95" s="166">
        <v>39.501124101074296</v>
      </c>
      <c r="C95" s="62">
        <v>39.046495230198595</v>
      </c>
      <c r="D95" s="166">
        <v>39.301729357474436</v>
      </c>
      <c r="E95" s="62">
        <v>39.028186783452284</v>
      </c>
      <c r="F95" s="166">
        <v>38.904862923076102</v>
      </c>
      <c r="G95" s="62">
        <v>38.802779356821162</v>
      </c>
      <c r="H95" s="166">
        <v>39.393165933311202</v>
      </c>
      <c r="I95" s="62">
        <v>39.097414118052562</v>
      </c>
      <c r="J95" s="166">
        <v>40.02181802127874</v>
      </c>
      <c r="K95" s="62">
        <v>39.901052759752709</v>
      </c>
      <c r="L95" s="166">
        <v>39.76736753399247</v>
      </c>
      <c r="M95" s="62">
        <v>38.889349411551528</v>
      </c>
      <c r="N95" s="63">
        <v>38.838636698347599</v>
      </c>
      <c r="O95" s="62">
        <v>38.742244530138599</v>
      </c>
    </row>
    <row r="96" spans="1:15" x14ac:dyDescent="0.2">
      <c r="A96" s="41" t="s">
        <v>148</v>
      </c>
      <c r="B96" s="166">
        <v>26.440538218025949</v>
      </c>
      <c r="C96" s="62">
        <v>26.484329558778015</v>
      </c>
      <c r="D96" s="166">
        <v>26.795677701722838</v>
      </c>
      <c r="E96" s="62">
        <v>26.596487700747137</v>
      </c>
      <c r="F96" s="166">
        <v>26.50034014386177</v>
      </c>
      <c r="G96" s="62">
        <v>26.687171814452107</v>
      </c>
      <c r="H96" s="166">
        <v>25.662816088381817</v>
      </c>
      <c r="I96" s="62">
        <v>26.785423757717108</v>
      </c>
      <c r="J96" s="166">
        <v>26.298938103597017</v>
      </c>
      <c r="K96" s="62">
        <v>26.570726721785078</v>
      </c>
      <c r="L96" s="166">
        <v>26.316870241610605</v>
      </c>
      <c r="M96" s="62">
        <v>26.145446515597381</v>
      </c>
      <c r="N96" s="63">
        <v>26.089545758039201</v>
      </c>
      <c r="O96" s="62">
        <v>26.210955974680498</v>
      </c>
    </row>
    <row r="97" spans="1:15" x14ac:dyDescent="0.2">
      <c r="A97" s="41" t="s">
        <v>149</v>
      </c>
      <c r="B97" s="166">
        <v>20.676846307507759</v>
      </c>
      <c r="C97" s="62">
        <v>20.144262951102036</v>
      </c>
      <c r="D97" s="166">
        <v>21.003146561657886</v>
      </c>
      <c r="E97" s="62">
        <v>20.86085598196447</v>
      </c>
      <c r="F97" s="166">
        <v>20.619332067378004</v>
      </c>
      <c r="G97" s="62">
        <v>20.961476823320371</v>
      </c>
      <c r="H97" s="166">
        <v>20.782253703993561</v>
      </c>
      <c r="I97" s="62">
        <v>20.874247576981499</v>
      </c>
      <c r="J97" s="166">
        <v>20.827922222272452</v>
      </c>
      <c r="K97" s="62">
        <v>21.277674425101527</v>
      </c>
      <c r="L97" s="166">
        <v>21.22781889319743</v>
      </c>
      <c r="M97" s="62">
        <v>21.489851591416059</v>
      </c>
      <c r="N97" s="63">
        <v>21.554248479582998</v>
      </c>
      <c r="O97" s="62">
        <v>21.3097412034098</v>
      </c>
    </row>
    <row r="98" spans="1:15" x14ac:dyDescent="0.2">
      <c r="A98" s="41" t="s">
        <v>150</v>
      </c>
      <c r="B98" s="166">
        <v>21.571426668571338</v>
      </c>
      <c r="C98" s="62">
        <v>21.43001362851324</v>
      </c>
      <c r="D98" s="166">
        <v>22.059131855033463</v>
      </c>
      <c r="E98" s="62">
        <v>22.069260917016646</v>
      </c>
      <c r="F98" s="166">
        <v>22.061855812235414</v>
      </c>
      <c r="G98" s="62">
        <v>21.739692212480481</v>
      </c>
      <c r="H98" s="166">
        <v>22.020295312759163</v>
      </c>
      <c r="I98" s="62">
        <v>22.181841616336026</v>
      </c>
      <c r="J98" s="166">
        <v>22.08908882428603</v>
      </c>
      <c r="K98" s="62">
        <v>22.531442614716273</v>
      </c>
      <c r="L98" s="166">
        <v>22.540718303644098</v>
      </c>
      <c r="M98" s="62">
        <v>22.223341126512683</v>
      </c>
      <c r="N98" s="63">
        <v>22.355220226507299</v>
      </c>
      <c r="O98" s="62">
        <v>22.349437155324299</v>
      </c>
    </row>
    <row r="99" spans="1:15" x14ac:dyDescent="0.2">
      <c r="A99" s="41" t="s">
        <v>151</v>
      </c>
      <c r="B99" s="166">
        <v>23.212840535495634</v>
      </c>
      <c r="C99" s="62">
        <v>21.427119395737154</v>
      </c>
      <c r="D99" s="166">
        <v>22.08447559493472</v>
      </c>
      <c r="E99" s="62">
        <v>22.051406967869156</v>
      </c>
      <c r="F99" s="166">
        <v>23.86500553774092</v>
      </c>
      <c r="G99" s="62">
        <v>23.694407856126361</v>
      </c>
      <c r="H99" s="166">
        <v>23.990276821896483</v>
      </c>
      <c r="I99" s="62">
        <v>24.196886220411177</v>
      </c>
      <c r="J99" s="166">
        <v>24.956464505750091</v>
      </c>
      <c r="K99" s="62">
        <v>24.849817561689456</v>
      </c>
      <c r="L99" s="166">
        <v>24.829255082180534</v>
      </c>
      <c r="M99" s="62">
        <v>24.671820359324553</v>
      </c>
      <c r="N99" s="352">
        <v>24.450657441908401</v>
      </c>
      <c r="O99" s="169">
        <v>25.235889100910001</v>
      </c>
    </row>
    <row r="100" spans="1:15" x14ac:dyDescent="0.2">
      <c r="A100" s="348" t="s">
        <v>152</v>
      </c>
      <c r="B100" s="165">
        <v>25.500166640519442</v>
      </c>
      <c r="C100" s="168">
        <v>25.26857311244126</v>
      </c>
      <c r="D100" s="165">
        <v>25.218017738213504</v>
      </c>
      <c r="E100" s="168">
        <v>25.320446846601335</v>
      </c>
      <c r="F100" s="165">
        <v>25.188712540373206</v>
      </c>
      <c r="G100" s="168">
        <v>25.263685648123875</v>
      </c>
      <c r="H100" s="165">
        <v>25.507174523485382</v>
      </c>
      <c r="I100" s="168">
        <v>25.446412357926391</v>
      </c>
      <c r="J100" s="165">
        <v>25.40351480094882</v>
      </c>
      <c r="K100" s="168">
        <v>25.435933225005673</v>
      </c>
      <c r="L100" s="165">
        <v>25.134732490096752</v>
      </c>
      <c r="M100" s="168">
        <v>25.044179415038553</v>
      </c>
      <c r="N100" s="350">
        <v>25.1415012189096</v>
      </c>
      <c r="O100" s="168">
        <v>25.1151661319998</v>
      </c>
    </row>
    <row r="101" spans="1:15" x14ac:dyDescent="0.2">
      <c r="A101" s="41" t="s">
        <v>153</v>
      </c>
      <c r="B101" s="166">
        <v>30.191158075704234</v>
      </c>
      <c r="C101" s="62">
        <v>30.092997245430631</v>
      </c>
      <c r="D101" s="166">
        <v>29.856555847179152</v>
      </c>
      <c r="E101" s="62">
        <v>29.635799155398157</v>
      </c>
      <c r="F101" s="166">
        <v>29.45597989549319</v>
      </c>
      <c r="G101" s="62">
        <v>29.514923949823917</v>
      </c>
      <c r="H101" s="166">
        <v>29.735717332733323</v>
      </c>
      <c r="I101" s="62">
        <v>29.283231066985568</v>
      </c>
      <c r="J101" s="166">
        <v>29.057754289257073</v>
      </c>
      <c r="K101" s="62">
        <v>28.901552231943985</v>
      </c>
      <c r="L101" s="166">
        <v>28.419751988293878</v>
      </c>
      <c r="M101" s="62">
        <v>28.598928228192499</v>
      </c>
      <c r="N101" s="63">
        <v>28.915690602611502</v>
      </c>
      <c r="O101" s="62">
        <v>29.197627778700699</v>
      </c>
    </row>
    <row r="102" spans="1:15" x14ac:dyDescent="0.2">
      <c r="A102" s="41" t="s">
        <v>154</v>
      </c>
      <c r="B102" s="166">
        <v>26.502952805867643</v>
      </c>
      <c r="C102" s="62">
        <v>25.936677827975561</v>
      </c>
      <c r="D102" s="166">
        <v>25.998109699735039</v>
      </c>
      <c r="E102" s="62">
        <v>26.625797027045174</v>
      </c>
      <c r="F102" s="166">
        <v>26.492252682374694</v>
      </c>
      <c r="G102" s="62">
        <v>26.56275226400416</v>
      </c>
      <c r="H102" s="166">
        <v>26.727784953090662</v>
      </c>
      <c r="I102" s="62">
        <v>26.752857782674692</v>
      </c>
      <c r="J102" s="166">
        <v>26.55885651475295</v>
      </c>
      <c r="K102" s="62">
        <v>26.443365252575784</v>
      </c>
      <c r="L102" s="166">
        <v>26.164219700924303</v>
      </c>
      <c r="M102" s="62">
        <v>25.663569635709248</v>
      </c>
      <c r="N102" s="63">
        <v>25.771580653604801</v>
      </c>
      <c r="O102" s="62">
        <v>25.825630120522298</v>
      </c>
    </row>
    <row r="103" spans="1:15" x14ac:dyDescent="0.2">
      <c r="A103" s="41" t="s">
        <v>155</v>
      </c>
      <c r="B103" s="166">
        <v>20.961305136310546</v>
      </c>
      <c r="C103" s="62">
        <v>20.736299082610945</v>
      </c>
      <c r="D103" s="166">
        <v>20.841472373945198</v>
      </c>
      <c r="E103" s="62">
        <v>21.04526820948432</v>
      </c>
      <c r="F103" s="166">
        <v>21.077823785260595</v>
      </c>
      <c r="G103" s="62">
        <v>21.302533845227</v>
      </c>
      <c r="H103" s="166">
        <v>21.383935009394811</v>
      </c>
      <c r="I103" s="62">
        <v>22.547270285661273</v>
      </c>
      <c r="J103" s="166">
        <v>24.2905384948678</v>
      </c>
      <c r="K103" s="62">
        <v>24.183464781037895</v>
      </c>
      <c r="L103" s="166">
        <v>24.199913062191978</v>
      </c>
      <c r="M103" s="62">
        <v>24.579601611015871</v>
      </c>
      <c r="N103" s="63">
        <v>23.189817020394301</v>
      </c>
      <c r="O103" s="62">
        <v>22.719701627397001</v>
      </c>
    </row>
    <row r="104" spans="1:15" x14ac:dyDescent="0.2">
      <c r="A104" s="41" t="s">
        <v>156</v>
      </c>
      <c r="B104" s="166">
        <v>23.957798433888161</v>
      </c>
      <c r="C104" s="62">
        <v>23.746507284297646</v>
      </c>
      <c r="D104" s="166">
        <v>23.738946162001305</v>
      </c>
      <c r="E104" s="62">
        <v>23.781783949574208</v>
      </c>
      <c r="F104" s="166">
        <v>23.75281167669463</v>
      </c>
      <c r="G104" s="62">
        <v>23.720699453040893</v>
      </c>
      <c r="H104" s="166">
        <v>24.162925967872166</v>
      </c>
      <c r="I104" s="62">
        <v>24.236676180020329</v>
      </c>
      <c r="J104" s="166">
        <v>24.248663531098853</v>
      </c>
      <c r="K104" s="62">
        <v>25.229269017299316</v>
      </c>
      <c r="L104" s="166">
        <v>25.221908599534682</v>
      </c>
      <c r="M104" s="62">
        <v>25.47919185768442</v>
      </c>
      <c r="N104" s="63">
        <v>25.570442917758999</v>
      </c>
      <c r="O104" s="62">
        <v>24.7948723766307</v>
      </c>
    </row>
    <row r="105" spans="1:15" x14ac:dyDescent="0.2">
      <c r="A105" s="41" t="s">
        <v>157</v>
      </c>
      <c r="B105" s="166">
        <v>18.379374547844783</v>
      </c>
      <c r="C105" s="62">
        <v>18.193064620719543</v>
      </c>
      <c r="D105" s="166">
        <v>18.236917391921203</v>
      </c>
      <c r="E105" s="62">
        <v>18.351474219011791</v>
      </c>
      <c r="F105" s="166">
        <v>18.111131726394266</v>
      </c>
      <c r="G105" s="62">
        <v>18.149849610358348</v>
      </c>
      <c r="H105" s="166">
        <v>18.305756416824938</v>
      </c>
      <c r="I105" s="62">
        <v>18.226822211500664</v>
      </c>
      <c r="J105" s="166">
        <v>17.872475673128388</v>
      </c>
      <c r="K105" s="62">
        <v>17.731274055269406</v>
      </c>
      <c r="L105" s="166">
        <v>17.405236604022846</v>
      </c>
      <c r="M105" s="62">
        <v>16.75575559934509</v>
      </c>
      <c r="N105" s="352">
        <v>17.016006002784</v>
      </c>
      <c r="O105" s="169">
        <v>17.017889153667099</v>
      </c>
    </row>
    <row r="106" spans="1:15" x14ac:dyDescent="0.2">
      <c r="A106" s="348" t="s">
        <v>158</v>
      </c>
      <c r="B106" s="165">
        <v>30.451554089116122</v>
      </c>
      <c r="C106" s="168">
        <v>30.148005987852855</v>
      </c>
      <c r="D106" s="165">
        <v>30.251226003200884</v>
      </c>
      <c r="E106" s="168">
        <v>30.199523272237528</v>
      </c>
      <c r="F106" s="165">
        <v>30.255355187065906</v>
      </c>
      <c r="G106" s="168">
        <v>30.073170971010722</v>
      </c>
      <c r="H106" s="165">
        <v>30.123744267901529</v>
      </c>
      <c r="I106" s="168">
        <v>30.498707902931603</v>
      </c>
      <c r="J106" s="165">
        <v>30.549908234584258</v>
      </c>
      <c r="K106" s="168">
        <v>30.6262583495567</v>
      </c>
      <c r="L106" s="165">
        <v>30.715030716270885</v>
      </c>
      <c r="M106" s="168">
        <v>30.86670533541421</v>
      </c>
      <c r="N106" s="350">
        <v>31.197134849945598</v>
      </c>
      <c r="O106" s="168">
        <v>31.862516987698601</v>
      </c>
    </row>
    <row r="107" spans="1:15" x14ac:dyDescent="0.2">
      <c r="A107" s="41" t="s">
        <v>159</v>
      </c>
      <c r="B107" s="166">
        <v>24.22070959943726</v>
      </c>
      <c r="C107" s="62">
        <v>24.07486837252948</v>
      </c>
      <c r="D107" s="166">
        <v>25.277951952540466</v>
      </c>
      <c r="E107" s="62">
        <v>24.889580678499936</v>
      </c>
      <c r="F107" s="166">
        <v>24.494001995142906</v>
      </c>
      <c r="G107" s="62">
        <v>24.847002789963028</v>
      </c>
      <c r="H107" s="166">
        <v>23.376931167502885</v>
      </c>
      <c r="I107" s="62">
        <v>24.536124248973529</v>
      </c>
      <c r="J107" s="166">
        <v>24.157510088558443</v>
      </c>
      <c r="K107" s="62">
        <v>23.952658791427925</v>
      </c>
      <c r="L107" s="166">
        <v>23.284241454181018</v>
      </c>
      <c r="M107" s="62">
        <v>23.538433462855945</v>
      </c>
      <c r="N107" s="63">
        <v>24.1384348284273</v>
      </c>
      <c r="O107" s="62">
        <v>24.075863338162399</v>
      </c>
    </row>
    <row r="108" spans="1:15" x14ac:dyDescent="0.2">
      <c r="A108" s="41" t="s">
        <v>160</v>
      </c>
      <c r="B108" s="166">
        <v>26.315120814473708</v>
      </c>
      <c r="C108" s="62">
        <v>26.14001586667964</v>
      </c>
      <c r="D108" s="166">
        <v>26.657738033367981</v>
      </c>
      <c r="E108" s="62">
        <v>26.610896362078254</v>
      </c>
      <c r="F108" s="166">
        <v>26.808458332293291</v>
      </c>
      <c r="G108" s="62">
        <v>26.917183081091085</v>
      </c>
      <c r="H108" s="166">
        <v>27.05731206614033</v>
      </c>
      <c r="I108" s="62">
        <v>27.451715443837973</v>
      </c>
      <c r="J108" s="166">
        <v>27.537696703899634</v>
      </c>
      <c r="K108" s="62">
        <v>27.492276490234925</v>
      </c>
      <c r="L108" s="166">
        <v>27.538619760142922</v>
      </c>
      <c r="M108" s="62">
        <v>27.145270320937897</v>
      </c>
      <c r="N108" s="63">
        <v>27.299751900457998</v>
      </c>
      <c r="O108" s="62">
        <v>27.635893384662999</v>
      </c>
    </row>
    <row r="109" spans="1:15" x14ac:dyDescent="0.2">
      <c r="A109" s="41" t="s">
        <v>161</v>
      </c>
      <c r="B109" s="166">
        <v>35.573230618775078</v>
      </c>
      <c r="C109" s="62">
        <v>35.374348345182177</v>
      </c>
      <c r="D109" s="166">
        <v>35.460465239793507</v>
      </c>
      <c r="E109" s="62">
        <v>35.415899956501256</v>
      </c>
      <c r="F109" s="166">
        <v>35.647662500079804</v>
      </c>
      <c r="G109" s="62">
        <v>35.536569599054019</v>
      </c>
      <c r="H109" s="166">
        <v>35.717743143114795</v>
      </c>
      <c r="I109" s="62">
        <v>36.098258395985027</v>
      </c>
      <c r="J109" s="166">
        <v>36.21323033349379</v>
      </c>
      <c r="K109" s="62">
        <v>36.332906838410921</v>
      </c>
      <c r="L109" s="166">
        <v>36.610705539311049</v>
      </c>
      <c r="M109" s="62">
        <v>36.723094462743049</v>
      </c>
      <c r="N109" s="63">
        <v>37.201224207916603</v>
      </c>
      <c r="O109" s="62">
        <v>37.635261093901399</v>
      </c>
    </row>
    <row r="110" spans="1:15" x14ac:dyDescent="0.2">
      <c r="A110" s="41" t="s">
        <v>162</v>
      </c>
      <c r="B110" s="166">
        <v>29.122408246167893</v>
      </c>
      <c r="C110" s="62">
        <v>26.914206757178931</v>
      </c>
      <c r="D110" s="166">
        <v>26.784383834725563</v>
      </c>
      <c r="E110" s="62">
        <v>26.724120040089019</v>
      </c>
      <c r="F110" s="166">
        <v>26.271434871847418</v>
      </c>
      <c r="G110" s="62">
        <v>26.340351365345018</v>
      </c>
      <c r="H110" s="166">
        <v>26.416412079168179</v>
      </c>
      <c r="I110" s="62">
        <v>26.6970263637979</v>
      </c>
      <c r="J110" s="166">
        <v>27.509997375282119</v>
      </c>
      <c r="K110" s="62">
        <v>27.728792136587504</v>
      </c>
      <c r="L110" s="166">
        <v>27.729176278816333</v>
      </c>
      <c r="M110" s="62">
        <v>27.982122702295158</v>
      </c>
      <c r="N110" s="63">
        <v>28.254605372570602</v>
      </c>
      <c r="O110" s="62">
        <v>27.755019365378899</v>
      </c>
    </row>
    <row r="111" spans="1:15" x14ac:dyDescent="0.2">
      <c r="A111" s="41" t="s">
        <v>163</v>
      </c>
      <c r="B111" s="166">
        <v>28.708015288557135</v>
      </c>
      <c r="C111" s="62">
        <v>28.207452040449052</v>
      </c>
      <c r="D111" s="166">
        <v>27.848325951564618</v>
      </c>
      <c r="E111" s="62">
        <v>27.800089165593047</v>
      </c>
      <c r="F111" s="166">
        <v>27.552247711093582</v>
      </c>
      <c r="G111" s="62">
        <v>26.781062048296992</v>
      </c>
      <c r="H111" s="166">
        <v>26.675753021136362</v>
      </c>
      <c r="I111" s="62">
        <v>26.979192538241829</v>
      </c>
      <c r="J111" s="166">
        <v>27.139811797426749</v>
      </c>
      <c r="K111" s="62">
        <v>26.694593562703339</v>
      </c>
      <c r="L111" s="166">
        <v>26.616287948748653</v>
      </c>
      <c r="M111" s="62">
        <v>27.534080411231603</v>
      </c>
      <c r="N111" s="411">
        <v>27.793658194797999</v>
      </c>
      <c r="O111" s="410">
        <v>29.780107815975999</v>
      </c>
    </row>
    <row r="112" spans="1:15" x14ac:dyDescent="0.2">
      <c r="A112" s="349" t="s">
        <v>164</v>
      </c>
      <c r="B112" s="166">
        <v>25.516464002388286</v>
      </c>
      <c r="C112" s="62">
        <v>25.35736377375807</v>
      </c>
      <c r="D112" s="166">
        <v>25.298668838682769</v>
      </c>
      <c r="E112" s="62">
        <v>25.297188485999929</v>
      </c>
      <c r="F112" s="166">
        <v>25.282823461233185</v>
      </c>
      <c r="G112" s="62">
        <v>25.123684213851487</v>
      </c>
      <c r="H112" s="166">
        <v>25.337851560628152</v>
      </c>
      <c r="I112" s="62">
        <v>25.582557065103099</v>
      </c>
      <c r="J112" s="166">
        <v>25.01935808558877</v>
      </c>
      <c r="K112" s="62">
        <v>26.274401810802914</v>
      </c>
      <c r="L112" s="166">
        <v>26.397382516587072</v>
      </c>
      <c r="M112" s="62">
        <v>26.285141834095121</v>
      </c>
      <c r="N112" s="63">
        <v>26.510153234335299</v>
      </c>
      <c r="O112" s="62">
        <v>26.599145207370601</v>
      </c>
    </row>
    <row r="113" spans="1:15" x14ac:dyDescent="0.2">
      <c r="A113" s="52" t="s">
        <v>165</v>
      </c>
      <c r="B113" s="358">
        <v>30.945564592710358</v>
      </c>
      <c r="C113" s="347">
        <v>30.651904363153697</v>
      </c>
      <c r="D113" s="358">
        <v>30.728295997846544</v>
      </c>
      <c r="E113" s="347">
        <v>30.668990560861165</v>
      </c>
      <c r="F113" s="358">
        <v>30.639291569835969</v>
      </c>
      <c r="G113" s="347">
        <v>30.745508210130478</v>
      </c>
      <c r="H113" s="358">
        <v>30.99209924083971</v>
      </c>
      <c r="I113" s="347">
        <v>31.182402222283752</v>
      </c>
      <c r="J113" s="358">
        <v>31.240164068023848</v>
      </c>
      <c r="K113" s="347">
        <v>31.414916355221774</v>
      </c>
      <c r="L113" s="358">
        <v>31.321885139722767</v>
      </c>
      <c r="M113" s="347">
        <v>30.933885736052943</v>
      </c>
      <c r="N113" s="350">
        <v>31.173178615266298</v>
      </c>
      <c r="O113" s="409">
        <v>31.360193256690401</v>
      </c>
    </row>
    <row r="114" spans="1:15" s="181" customFormat="1" x14ac:dyDescent="0.2">
      <c r="A114" s="348" t="s">
        <v>166</v>
      </c>
      <c r="B114" s="356">
        <v>35.398798542089459</v>
      </c>
      <c r="C114" s="64">
        <v>34.828104893766472</v>
      </c>
      <c r="D114" s="356">
        <v>35.347446687909837</v>
      </c>
      <c r="E114" s="64">
        <v>35.674969496355629</v>
      </c>
      <c r="F114" s="356">
        <v>35.723939103251055</v>
      </c>
      <c r="G114" s="64">
        <v>35.7179216116186</v>
      </c>
      <c r="H114" s="356">
        <v>36.259330832696548</v>
      </c>
      <c r="I114" s="64">
        <v>36.592453729913039</v>
      </c>
      <c r="J114" s="356">
        <v>37.294109348062143</v>
      </c>
      <c r="K114" s="64">
        <v>37.902076157709487</v>
      </c>
      <c r="L114" s="356">
        <v>37.790922862781699</v>
      </c>
      <c r="M114" s="64">
        <v>38.160200873691558</v>
      </c>
      <c r="N114" s="350">
        <v>38.539100388639802</v>
      </c>
      <c r="O114" s="409">
        <v>38.370886885352398</v>
      </c>
    </row>
    <row r="115" spans="1:15" x14ac:dyDescent="0.2">
      <c r="A115" s="41" t="s">
        <v>167</v>
      </c>
      <c r="B115" s="166">
        <v>36.715396567663092</v>
      </c>
      <c r="C115" s="62">
        <v>36.474046219865464</v>
      </c>
      <c r="D115" s="166">
        <v>36.792979458342764</v>
      </c>
      <c r="E115" s="62">
        <v>36.908997383963175</v>
      </c>
      <c r="F115" s="166">
        <v>36.815841842535448</v>
      </c>
      <c r="G115" s="62">
        <v>37.008065520929065</v>
      </c>
      <c r="H115" s="166">
        <v>37.24693268361208</v>
      </c>
      <c r="I115" s="62">
        <v>37.54650935987528</v>
      </c>
      <c r="J115" s="166">
        <v>38.743567800517653</v>
      </c>
      <c r="K115" s="62">
        <v>39.049380920627748</v>
      </c>
      <c r="L115" s="166">
        <v>38.250822982174299</v>
      </c>
      <c r="M115" s="62">
        <v>39.333784729874282</v>
      </c>
      <c r="N115" s="63">
        <v>39.197840742166299</v>
      </c>
      <c r="O115" s="410">
        <v>39.266099971870801</v>
      </c>
    </row>
    <row r="116" spans="1:15" x14ac:dyDescent="0.2">
      <c r="A116" s="41" t="s">
        <v>168</v>
      </c>
      <c r="B116" s="166">
        <v>34.930583589491846</v>
      </c>
      <c r="C116" s="62">
        <v>34.633616847004127</v>
      </c>
      <c r="D116" s="166">
        <v>35.622591512895966</v>
      </c>
      <c r="E116" s="62">
        <v>36.813570931947595</v>
      </c>
      <c r="F116" s="166">
        <v>36.453526641120504</v>
      </c>
      <c r="G116" s="62">
        <v>36.498622161945633</v>
      </c>
      <c r="H116" s="166">
        <v>36.973618306418125</v>
      </c>
      <c r="I116" s="62">
        <v>37.216316627948089</v>
      </c>
      <c r="J116" s="166">
        <v>36.539029003885354</v>
      </c>
      <c r="K116" s="62">
        <v>38.062695309932181</v>
      </c>
      <c r="L116" s="166">
        <v>38.21107579868842</v>
      </c>
      <c r="M116" s="62">
        <v>37.990893850069362</v>
      </c>
      <c r="N116" s="63">
        <v>38.596069800609598</v>
      </c>
      <c r="O116" s="410">
        <v>37.335129789933603</v>
      </c>
    </row>
    <row r="117" spans="1:15" x14ac:dyDescent="0.2">
      <c r="A117" s="41" t="s">
        <v>169</v>
      </c>
      <c r="B117" s="166">
        <v>40.456337405009059</v>
      </c>
      <c r="C117" s="62">
        <v>40.944949144875622</v>
      </c>
      <c r="D117" s="166">
        <v>41.554914796035895</v>
      </c>
      <c r="E117" s="62">
        <v>41.434407385085684</v>
      </c>
      <c r="F117" s="166">
        <v>42.821552190808006</v>
      </c>
      <c r="G117" s="62">
        <v>42.44023334007391</v>
      </c>
      <c r="H117" s="166">
        <v>43.15491975050621</v>
      </c>
      <c r="I117" s="62">
        <v>43.820067181590453</v>
      </c>
      <c r="J117" s="166">
        <v>45.006091881186407</v>
      </c>
      <c r="K117" s="62">
        <v>45.559305437226008</v>
      </c>
      <c r="L117" s="166">
        <v>44.774511652350682</v>
      </c>
      <c r="M117" s="62">
        <v>44.039492637785557</v>
      </c>
      <c r="N117" s="63">
        <v>45.0909530664144</v>
      </c>
      <c r="O117" s="410">
        <v>45.538491007477198</v>
      </c>
    </row>
    <row r="118" spans="1:15" x14ac:dyDescent="0.2">
      <c r="A118" s="349" t="s">
        <v>170</v>
      </c>
      <c r="B118" s="167">
        <v>33.5293219216016</v>
      </c>
      <c r="C118" s="169">
        <v>32.37697547666383</v>
      </c>
      <c r="D118" s="167">
        <v>32.724675216539389</v>
      </c>
      <c r="E118" s="169">
        <v>32.871908069068027</v>
      </c>
      <c r="F118" s="167">
        <v>32.757348847123218</v>
      </c>
      <c r="G118" s="169">
        <v>32.719606993417138</v>
      </c>
      <c r="H118" s="167">
        <v>33.288442766813603</v>
      </c>
      <c r="I118" s="169">
        <v>33.516394207353557</v>
      </c>
      <c r="J118" s="167">
        <v>34.450222749510459</v>
      </c>
      <c r="K118" s="169">
        <v>34.817726327391334</v>
      </c>
      <c r="L118" s="167">
        <v>35.097157446162498</v>
      </c>
      <c r="M118" s="169">
        <v>35.798115129208675</v>
      </c>
      <c r="N118" s="352">
        <v>36.091386085895998</v>
      </c>
      <c r="O118" s="412">
        <v>36.063484899712698</v>
      </c>
    </row>
    <row r="119" spans="1:15" ht="14.25" x14ac:dyDescent="0.2">
      <c r="A119" s="54" t="s">
        <v>171</v>
      </c>
      <c r="B119" s="354">
        <v>31.072662039944049</v>
      </c>
      <c r="C119" s="355">
        <v>30.770527852557951</v>
      </c>
      <c r="D119" s="357">
        <v>30.85913545711264</v>
      </c>
      <c r="E119" s="355">
        <v>30.810713342547331</v>
      </c>
      <c r="F119" s="357">
        <v>30.782958209187228</v>
      </c>
      <c r="G119" s="355">
        <v>30.885934443122434</v>
      </c>
      <c r="H119" s="357">
        <v>31.142047434087345</v>
      </c>
      <c r="I119" s="354">
        <v>31.336691612882653</v>
      </c>
      <c r="J119" s="354">
        <v>31.4105983769348</v>
      </c>
      <c r="K119" s="354">
        <v>31.597212597093247</v>
      </c>
      <c r="L119" s="354">
        <v>31.503768881497489</v>
      </c>
      <c r="M119" s="355">
        <v>31.137952543288602</v>
      </c>
      <c r="N119" s="170">
        <v>31.381167345118701</v>
      </c>
      <c r="O119" s="413">
        <v>31.557790326733102</v>
      </c>
    </row>
    <row r="120" spans="1:15" x14ac:dyDescent="0.2">
      <c r="A120" s="122" t="s">
        <v>10</v>
      </c>
      <c r="B120" s="65"/>
      <c r="C120" s="65"/>
      <c r="D120" s="65"/>
      <c r="E120" s="65"/>
      <c r="F120" s="66"/>
      <c r="G120" s="35"/>
      <c r="H120" s="65"/>
      <c r="I120" s="65"/>
      <c r="J120" s="35"/>
      <c r="K120" s="35"/>
      <c r="L120" s="35"/>
    </row>
    <row r="121" spans="1:15" x14ac:dyDescent="0.2">
      <c r="A121" s="122" t="s">
        <v>239</v>
      </c>
      <c r="B121" s="67"/>
      <c r="C121" s="67"/>
      <c r="D121" s="67"/>
      <c r="E121" s="67"/>
      <c r="F121" s="35"/>
      <c r="G121" s="35"/>
      <c r="H121" s="67"/>
      <c r="I121" s="67"/>
      <c r="J121" s="35"/>
      <c r="K121" s="35"/>
      <c r="L121" s="35"/>
    </row>
    <row r="122" spans="1:15" x14ac:dyDescent="0.2">
      <c r="A122" s="364" t="s">
        <v>172</v>
      </c>
      <c r="B122" s="35"/>
      <c r="C122" s="35"/>
      <c r="D122" s="35"/>
      <c r="E122" s="35"/>
      <c r="F122" s="35"/>
      <c r="G122" s="35"/>
      <c r="H122" s="35"/>
      <c r="I122" s="35"/>
      <c r="J122" s="35"/>
      <c r="K122" s="35"/>
      <c r="L122" s="35"/>
    </row>
    <row r="123" spans="1:15" x14ac:dyDescent="0.2">
      <c r="A123" s="365" t="s">
        <v>248</v>
      </c>
      <c r="B123" s="190"/>
      <c r="C123" s="190"/>
      <c r="D123" s="190"/>
      <c r="E123" s="190"/>
      <c r="F123" s="190"/>
      <c r="G123" s="190"/>
      <c r="H123" s="190"/>
      <c r="I123" s="190"/>
      <c r="J123" s="190"/>
      <c r="K123" s="190"/>
      <c r="L123" s="190"/>
    </row>
    <row r="124" spans="1:15" x14ac:dyDescent="0.2">
      <c r="A124" s="402" t="s">
        <v>283</v>
      </c>
    </row>
    <row r="128" spans="1:15" x14ac:dyDescent="0.2">
      <c r="E128" s="331"/>
    </row>
    <row r="130" spans="5:5" x14ac:dyDescent="0.2">
      <c r="E130" s="333"/>
    </row>
    <row r="131" spans="5:5" x14ac:dyDescent="0.2">
      <c r="E131" s="335"/>
    </row>
    <row r="132" spans="5:5" x14ac:dyDescent="0.2">
      <c r="E132" s="335"/>
    </row>
    <row r="133" spans="5:5" x14ac:dyDescent="0.2">
      <c r="E133" s="335"/>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29"/>
  <sheetViews>
    <sheetView showGridLines="0" zoomScaleNormal="100" workbookViewId="0">
      <pane xSplit="1" ySplit="3" topLeftCell="B4" activePane="bottomRight" state="frozen"/>
      <selection pane="topRight" activeCell="B1" sqref="B1"/>
      <selection pane="bottomLeft" activeCell="A4" sqref="A4"/>
      <selection pane="bottomRight"/>
    </sheetView>
  </sheetViews>
  <sheetFormatPr baseColWidth="10" defaultRowHeight="12.75" x14ac:dyDescent="0.2"/>
  <cols>
    <col min="1" max="1" width="33.7109375" style="58" customWidth="1"/>
    <col min="2" max="10" width="16.5703125" style="58" customWidth="1"/>
    <col min="11" max="16384" width="11.42578125" style="58"/>
  </cols>
  <sheetData>
    <row r="1" spans="1:10" x14ac:dyDescent="0.2">
      <c r="A1" s="59" t="s">
        <v>280</v>
      </c>
      <c r="B1" s="59"/>
      <c r="C1" s="59"/>
      <c r="D1" s="59"/>
      <c r="E1" s="59"/>
      <c r="F1" s="59"/>
      <c r="G1" s="59"/>
      <c r="H1" s="59"/>
      <c r="I1" s="59"/>
      <c r="J1" s="59"/>
    </row>
    <row r="2" spans="1:10" x14ac:dyDescent="0.2">
      <c r="A2" s="85" t="s">
        <v>28</v>
      </c>
      <c r="B2" s="59"/>
      <c r="C2" s="59"/>
      <c r="D2" s="59"/>
      <c r="E2" s="59"/>
      <c r="F2" s="59"/>
      <c r="G2" s="59"/>
      <c r="H2" s="59"/>
      <c r="I2" s="59"/>
      <c r="J2" s="59"/>
    </row>
    <row r="3" spans="1:10" ht="102" x14ac:dyDescent="0.2">
      <c r="A3" s="86" t="s">
        <v>0</v>
      </c>
      <c r="B3" s="87" t="s">
        <v>173</v>
      </c>
      <c r="C3" s="87" t="s">
        <v>174</v>
      </c>
      <c r="D3" s="87" t="s">
        <v>175</v>
      </c>
      <c r="E3" s="87" t="s">
        <v>17</v>
      </c>
      <c r="F3" s="87" t="s">
        <v>14</v>
      </c>
      <c r="G3" s="87" t="s">
        <v>176</v>
      </c>
      <c r="H3" s="87" t="s">
        <v>177</v>
      </c>
      <c r="I3" s="87" t="s">
        <v>178</v>
      </c>
      <c r="J3" s="88" t="s">
        <v>179</v>
      </c>
    </row>
    <row r="4" spans="1:10" x14ac:dyDescent="0.2">
      <c r="A4" s="89" t="s">
        <v>56</v>
      </c>
      <c r="B4" s="171">
        <v>135.71899999999999</v>
      </c>
      <c r="C4" s="171">
        <v>17.295999999999999</v>
      </c>
      <c r="D4" s="171">
        <v>13.787000000000001</v>
      </c>
      <c r="E4" s="171">
        <v>8.9719999999999995</v>
      </c>
      <c r="F4" s="171">
        <v>4.3470000000000004</v>
      </c>
      <c r="G4" s="171">
        <v>4.266</v>
      </c>
      <c r="H4" s="171">
        <v>3.7109999999999999</v>
      </c>
      <c r="I4" s="171">
        <v>2.1819999999999999</v>
      </c>
      <c r="J4" s="171">
        <v>190.28</v>
      </c>
    </row>
    <row r="5" spans="1:10" x14ac:dyDescent="0.2">
      <c r="A5" s="90" t="s">
        <v>69</v>
      </c>
      <c r="B5" s="172">
        <v>45.354999999999997</v>
      </c>
      <c r="C5" s="172">
        <v>5.423</v>
      </c>
      <c r="D5" s="172">
        <v>4.6970000000000001</v>
      </c>
      <c r="E5" s="172">
        <v>5.2110000000000003</v>
      </c>
      <c r="F5" s="172">
        <v>1.052</v>
      </c>
      <c r="G5" s="172">
        <v>1.589</v>
      </c>
      <c r="H5" s="172">
        <v>2.073</v>
      </c>
      <c r="I5" s="172">
        <v>0.80800000000000005</v>
      </c>
      <c r="J5" s="172">
        <v>66.207999999999998</v>
      </c>
    </row>
    <row r="6" spans="1:10" x14ac:dyDescent="0.2">
      <c r="A6" s="90" t="s">
        <v>78</v>
      </c>
      <c r="B6" s="172">
        <v>53.292000000000002</v>
      </c>
      <c r="C6" s="172">
        <v>6.984</v>
      </c>
      <c r="D6" s="172">
        <v>5.2220000000000004</v>
      </c>
      <c r="E6" s="172">
        <v>3.46</v>
      </c>
      <c r="F6" s="172">
        <v>8.23</v>
      </c>
      <c r="G6" s="172">
        <v>3.032</v>
      </c>
      <c r="H6" s="172">
        <v>2.4910000000000001</v>
      </c>
      <c r="I6" s="172">
        <v>0.76600000000000001</v>
      </c>
      <c r="J6" s="172">
        <v>83.477000000000004</v>
      </c>
    </row>
    <row r="7" spans="1:10" s="26" customFormat="1" x14ac:dyDescent="0.2">
      <c r="A7" s="188" t="s">
        <v>83</v>
      </c>
      <c r="B7" s="189">
        <v>40.923000000000002</v>
      </c>
      <c r="C7" s="189">
        <v>4.7140000000000004</v>
      </c>
      <c r="D7" s="189">
        <v>3.7589999999999999</v>
      </c>
      <c r="E7" s="189">
        <v>2.8839999999999999</v>
      </c>
      <c r="F7" s="189">
        <v>4.2249999999999996</v>
      </c>
      <c r="G7" s="189">
        <v>1.1719999999999999</v>
      </c>
      <c r="H7" s="189">
        <v>1.1619999999999999</v>
      </c>
      <c r="I7" s="189">
        <v>0.628</v>
      </c>
      <c r="J7" s="189">
        <v>59.466999999999999</v>
      </c>
    </row>
    <row r="8" spans="1:10" x14ac:dyDescent="0.2">
      <c r="A8" s="90" t="s">
        <v>90</v>
      </c>
      <c r="B8" s="172">
        <v>5.1449999999999996</v>
      </c>
      <c r="C8" s="172">
        <v>1.2609999999999999</v>
      </c>
      <c r="D8" s="172">
        <v>0.73799999999999999</v>
      </c>
      <c r="E8" s="172">
        <v>0.67900000000000005</v>
      </c>
      <c r="F8" s="172">
        <v>0.16500000000000001</v>
      </c>
      <c r="G8" s="172">
        <v>0.54600000000000004</v>
      </c>
      <c r="H8" s="172">
        <v>0.23799999999999999</v>
      </c>
      <c r="I8" s="172">
        <v>0.192</v>
      </c>
      <c r="J8" s="172">
        <v>8.9640000000000004</v>
      </c>
    </row>
    <row r="9" spans="1:10" x14ac:dyDescent="0.2">
      <c r="A9" s="90" t="s">
        <v>93</v>
      </c>
      <c r="B9" s="172">
        <v>91.308999999999997</v>
      </c>
      <c r="C9" s="172">
        <v>14.65</v>
      </c>
      <c r="D9" s="172">
        <v>9.0730000000000004</v>
      </c>
      <c r="E9" s="172">
        <v>8.266</v>
      </c>
      <c r="F9" s="172">
        <v>4.8040000000000003</v>
      </c>
      <c r="G9" s="172">
        <v>3.5379999999999998</v>
      </c>
      <c r="H9" s="172">
        <v>1.9059999999999999</v>
      </c>
      <c r="I9" s="172">
        <v>1.524</v>
      </c>
      <c r="J9" s="172">
        <v>135.07</v>
      </c>
    </row>
    <row r="10" spans="1:10" x14ac:dyDescent="0.2">
      <c r="A10" s="90" t="s">
        <v>104</v>
      </c>
      <c r="B10" s="172">
        <v>111.182</v>
      </c>
      <c r="C10" s="172">
        <v>16.161999999999999</v>
      </c>
      <c r="D10" s="172">
        <v>8.9390000000000001</v>
      </c>
      <c r="E10" s="172">
        <v>9.1660000000000004</v>
      </c>
      <c r="F10" s="172">
        <v>1.42</v>
      </c>
      <c r="G10" s="172">
        <v>2.444</v>
      </c>
      <c r="H10" s="172">
        <v>1.861</v>
      </c>
      <c r="I10" s="172">
        <v>1.4770000000000001</v>
      </c>
      <c r="J10" s="172">
        <v>152.65100000000001</v>
      </c>
    </row>
    <row r="11" spans="1:10" x14ac:dyDescent="0.2">
      <c r="A11" s="90" t="s">
        <v>110</v>
      </c>
      <c r="B11" s="172">
        <v>217.86600000000001</v>
      </c>
      <c r="C11" s="172">
        <v>70.088999999999999</v>
      </c>
      <c r="D11" s="172">
        <v>40.241</v>
      </c>
      <c r="E11" s="172">
        <v>21.777999999999999</v>
      </c>
      <c r="F11" s="172">
        <v>17.047000000000001</v>
      </c>
      <c r="G11" s="172">
        <v>11.06</v>
      </c>
      <c r="H11" s="172">
        <v>3.4870000000000001</v>
      </c>
      <c r="I11" s="172">
        <v>21.698</v>
      </c>
      <c r="J11" s="172">
        <v>403.26600000000002</v>
      </c>
    </row>
    <row r="12" spans="1:10" x14ac:dyDescent="0.2">
      <c r="A12" s="90" t="s">
        <v>119</v>
      </c>
      <c r="B12" s="172">
        <v>54.625</v>
      </c>
      <c r="C12" s="172">
        <v>6.5069999999999997</v>
      </c>
      <c r="D12" s="172">
        <v>5.359</v>
      </c>
      <c r="E12" s="172">
        <v>4.2009999999999996</v>
      </c>
      <c r="F12" s="172">
        <v>1.409</v>
      </c>
      <c r="G12" s="172">
        <v>2.0179999999999998</v>
      </c>
      <c r="H12" s="172">
        <v>1.345</v>
      </c>
      <c r="I12" s="172">
        <v>0.81200000000000006</v>
      </c>
      <c r="J12" s="172">
        <v>76.275999999999996</v>
      </c>
    </row>
    <row r="13" spans="1:10" x14ac:dyDescent="0.2">
      <c r="A13" s="90" t="s">
        <v>125</v>
      </c>
      <c r="B13" s="172">
        <v>92.918000000000006</v>
      </c>
      <c r="C13" s="172">
        <v>13.709</v>
      </c>
      <c r="D13" s="172">
        <v>10.132999999999999</v>
      </c>
      <c r="E13" s="172">
        <v>7.3760000000000003</v>
      </c>
      <c r="F13" s="172">
        <v>8.7170000000000005</v>
      </c>
      <c r="G13" s="172">
        <v>4.4320000000000004</v>
      </c>
      <c r="H13" s="172">
        <v>3.35</v>
      </c>
      <c r="I13" s="172">
        <v>1.829</v>
      </c>
      <c r="J13" s="172">
        <v>142.464</v>
      </c>
    </row>
    <row r="14" spans="1:10" x14ac:dyDescent="0.2">
      <c r="A14" s="90" t="s">
        <v>138</v>
      </c>
      <c r="B14" s="172">
        <v>99.14</v>
      </c>
      <c r="C14" s="172">
        <v>12.371</v>
      </c>
      <c r="D14" s="172">
        <v>10.170999999999999</v>
      </c>
      <c r="E14" s="172">
        <v>7.1929999999999996</v>
      </c>
      <c r="F14" s="172">
        <v>2.7519999999999998</v>
      </c>
      <c r="G14" s="172">
        <v>4.7089999999999996</v>
      </c>
      <c r="H14" s="172">
        <v>3.8530000000000002</v>
      </c>
      <c r="I14" s="172">
        <v>1.5509999999999999</v>
      </c>
      <c r="J14" s="172">
        <v>141.74</v>
      </c>
    </row>
    <row r="15" spans="1:10" x14ac:dyDescent="0.2">
      <c r="A15" s="90" t="s">
        <v>152</v>
      </c>
      <c r="B15" s="172">
        <v>60.002000000000002</v>
      </c>
      <c r="C15" s="172">
        <v>5.5039999999999996</v>
      </c>
      <c r="D15" s="172">
        <v>6.1470000000000002</v>
      </c>
      <c r="E15" s="172">
        <v>3.4689999999999999</v>
      </c>
      <c r="F15" s="172">
        <v>1.284</v>
      </c>
      <c r="G15" s="172">
        <v>1.651</v>
      </c>
      <c r="H15" s="172">
        <v>2.3109999999999999</v>
      </c>
      <c r="I15" s="172">
        <v>1.7130000000000001</v>
      </c>
      <c r="J15" s="172">
        <v>82.081000000000003</v>
      </c>
    </row>
    <row r="16" spans="1:10" x14ac:dyDescent="0.2">
      <c r="A16" s="90" t="s">
        <v>158</v>
      </c>
      <c r="B16" s="172">
        <v>85.763999999999996</v>
      </c>
      <c r="C16" s="172">
        <v>19.001000000000001</v>
      </c>
      <c r="D16" s="172">
        <v>8.1129999999999995</v>
      </c>
      <c r="E16" s="172">
        <v>8.3290000000000006</v>
      </c>
      <c r="F16" s="172">
        <v>12.435</v>
      </c>
      <c r="G16" s="172">
        <v>3.2970000000000002</v>
      </c>
      <c r="H16" s="172">
        <v>1.165</v>
      </c>
      <c r="I16" s="172">
        <v>1.5009999999999999</v>
      </c>
      <c r="J16" s="172">
        <v>139.60499999999999</v>
      </c>
    </row>
    <row r="17" spans="1:10" x14ac:dyDescent="0.2">
      <c r="A17" s="91" t="s">
        <v>165</v>
      </c>
      <c r="B17" s="173">
        <v>1093.24</v>
      </c>
      <c r="C17" s="173">
        <v>193.67099999999999</v>
      </c>
      <c r="D17" s="173">
        <v>126.379</v>
      </c>
      <c r="E17" s="173">
        <v>90.983999999999995</v>
      </c>
      <c r="F17" s="173">
        <v>67.887</v>
      </c>
      <c r="G17" s="173">
        <v>43.753999999999998</v>
      </c>
      <c r="H17" s="173">
        <v>28.952999999999999</v>
      </c>
      <c r="I17" s="173">
        <v>36.680999999999997</v>
      </c>
      <c r="J17" s="173">
        <v>1681.549</v>
      </c>
    </row>
    <row r="18" spans="1:10" s="181" customFormat="1" x14ac:dyDescent="0.2">
      <c r="A18" s="177" t="s">
        <v>166</v>
      </c>
      <c r="B18" s="179">
        <v>49.231000000000002</v>
      </c>
      <c r="C18" s="180">
        <v>7.0640000000000001</v>
      </c>
      <c r="D18" s="180">
        <v>3.7709999999999999</v>
      </c>
      <c r="E18" s="180">
        <v>3.48</v>
      </c>
      <c r="F18" s="180">
        <v>0.04</v>
      </c>
      <c r="G18" s="180">
        <v>1.552</v>
      </c>
      <c r="H18" s="180">
        <v>0.75900000000000001</v>
      </c>
      <c r="I18" s="180">
        <v>0.65100000000000002</v>
      </c>
      <c r="J18" s="180">
        <v>66.548000000000002</v>
      </c>
    </row>
    <row r="19" spans="1:10" x14ac:dyDescent="0.2">
      <c r="A19" s="176" t="s">
        <v>167</v>
      </c>
      <c r="B19" s="175">
        <v>8.9120000000000008</v>
      </c>
      <c r="C19" s="172">
        <v>1.623</v>
      </c>
      <c r="D19" s="172">
        <v>1.022</v>
      </c>
      <c r="E19" s="172">
        <v>0.873</v>
      </c>
      <c r="F19" s="172">
        <v>6.0000000000000001E-3</v>
      </c>
      <c r="G19" s="172">
        <v>0.36899999999999999</v>
      </c>
      <c r="H19" s="172">
        <v>0.17299999999999999</v>
      </c>
      <c r="I19" s="172">
        <v>0.17599999999999999</v>
      </c>
      <c r="J19" s="172">
        <v>13.154</v>
      </c>
    </row>
    <row r="20" spans="1:10" x14ac:dyDescent="0.2">
      <c r="A20" s="176" t="s">
        <v>168</v>
      </c>
      <c r="B20" s="175">
        <v>8.0259999999999998</v>
      </c>
      <c r="C20" s="172">
        <v>1.3979999999999999</v>
      </c>
      <c r="D20" s="172">
        <v>1.0169999999999999</v>
      </c>
      <c r="E20" s="172">
        <v>0.78300000000000003</v>
      </c>
      <c r="F20" s="172">
        <v>3.0000000000000001E-3</v>
      </c>
      <c r="G20" s="172">
        <v>0.40500000000000003</v>
      </c>
      <c r="H20" s="172">
        <v>0.188</v>
      </c>
      <c r="I20" s="172">
        <v>0.125</v>
      </c>
      <c r="J20" s="172">
        <v>11.965999999999999</v>
      </c>
    </row>
    <row r="21" spans="1:10" x14ac:dyDescent="0.2">
      <c r="A21" s="176" t="s">
        <v>169</v>
      </c>
      <c r="B21" s="175">
        <v>9.3320000000000007</v>
      </c>
      <c r="C21" s="172">
        <v>1.2629999999999999</v>
      </c>
      <c r="D21" s="172">
        <v>0.48599999999999999</v>
      </c>
      <c r="E21" s="172">
        <v>0.58799999999999997</v>
      </c>
      <c r="F21" s="172">
        <v>1.0999999999999999E-2</v>
      </c>
      <c r="G21" s="172">
        <v>0.38200000000000001</v>
      </c>
      <c r="H21" s="172">
        <v>0.153</v>
      </c>
      <c r="I21" s="172">
        <v>7.0999999999999994E-2</v>
      </c>
      <c r="J21" s="172">
        <v>12.304</v>
      </c>
    </row>
    <row r="22" spans="1:10" x14ac:dyDescent="0.2">
      <c r="A22" s="178" t="s">
        <v>170</v>
      </c>
      <c r="B22" s="281">
        <v>22.960999999999999</v>
      </c>
      <c r="C22" s="282">
        <v>2.78</v>
      </c>
      <c r="D22" s="282">
        <v>1.246</v>
      </c>
      <c r="E22" s="282">
        <v>1.236</v>
      </c>
      <c r="F22" s="282">
        <v>0.02</v>
      </c>
      <c r="G22" s="282">
        <v>0.39600000000000002</v>
      </c>
      <c r="H22" s="282">
        <v>0.245</v>
      </c>
      <c r="I22" s="282">
        <v>0.24</v>
      </c>
      <c r="J22" s="282">
        <v>29.123999999999999</v>
      </c>
    </row>
    <row r="23" spans="1:10" x14ac:dyDescent="0.2">
      <c r="A23" s="111" t="s">
        <v>180</v>
      </c>
      <c r="B23" s="19"/>
      <c r="C23" s="19"/>
      <c r="D23" s="19"/>
      <c r="E23" s="19"/>
      <c r="F23" s="19"/>
      <c r="G23" s="19"/>
      <c r="H23" s="19"/>
      <c r="I23" s="19"/>
      <c r="J23" s="19"/>
    </row>
    <row r="24" spans="1:10" x14ac:dyDescent="0.2">
      <c r="A24" s="111" t="s">
        <v>239</v>
      </c>
    </row>
    <row r="25" spans="1:10" x14ac:dyDescent="0.2">
      <c r="A25" s="360" t="s">
        <v>181</v>
      </c>
    </row>
    <row r="26" spans="1:10" x14ac:dyDescent="0.2">
      <c r="A26" s="414" t="s">
        <v>282</v>
      </c>
    </row>
    <row r="27" spans="1:10" x14ac:dyDescent="0.2">
      <c r="A27" s="174"/>
    </row>
    <row r="28" spans="1:10" x14ac:dyDescent="0.2">
      <c r="A28" s="174"/>
    </row>
    <row r="29" spans="1:10" x14ac:dyDescent="0.2">
      <c r="A29" s="6"/>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12</vt:i4>
      </vt:variant>
    </vt:vector>
  </HeadingPairs>
  <TitlesOfParts>
    <vt:vector size="12" baseType="lpstr">
      <vt:lpstr>SOMMAIRE</vt:lpstr>
      <vt:lpstr>AVERTISSEMENT</vt:lpstr>
      <vt:lpstr>Figure 1 statut</vt:lpstr>
      <vt:lpstr>Figure 2 statut</vt:lpstr>
      <vt:lpstr>Figure 3 statut</vt:lpstr>
      <vt:lpstr>Figure 4 statut</vt:lpstr>
      <vt:lpstr>Figure 5 statut</vt:lpstr>
      <vt:lpstr>Figure 1 catégorie</vt:lpstr>
      <vt:lpstr>Figure 2 catégorie</vt:lpstr>
      <vt:lpstr>Figure 1 loc</vt:lpstr>
      <vt:lpstr>Figure 2 loc</vt:lpstr>
      <vt:lpstr>Figure 3 loc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BARADJI Eva</dc:creator>
  <cp:lastModifiedBy>TOUZE Sarah</cp:lastModifiedBy>
  <cp:lastPrinted>2024-07-12T12:16:38Z</cp:lastPrinted>
  <dcterms:created xsi:type="dcterms:W3CDTF">2012-08-20T12:24:13Z</dcterms:created>
  <dcterms:modified xsi:type="dcterms:W3CDTF">2026-08-17T08:05:47Z</dcterms:modified>
</cp:coreProperties>
</file>