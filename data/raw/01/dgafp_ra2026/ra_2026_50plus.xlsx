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Travaux B3 par thèmes\ 5 Départs à la retraite et retraités\Marronniers\RAPPORT ANNUEL\2026\Pour mise en ligne\"/>
    </mc:Choice>
  </mc:AlternateContent>
  <xr:revisionPtr revIDLastSave="0" documentId="13_ncr:1_{924DE288-63EA-4B81-A321-6C872F8B2766}" xr6:coauthVersionLast="47" xr6:coauthVersionMax="47" xr10:uidLastSave="{00000000-0000-0000-0000-000000000000}"/>
  <bookViews>
    <workbookView xWindow="25080" yWindow="-120" windowWidth="25440" windowHeight="15270" xr2:uid="{00000000-000D-0000-FFFF-FFFF00000000}"/>
  </bookViews>
  <sheets>
    <sheet name="Sommaire" sheetId="12" r:id="rId1"/>
    <sheet name="Figure 1" sheetId="1" r:id="rId2"/>
    <sheet name="Figure 2" sheetId="2" r:id="rId3"/>
    <sheet name="Figure 3" sheetId="3" r:id="rId4"/>
    <sheet name="Figure 4" sheetId="13" r:id="rId5"/>
    <sheet name="Figure 5" sheetId="5" r:id="rId6"/>
    <sheet name="Figure 6" sheetId="4" r:id="rId7"/>
    <sheet name="Figure 7" sheetId="14" r:id="rId8"/>
    <sheet name="Figure 8" sheetId="11" r:id="rId9"/>
    <sheet name="Figure 9" sheetId="7" r:id="rId10"/>
    <sheet name="Figure 10" sheetId="8" r:id="rId11"/>
    <sheet name="Figure 11" sheetId="9" r:id="rId12"/>
    <sheet name="Figure encadré" sheetId="10"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 i="11" l="1"/>
  <c r="E4" i="11" s="1"/>
  <c r="F4" i="11" s="1"/>
  <c r="G4" i="11" s="1"/>
  <c r="H4" i="11" s="1"/>
  <c r="I4" i="11" s="1"/>
  <c r="J4" i="11" s="1"/>
  <c r="K4" i="11" s="1"/>
  <c r="L4" i="11" s="1"/>
  <c r="M4" i="11" s="1"/>
  <c r="N4" i="11" s="1"/>
  <c r="O4" i="11" s="1"/>
  <c r="D4" i="5" l="1"/>
  <c r="E4" i="5" s="1"/>
  <c r="F4" i="5" s="1"/>
  <c r="G4" i="5" s="1"/>
  <c r="H4" i="5" s="1"/>
  <c r="I4" i="5" s="1"/>
  <c r="J4" i="5" s="1"/>
  <c r="K4" i="5" s="1"/>
  <c r="L4" i="5" s="1"/>
  <c r="M4" i="5" s="1"/>
  <c r="N4" i="5" s="1"/>
  <c r="D4" i="10" l="1"/>
  <c r="E4" i="10" s="1"/>
  <c r="F4" i="10" s="1"/>
  <c r="G4" i="10" s="1"/>
  <c r="H4" i="10" s="1"/>
  <c r="I4" i="10" s="1"/>
  <c r="J4" i="10" s="1"/>
</calcChain>
</file>

<file path=xl/sharedStrings.xml><?xml version="1.0" encoding="utf-8"?>
<sst xmlns="http://schemas.openxmlformats.org/spreadsheetml/2006/main" count="238" uniqueCount="96">
  <si>
    <t>Part au sein du versant 
(en %)</t>
  </si>
  <si>
    <t>FPE</t>
  </si>
  <si>
    <t>FPH</t>
  </si>
  <si>
    <t>FPT</t>
  </si>
  <si>
    <t>Ensemble FP</t>
  </si>
  <si>
    <t>Part des femmes 
(en %)</t>
  </si>
  <si>
    <t>Fonctionnaires</t>
  </si>
  <si>
    <t>Contractuels</t>
  </si>
  <si>
    <t>A</t>
  </si>
  <si>
    <t>B</t>
  </si>
  <si>
    <t>C</t>
  </si>
  <si>
    <t>Total</t>
  </si>
  <si>
    <t>Fonction publique</t>
  </si>
  <si>
    <t>Secteur privé</t>
  </si>
  <si>
    <t xml:space="preserve">Figure 5 : Part des 50 ans ou plus au sein des fonctionnaires depuis 2011 </t>
  </si>
  <si>
    <t xml:space="preserve">Figure 2 : Part des 50 ans ou plus dans la fonction publique depuis 2011 </t>
  </si>
  <si>
    <t xml:space="preserve">Ensemble FP
</t>
  </si>
  <si>
    <t>Source : Siasp, Insee. Traitement DGAFP-SDessi.</t>
  </si>
  <si>
    <t>Champ : Emplois principaux au 31 décembre, tous statuts, France (hors Mayotte). Hors bénéficiaires de contrats aidés.</t>
  </si>
  <si>
    <t xml:space="preserve">Champ : Emplois principaux au 31 décembre, France (hors Mayotte). </t>
  </si>
  <si>
    <t>en %</t>
  </si>
  <si>
    <t xml:space="preserve"> en %</t>
  </si>
  <si>
    <t>Militaires</t>
  </si>
  <si>
    <t xml:space="preserve">Nom de la feuille </t>
  </si>
  <si>
    <t>Figure 1</t>
  </si>
  <si>
    <t>oui</t>
  </si>
  <si>
    <t>Figure 2</t>
  </si>
  <si>
    <t>Figure 3</t>
  </si>
  <si>
    <t>Figure 4</t>
  </si>
  <si>
    <t>Figure 5</t>
  </si>
  <si>
    <t>Figure 7</t>
  </si>
  <si>
    <t>Figure 8</t>
  </si>
  <si>
    <t>Figure 9</t>
  </si>
  <si>
    <t>Figure 10</t>
  </si>
  <si>
    <t>Figure encadré : Part des 50 ans ou plus dans la fonction publique et le secteur privé depuis 2014</t>
  </si>
  <si>
    <t>Figure encadré</t>
  </si>
  <si>
    <t>60 ans ou plus</t>
  </si>
  <si>
    <t>Source : Enquêtes Emploi en continu, Insee. Traitement DGAFP-SDessi.</t>
  </si>
  <si>
    <t>Champ : France métropolitaine, salariés du secteur privé et de la fonction publique. Hors entreprises publiques, stagiaires, intérimaires, contrats aidés et apprentis.</t>
  </si>
  <si>
    <t>Fonction publique territoriale (FPT)</t>
  </si>
  <si>
    <t>Fonction publique hospitalière (FPH)</t>
  </si>
  <si>
    <t xml:space="preserve">De 50 à 54 ans </t>
  </si>
  <si>
    <t>De 55 à 59 ans</t>
  </si>
  <si>
    <t>Fonction publique de lʼÉtat (FPE)</t>
  </si>
  <si>
    <t>Figure 1 : Les agents de 50 ans ou plus dans la fonction publique en 2024</t>
  </si>
  <si>
    <t>Évolution des effectifs
(en %)</t>
  </si>
  <si>
    <t xml:space="preserve">Figure 1 : Les agents de 50 ans ou plus dans la fonction publique en 2024 </t>
  </si>
  <si>
    <t>Répartition des effectifs</t>
  </si>
  <si>
    <t>En niveau
(en milliers)</t>
  </si>
  <si>
    <t>En parts 
(en %)</t>
  </si>
  <si>
    <t>Figure 3 : Répartition des agents de 50 ans ou plus par statut, et part des femmes, en 2024</t>
  </si>
  <si>
    <t>Figure 4 : Les fonctionnaires de 50 ans ou plus en 2024</t>
  </si>
  <si>
    <t xml:space="preserve">Figure 4 : Les fonctionnaires de 50 ans ou plus en 2024 </t>
  </si>
  <si>
    <t>Lecture : En 2011, 33 % des fonctionnaires avaient 50 ans ou plus, contre 45 % en 2024. La part des 50 ans ou plus au sein des fonctionnaires a augmenté de 2,3 % en moyenne par an sur la période 2011-2024.</t>
  </si>
  <si>
    <t>Figure 6 : Fonctionnaires de 50 ans ou plus par catégorie hiérarchique, en 2024</t>
  </si>
  <si>
    <t xml:space="preserve">Champ : Emplois principaux au 31 décembre, tous statuts, France (hors Mayotte). </t>
  </si>
  <si>
    <t xml:space="preserve">Figure 7 : Les fonctionnaires de 60 ans ou plus en 2024 </t>
  </si>
  <si>
    <t>Lecture : En 2011, 4 % des fonctionnaires avaient 60 ans ou plus, contre 10 % en 2024. La part des sexagénaires chez les fonctionnaires a augmenté de 7,8 % en moyenne par an sur la période 2011-2024.</t>
  </si>
  <si>
    <t>Figure 8 : Part des 60 ans et plus parmi les fonctionnaires depuis 2011</t>
  </si>
  <si>
    <t>Part dans la catégorie
(en %)</t>
  </si>
  <si>
    <t>Champ : Emplois principaux au 31 décembre, France (hors Mayotte). Hors bénéficiaires de contrats aidés.</t>
  </si>
  <si>
    <t>Figure 9 : Les contractuels de 50 ans ou plus dans la fonction publique en 2024</t>
  </si>
  <si>
    <t xml:space="preserve">Figure 10 : Part des 50 ans ou plus parmi les contractuels de la fonction publique depuis 2011 </t>
  </si>
  <si>
    <t>Lecture : En 2024, parmi les contractuels employés dans la fonction publique et qui ont au moins 50 ans, 40 % ont entre 50 et 54 ans, 33 % entre 55 et 59 ans et les 27 % restants sont âgés de 60 ans ou plus.</t>
  </si>
  <si>
    <t>Figure 11</t>
  </si>
  <si>
    <t>Les agents de 50 ans ou plus dans la fonction publique en 2024</t>
  </si>
  <si>
    <t xml:space="preserve">Contient des données sur l'égalité professionnelle entre les femmes et les hommes </t>
  </si>
  <si>
    <t>Lecture : En 2024, la fonction publique compte 1 695 000 fonctionnaires qui ont 50 ans ou plus. Parmi eux, 63 % sont des femmes. En 2024, le nombre de fonctionnaires de 50 ans ou plus a augmenté de 2,1 %, comme en moyenne par an sur la période 2021-2023, et après 2,3 % en moyenne par an entre 2011 et 2021.</t>
  </si>
  <si>
    <t>Évolution annuelle moyenne entre 2011 
et 2024 
(en %)</t>
  </si>
  <si>
    <t>2. Pour respecter le secret statistique, dans la FPT, les militaires sont regroupés avec les fonctionnaires, et les militaires volontaires avec les contractuels.</t>
  </si>
  <si>
    <t xml:space="preserve">Entre 2023 et 2024 </t>
  </si>
  <si>
    <r>
      <t>Total</t>
    </r>
    <r>
      <rPr>
        <b/>
        <vertAlign val="superscript"/>
        <sz val="10"/>
        <color theme="1"/>
        <rFont val="Arial"/>
        <family val="2"/>
      </rPr>
      <t>1</t>
    </r>
  </si>
  <si>
    <t>1. Y compris les agents dont la catégorie est indéterminée dans Siasp (chaque année, entre 1 % et 2 % des agents et moins de 0,5 % des fonctionnaires).</t>
  </si>
  <si>
    <t>Répartition par tranche dʼâge (en %)</t>
  </si>
  <si>
    <t>Lecture : En 2011, 20 % des contractuels travaillant dans la fonction publique avaient 50 ans ou plus, contre 25 % en 2024. La part des 50 ans ou plus parmi les contractuels a augmenté de 2,0 % en moyenne par an sur la période 2011-2024.</t>
  </si>
  <si>
    <t>Évolution annuelle moyenne entre 2011 
et 2024
(en %)</t>
  </si>
  <si>
    <t>Figure 11 : Répartition des contractuels de la fonction publique de 50 ans ou plus par tranche dʼâge, en 2024</t>
  </si>
  <si>
    <t>Évolution annuelle moyenne entre 2014 
et 2024
(en %)</t>
  </si>
  <si>
    <t xml:space="preserve">Lecture : Entre 2014 et 2024, dans la fonction publique, la part des 50 ans ou plus a augmenté de 
6 points, soit une évolution moyenne annuelle de 1,7 % sur la période.  </t>
  </si>
  <si>
    <t>Figure 7 : Les fonctionnaires de 60 ans ou plus en 2024</t>
  </si>
  <si>
    <t xml:space="preserve">Lecture : En 2024, la fonction publique compte 630 000 fonctionnaires de catégorie A ayant au moins 50 ans. Parmi eux, 44 % ont entre 50 et 54 ans, 
35 % entre 55 et 59 ans et les 21 % restants sont âgés de 60 ans ou plus. Les fonctionnaires de catégorie A âgés dʼau moins 50 ans représentent 40 % de lʼensemble des fonctionnaires de catégorie A et comptent 65 % de femmes.  </t>
  </si>
  <si>
    <t xml:space="preserve">Lecture : En 2024, 2,216 millions d'agents qui travaillent dans la fonction publique ont au moins 50 ans. Parmi eux, 77 % ont le statut de fonctionnaire et 64 % sont des femmes. </t>
  </si>
  <si>
    <t>En moyenne annuelle entre 2021 et 2023</t>
  </si>
  <si>
    <t>En moyenne annuelle entre 2011 et 2021</t>
  </si>
  <si>
    <t>Ensemble fonction publique (FP)</t>
  </si>
  <si>
    <t>Lecture : En 2024, 2 216 000 agents travaillant dans la fonction publique ont 50 ans ou plus, soit 38 % des agents. Parmi eux, 64 % sont des femmes. En 2024, le nombre dʼagents de 50 ans ou plus a augmenté de 2,4 %, après 2,5 % en moyenne par an entre 2021 et 2023, et sur la période 2011-2021.</t>
  </si>
  <si>
    <r>
      <t>Autres catégories et statuts</t>
    </r>
    <r>
      <rPr>
        <vertAlign val="superscript"/>
        <sz val="10"/>
        <rFont val="Arial"/>
        <family val="2"/>
      </rPr>
      <t>1</t>
    </r>
  </si>
  <si>
    <r>
      <t>Fonctionnaires</t>
    </r>
    <r>
      <rPr>
        <vertAlign val="superscript"/>
        <sz val="10"/>
        <rFont val="Arial"/>
        <family val="2"/>
      </rPr>
      <t>2</t>
    </r>
  </si>
  <si>
    <r>
      <t>Contractuels</t>
    </r>
    <r>
      <rPr>
        <vertAlign val="superscript"/>
        <sz val="10"/>
        <rFont val="Arial"/>
        <family val="2"/>
      </rPr>
      <t>2</t>
    </r>
  </si>
  <si>
    <t>1. La catégorie « Autres catégories et statuts » recouvre principalement les enseignants et documentalistes des établissements privés sous contrat et les ouvriers d'État dans la FPE, les assistants maternels et familiaux et les collaborateurs de cabinet dans la FPT, les médecins dans la FPH et les apprentis dans les trois versants.</t>
  </si>
  <si>
    <t>Effectifs
(en milliers)</t>
  </si>
  <si>
    <t>Lecture : En 2011, 30 % des agents travaillant dans la fonction publique avaient 50 ans ou plus, contre 
38 % en 2024. La part des 50 ans ou plus a augmenté de 1,9 % en moyenne par an sur la période 2011-2024.</t>
  </si>
  <si>
    <t>Lecture : En 2024, la fonction publique compte 353 000 contractuels qui ont 50 ans ou plus. Parmi eux, 69 % sont des femmes. Le nombre de contractuels de 50 ans ou plus a augmenté de 5,2 %, après 6,3 % en moyenne par an entre 2021 et 2023, et 4,9 % en moyenne par an sur la période 2011-2021.</t>
  </si>
  <si>
    <t>Figure 8 : Part des 60 ans ou plus parmi les fonctionnaires depuis 2011</t>
  </si>
  <si>
    <t>Lecture : En 2024, la fonction publique compte 379 000 fonctionnaires qui ont 60 ans ou plus. Parmi eux, 63 % sont des femmes. 
En 2024, le nombre de fonctionnaires de 60 ans ou plus a augmenté de 7,6 %, après  4,7 % en moyenne par an entre 2021 et 2023, et 8,4 % en moyenne par an sur la période 2011-2021.</t>
  </si>
  <si>
    <t>Figure : Part des 50 ans ou plus dans la fonction publique et le secteur privé depuis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</si>
</sst>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
    <numFmt numFmtId="167" formatCode="0.00000"/>
    <numFmt numFmtId="168" formatCode="#,##0.0"/>
  </numFmts>
  <fonts count="22" x14ac:knownFonts="1">
    <font>
      <sz val="11"/>
      <color theme="1"/>
      <name val="Calibri"/>
      <family val="2"/>
      <scheme val="minor"/>
    </font>
    <font>
      <sz val="11"/>
      <color theme="1"/>
      <name val="Calibri"/>
      <family val="2"/>
      <scheme val="minor"/>
    </font>
    <font>
      <sz val="8"/>
      <name val="Calibri"/>
      <family val="2"/>
      <scheme val="minor"/>
    </font>
    <font>
      <u/>
      <sz val="11"/>
      <color theme="10"/>
      <name val="Calibri"/>
      <family val="2"/>
      <scheme val="minor"/>
    </font>
    <font>
      <sz val="10"/>
      <color theme="1"/>
      <name val="Arial"/>
      <family val="2"/>
    </font>
    <font>
      <b/>
      <sz val="10"/>
      <color theme="1"/>
      <name val="Arial"/>
      <family val="2"/>
    </font>
    <font>
      <b/>
      <vertAlign val="superscript"/>
      <sz val="10"/>
      <color theme="1"/>
      <name val="Arial"/>
      <family val="2"/>
    </font>
    <font>
      <i/>
      <sz val="10"/>
      <color theme="1"/>
      <name val="Arial"/>
      <family val="2"/>
    </font>
    <font>
      <sz val="10"/>
      <color rgb="FF00B050"/>
      <name val="Arial"/>
      <family val="2"/>
    </font>
    <font>
      <sz val="10"/>
      <name val="Arial"/>
      <family val="2"/>
    </font>
    <font>
      <u/>
      <sz val="10"/>
      <color theme="10"/>
      <name val="Arial"/>
      <family val="2"/>
    </font>
    <font>
      <b/>
      <sz val="10"/>
      <name val="Arial"/>
      <family val="2"/>
    </font>
    <font>
      <b/>
      <sz val="10"/>
      <color rgb="FFFF0000"/>
      <name val="Arial"/>
      <family val="2"/>
    </font>
    <font>
      <b/>
      <sz val="10"/>
      <color rgb="FF00B050"/>
      <name val="Arial"/>
      <family val="2"/>
    </font>
    <font>
      <b/>
      <sz val="10"/>
      <color rgb="FF6E445A"/>
      <name val="Arial"/>
      <family val="2"/>
    </font>
    <font>
      <b/>
      <sz val="10"/>
      <color rgb="FF009081"/>
      <name val="Arial"/>
      <family val="2"/>
    </font>
    <font>
      <b/>
      <sz val="10"/>
      <color rgb="FFC3992A"/>
      <name val="Arial"/>
      <family val="2"/>
    </font>
    <font>
      <b/>
      <sz val="10"/>
      <color theme="0" tint="-0.499984740745262"/>
      <name val="Arial"/>
      <family val="2"/>
    </font>
    <font>
      <b/>
      <sz val="10"/>
      <color rgb="FFD8C634"/>
      <name val="Arial"/>
      <family val="2"/>
    </font>
    <font>
      <b/>
      <sz val="10"/>
      <color theme="2" tint="-0.499984740745262"/>
      <name val="Arial"/>
      <family val="2"/>
    </font>
    <font>
      <i/>
      <sz val="10"/>
      <name val="Arial"/>
      <family val="2"/>
    </font>
    <font>
      <vertAlign val="superscript"/>
      <sz val="10"/>
      <name val="Arial"/>
      <family val="2"/>
    </font>
  </fonts>
  <fills count="3">
    <fill>
      <patternFill patternType="none"/>
    </fill>
    <fill>
      <patternFill patternType="gray125"/>
    </fill>
    <fill>
      <patternFill patternType="solid">
        <fgColor theme="0"/>
        <bgColor indexed="64"/>
      </patternFill>
    </fill>
  </fills>
  <borders count="17">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rgb="FF00B050"/>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236">
    <xf numFmtId="0" fontId="0" fillId="0" borderId="0" xfId="0"/>
    <xf numFmtId="0" fontId="4" fillId="0" borderId="1" xfId="0" applyFont="1" applyBorder="1" applyAlignment="1">
      <alignment horizontal="center" vertical="top" wrapText="1"/>
    </xf>
    <xf numFmtId="0" fontId="4" fillId="0" borderId="14" xfId="0" applyFont="1" applyBorder="1" applyAlignment="1">
      <alignment horizontal="center" vertical="top" wrapText="1"/>
    </xf>
    <xf numFmtId="0" fontId="4" fillId="0" borderId="14" xfId="0" applyFont="1" applyBorder="1" applyAlignment="1">
      <alignment horizontal="center" vertical="center" wrapText="1"/>
    </xf>
    <xf numFmtId="1" fontId="4" fillId="2" borderId="1" xfId="0" applyNumberFormat="1" applyFont="1" applyFill="1" applyBorder="1"/>
    <xf numFmtId="0" fontId="4" fillId="2" borderId="0" xfId="0" applyFont="1" applyFill="1"/>
    <xf numFmtId="1" fontId="4" fillId="2" borderId="5" xfId="0" applyNumberFormat="1" applyFont="1" applyFill="1" applyBorder="1"/>
    <xf numFmtId="1" fontId="5" fillId="2" borderId="11" xfId="0" applyNumberFormat="1" applyFont="1" applyFill="1" applyBorder="1"/>
    <xf numFmtId="0" fontId="7" fillId="2" borderId="0" xfId="0" applyFont="1" applyFill="1"/>
    <xf numFmtId="0" fontId="4" fillId="0" borderId="0" xfId="0" applyFont="1"/>
    <xf numFmtId="1" fontId="4" fillId="0" borderId="0" xfId="0" applyNumberFormat="1" applyFont="1"/>
    <xf numFmtId="0" fontId="5" fillId="0" borderId="0" xfId="0" applyFont="1"/>
    <xf numFmtId="0" fontId="5" fillId="2" borderId="0" xfId="0" applyFont="1" applyFill="1" applyBorder="1" applyAlignment="1">
      <alignment horizontal="left" vertical="center" wrapText="1"/>
    </xf>
    <xf numFmtId="0" fontId="5" fillId="2" borderId="0" xfId="0" applyFont="1" applyFill="1" applyBorder="1"/>
    <xf numFmtId="1" fontId="5" fillId="2" borderId="0" xfId="0" applyNumberFormat="1" applyFont="1" applyFill="1" applyBorder="1"/>
    <xf numFmtId="0" fontId="5" fillId="2" borderId="8" xfId="0" applyFont="1" applyFill="1" applyBorder="1"/>
    <xf numFmtId="0" fontId="5" fillId="2" borderId="2" xfId="0" applyFont="1" applyFill="1" applyBorder="1"/>
    <xf numFmtId="1" fontId="5" fillId="2" borderId="0" xfId="0" applyNumberFormat="1" applyFont="1" applyFill="1" applyBorder="1" applyAlignment="1">
      <alignment horizontal="right" vertical="center" wrapText="1"/>
    </xf>
    <xf numFmtId="0" fontId="4" fillId="0" borderId="0" xfId="0" applyFont="1" applyAlignment="1">
      <alignment vertical="center"/>
    </xf>
    <xf numFmtId="0" fontId="4" fillId="2" borderId="6" xfId="0" applyFont="1" applyFill="1" applyBorder="1" applyAlignment="1">
      <alignment horizontal="center" vertical="center" wrapText="1"/>
    </xf>
    <xf numFmtId="0" fontId="4" fillId="0" borderId="0" xfId="0" applyFont="1" applyAlignment="1">
      <alignment vertical="top"/>
    </xf>
    <xf numFmtId="0" fontId="5" fillId="2" borderId="0" xfId="0" applyFont="1" applyFill="1"/>
    <xf numFmtId="166" fontId="8" fillId="0" borderId="0" xfId="1" applyNumberFormat="1" applyFont="1" applyFill="1"/>
    <xf numFmtId="1" fontId="5" fillId="0" borderId="0" xfId="0" applyNumberFormat="1" applyFont="1"/>
    <xf numFmtId="0" fontId="5" fillId="2" borderId="0" xfId="0" applyFont="1" applyFill="1" applyAlignment="1">
      <alignment horizontal="center" vertical="center" wrapText="1"/>
    </xf>
    <xf numFmtId="164" fontId="4" fillId="2" borderId="0" xfId="0" applyNumberFormat="1" applyFont="1" applyFill="1"/>
    <xf numFmtId="0" fontId="4" fillId="2" borderId="8" xfId="0" applyFont="1" applyFill="1" applyBorder="1"/>
    <xf numFmtId="164" fontId="4" fillId="2" borderId="7" xfId="0" applyNumberFormat="1" applyFont="1" applyFill="1" applyBorder="1"/>
    <xf numFmtId="0" fontId="4" fillId="0" borderId="0" xfId="0" applyFont="1" applyAlignment="1">
      <alignment horizontal="center" vertical="center" wrapText="1"/>
    </xf>
    <xf numFmtId="164" fontId="5" fillId="2" borderId="13" xfId="0" applyNumberFormat="1" applyFont="1" applyFill="1" applyBorder="1"/>
    <xf numFmtId="0" fontId="4" fillId="2" borderId="0" xfId="0" applyFont="1" applyFill="1" applyAlignment="1">
      <alignment vertical="center"/>
    </xf>
    <xf numFmtId="167" fontId="8" fillId="0" borderId="0" xfId="0" applyNumberFormat="1" applyFont="1"/>
    <xf numFmtId="164" fontId="4" fillId="2" borderId="13" xfId="0" applyNumberFormat="1" applyFont="1" applyFill="1" applyBorder="1"/>
    <xf numFmtId="164" fontId="5" fillId="2" borderId="0" xfId="0" applyNumberFormat="1" applyFont="1" applyFill="1"/>
    <xf numFmtId="164" fontId="4" fillId="0" borderId="0" xfId="0" applyNumberFormat="1" applyFont="1"/>
    <xf numFmtId="164" fontId="5" fillId="0" borderId="0" xfId="0" applyNumberFormat="1" applyFont="1"/>
    <xf numFmtId="0" fontId="5" fillId="0" borderId="0" xfId="0" applyFont="1" applyAlignment="1">
      <alignment horizontal="left" vertical="top"/>
    </xf>
    <xf numFmtId="164" fontId="4" fillId="0" borderId="0" xfId="0" applyNumberFormat="1" applyFont="1" applyAlignment="1">
      <alignment horizontal="left" vertical="top"/>
    </xf>
    <xf numFmtId="0" fontId="7" fillId="0" borderId="0" xfId="0" applyFont="1"/>
    <xf numFmtId="0" fontId="7" fillId="2" borderId="0" xfId="0" applyFont="1" applyFill="1" applyAlignment="1">
      <alignment vertical="center"/>
    </xf>
    <xf numFmtId="0" fontId="4" fillId="2" borderId="0" xfId="0" applyFont="1" applyFill="1" applyAlignment="1"/>
    <xf numFmtId="0" fontId="4" fillId="2" borderId="4" xfId="0" applyFont="1" applyFill="1" applyBorder="1"/>
    <xf numFmtId="1" fontId="4" fillId="2" borderId="8" xfId="0" applyNumberFormat="1" applyFont="1" applyFill="1" applyBorder="1"/>
    <xf numFmtId="1" fontId="4" fillId="2" borderId="9" xfId="0" applyNumberFormat="1" applyFont="1" applyFill="1" applyBorder="1"/>
    <xf numFmtId="1" fontId="5" fillId="2" borderId="4" xfId="0" applyNumberFormat="1" applyFont="1" applyFill="1" applyBorder="1"/>
    <xf numFmtId="0" fontId="4" fillId="2" borderId="7" xfId="0" applyFont="1" applyFill="1" applyBorder="1"/>
    <xf numFmtId="1" fontId="4" fillId="2" borderId="6" xfId="0" applyNumberFormat="1" applyFont="1" applyFill="1" applyBorder="1"/>
    <xf numFmtId="1" fontId="5" fillId="2" borderId="7" xfId="0" applyNumberFormat="1" applyFont="1" applyFill="1" applyBorder="1"/>
    <xf numFmtId="0" fontId="5" fillId="2" borderId="13" xfId="0" applyFont="1" applyFill="1" applyBorder="1"/>
    <xf numFmtId="1" fontId="5" fillId="2" borderId="10" xfId="0" applyNumberFormat="1" applyFont="1" applyFill="1" applyBorder="1"/>
    <xf numFmtId="1" fontId="5" fillId="2" borderId="12" xfId="0" applyNumberFormat="1" applyFont="1" applyFill="1" applyBorder="1"/>
    <xf numFmtId="1" fontId="5" fillId="2" borderId="13" xfId="0" applyNumberFormat="1" applyFont="1" applyFill="1" applyBorder="1"/>
    <xf numFmtId="3" fontId="5" fillId="2" borderId="0" xfId="0" applyNumberFormat="1" applyFont="1" applyFill="1" applyBorder="1"/>
    <xf numFmtId="0" fontId="7" fillId="2" borderId="0" xfId="0" applyFont="1" applyFill="1" applyAlignment="1"/>
    <xf numFmtId="0" fontId="4" fillId="2" borderId="14" xfId="0" applyFont="1" applyFill="1" applyBorder="1" applyAlignment="1">
      <alignment horizontal="center"/>
    </xf>
    <xf numFmtId="0" fontId="4" fillId="0" borderId="14" xfId="0" applyFont="1" applyBorder="1" applyAlignment="1">
      <alignment horizontal="center" vertical="center"/>
    </xf>
    <xf numFmtId="165" fontId="4" fillId="0" borderId="0" xfId="1" applyNumberFormat="1" applyFont="1"/>
    <xf numFmtId="0" fontId="4" fillId="0" borderId="0" xfId="0" applyFont="1" applyAlignment="1">
      <alignment horizontal="left" vertical="top"/>
    </xf>
    <xf numFmtId="0" fontId="4" fillId="2" borderId="0" xfId="0" applyFont="1" applyFill="1" applyAlignment="1">
      <alignment horizontal="left" vertical="top"/>
    </xf>
    <xf numFmtId="164" fontId="4" fillId="0" borderId="0" xfId="1" applyNumberFormat="1" applyFont="1"/>
    <xf numFmtId="0" fontId="5" fillId="0" borderId="0" xfId="0" applyFont="1" applyAlignment="1">
      <alignment horizontal="center" vertical="center" wrapText="1"/>
    </xf>
    <xf numFmtId="3" fontId="4" fillId="0" borderId="0" xfId="0" applyNumberFormat="1" applyFont="1"/>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1" fontId="8" fillId="0" borderId="0" xfId="1" applyNumberFormat="1" applyFont="1" applyFill="1"/>
    <xf numFmtId="3" fontId="5" fillId="0" borderId="0" xfId="0" applyNumberFormat="1" applyFont="1"/>
    <xf numFmtId="0" fontId="4" fillId="2" borderId="0" xfId="0" applyFont="1" applyFill="1" applyAlignment="1">
      <alignment horizontal="left"/>
    </xf>
    <xf numFmtId="0" fontId="4" fillId="2" borderId="0" xfId="0" applyFont="1" applyFill="1" applyAlignment="1">
      <alignment vertical="top"/>
    </xf>
    <xf numFmtId="0" fontId="4" fillId="2" borderId="6" xfId="0" applyFont="1" applyFill="1" applyBorder="1"/>
    <xf numFmtId="0" fontId="5" fillId="2" borderId="4" xfId="0" applyFont="1" applyFill="1" applyBorder="1" applyAlignment="1">
      <alignment horizontal="center" vertical="center" wrapText="1"/>
    </xf>
    <xf numFmtId="0" fontId="4" fillId="2" borderId="0" xfId="0" applyFont="1" applyFill="1" applyAlignment="1">
      <alignment vertical="center"/>
    </xf>
    <xf numFmtId="0" fontId="5" fillId="2" borderId="0" xfId="0" applyFont="1" applyFill="1" applyBorder="1" applyAlignment="1">
      <alignment horizontal="left" wrapText="1"/>
    </xf>
    <xf numFmtId="0" fontId="5" fillId="0" borderId="0" xfId="0" applyFont="1" applyFill="1" applyBorder="1" applyAlignment="1">
      <alignment horizontal="center" vertical="center" wrapText="1"/>
    </xf>
    <xf numFmtId="164" fontId="4" fillId="0" borderId="0" xfId="0" applyNumberFormat="1" applyFont="1" applyFill="1" applyBorder="1"/>
    <xf numFmtId="164" fontId="5" fillId="0" borderId="0" xfId="0" applyNumberFormat="1" applyFont="1" applyFill="1" applyBorder="1"/>
    <xf numFmtId="0" fontId="4" fillId="0" borderId="0" xfId="0" applyFont="1" applyFill="1"/>
    <xf numFmtId="0" fontId="4" fillId="0" borderId="0" xfId="0" applyFont="1" applyFill="1" applyAlignment="1">
      <alignment vertical="center"/>
    </xf>
    <xf numFmtId="0" fontId="5" fillId="2" borderId="0" xfId="0" applyFont="1" applyFill="1" applyBorder="1" applyAlignment="1">
      <alignment horizontal="center" vertical="center" wrapText="1"/>
    </xf>
    <xf numFmtId="1" fontId="4" fillId="2" borderId="0" xfId="0" applyNumberFormat="1" applyFont="1" applyFill="1" applyBorder="1"/>
    <xf numFmtId="0" fontId="4" fillId="2" borderId="7" xfId="0" applyFont="1" applyFill="1" applyBorder="1" applyAlignment="1">
      <alignment horizontal="center" vertical="center" wrapText="1"/>
    </xf>
    <xf numFmtId="1" fontId="4" fillId="2" borderId="4" xfId="0" applyNumberFormat="1" applyFont="1" applyFill="1" applyBorder="1"/>
    <xf numFmtId="1" fontId="4" fillId="2" borderId="7" xfId="0" applyNumberFormat="1" applyFont="1" applyFill="1" applyBorder="1"/>
    <xf numFmtId="1" fontId="5" fillId="0" borderId="0" xfId="0" applyNumberFormat="1" applyFont="1" applyFill="1"/>
    <xf numFmtId="0" fontId="4" fillId="0" borderId="0" xfId="0" applyFont="1" applyFill="1" applyAlignment="1">
      <alignment vertical="top"/>
    </xf>
    <xf numFmtId="0" fontId="5" fillId="0" borderId="0" xfId="0" applyFont="1" applyFill="1" applyAlignment="1">
      <alignment horizontal="center" vertical="center" wrapText="1"/>
    </xf>
    <xf numFmtId="164" fontId="4" fillId="0" borderId="0" xfId="0" applyNumberFormat="1" applyFont="1" applyFill="1"/>
    <xf numFmtId="0" fontId="4" fillId="0" borderId="0" xfId="0" applyFont="1" applyFill="1" applyAlignment="1">
      <alignment horizontal="left" vertical="top"/>
    </xf>
    <xf numFmtId="0" fontId="4" fillId="2" borderId="11" xfId="0" applyFont="1" applyFill="1" applyBorder="1" applyAlignment="1">
      <alignment horizontal="center" vertical="center" wrapText="1"/>
    </xf>
    <xf numFmtId="0" fontId="5" fillId="2" borderId="1" xfId="0" applyFont="1" applyFill="1" applyBorder="1" applyAlignment="1">
      <alignment horizontal="left" wrapText="1"/>
    </xf>
    <xf numFmtId="0" fontId="4" fillId="0" borderId="1" xfId="0" applyFont="1" applyBorder="1" applyAlignment="1">
      <alignment horizontal="center" vertical="center" wrapText="1"/>
    </xf>
    <xf numFmtId="2" fontId="4" fillId="0" borderId="0" xfId="0" applyNumberFormat="1" applyFont="1"/>
    <xf numFmtId="0" fontId="13" fillId="0" borderId="0" xfId="0" applyFont="1"/>
    <xf numFmtId="0" fontId="4" fillId="2" borderId="0" xfId="0" applyFont="1" applyFill="1" applyAlignment="1">
      <alignment vertical="center" wrapText="1"/>
    </xf>
    <xf numFmtId="0" fontId="12" fillId="0" borderId="0" xfId="0" applyFont="1" applyFill="1"/>
    <xf numFmtId="0" fontId="5" fillId="0" borderId="0" xfId="0" applyFont="1" applyFill="1"/>
    <xf numFmtId="164" fontId="5" fillId="0" borderId="0" xfId="0" applyNumberFormat="1" applyFont="1" applyFill="1"/>
    <xf numFmtId="0" fontId="14" fillId="2" borderId="6" xfId="0" applyFont="1" applyFill="1" applyBorder="1"/>
    <xf numFmtId="0" fontId="15" fillId="2" borderId="6" xfId="0" applyFont="1" applyFill="1" applyBorder="1"/>
    <xf numFmtId="0" fontId="16" fillId="2" borderId="6" xfId="0" applyFont="1" applyFill="1" applyBorder="1"/>
    <xf numFmtId="0" fontId="4" fillId="0" borderId="14" xfId="0" applyFont="1" applyBorder="1"/>
    <xf numFmtId="1" fontId="4" fillId="0" borderId="14" xfId="0" applyNumberFormat="1" applyFont="1" applyBorder="1"/>
    <xf numFmtId="0" fontId="5" fillId="0" borderId="14" xfId="0" applyFont="1" applyBorder="1"/>
    <xf numFmtId="1" fontId="5" fillId="0" borderId="14" xfId="0" applyNumberFormat="1" applyFont="1" applyBorder="1"/>
    <xf numFmtId="0" fontId="5" fillId="0" borderId="14" xfId="0" applyFont="1" applyBorder="1" applyAlignment="1">
      <alignment horizontal="center" vertical="center"/>
    </xf>
    <xf numFmtId="1" fontId="5" fillId="0" borderId="14" xfId="1" applyNumberFormat="1" applyFont="1" applyFill="1" applyBorder="1" applyAlignment="1">
      <alignment horizontal="center"/>
    </xf>
    <xf numFmtId="1" fontId="9" fillId="0" borderId="14" xfId="0" applyNumberFormat="1" applyFont="1" applyBorder="1"/>
    <xf numFmtId="1" fontId="11" fillId="0" borderId="14" xfId="0" applyNumberFormat="1" applyFont="1" applyBorder="1"/>
    <xf numFmtId="0" fontId="11" fillId="0" borderId="14" xfId="0" applyFont="1" applyBorder="1" applyAlignment="1">
      <alignment horizontal="center" vertical="center"/>
    </xf>
    <xf numFmtId="0" fontId="17" fillId="2" borderId="10" xfId="0" applyFont="1" applyFill="1" applyBorder="1"/>
    <xf numFmtId="1" fontId="5" fillId="2" borderId="14" xfId="0" applyNumberFormat="1" applyFont="1" applyFill="1" applyBorder="1" applyAlignment="1">
      <alignment horizontal="right" vertical="center" wrapText="1"/>
    </xf>
    <xf numFmtId="0" fontId="5" fillId="0" borderId="14" xfId="0" applyFont="1" applyBorder="1" applyAlignment="1">
      <alignment horizontal="center"/>
    </xf>
    <xf numFmtId="0" fontId="18" fillId="2" borderId="10" xfId="0" applyFont="1" applyFill="1" applyBorder="1"/>
    <xf numFmtId="0" fontId="19" fillId="2" borderId="6" xfId="0" applyFont="1" applyFill="1" applyBorder="1" applyAlignment="1">
      <alignment horizontal="left" wrapText="1"/>
    </xf>
    <xf numFmtId="0" fontId="5" fillId="2" borderId="1" xfId="0" applyFont="1" applyFill="1" applyBorder="1" applyAlignment="1">
      <alignment horizontal="center" vertical="center" wrapText="1"/>
    </xf>
    <xf numFmtId="0" fontId="11" fillId="2" borderId="0" xfId="0" applyFont="1" applyFill="1"/>
    <xf numFmtId="0" fontId="9" fillId="2" borderId="0" xfId="0" applyFont="1" applyFill="1"/>
    <xf numFmtId="0" fontId="9" fillId="0" borderId="0" xfId="0" applyFont="1"/>
    <xf numFmtId="0" fontId="9" fillId="2" borderId="1" xfId="0" applyFont="1" applyFill="1" applyBorder="1"/>
    <xf numFmtId="0" fontId="9" fillId="2" borderId="6" xfId="0" applyFont="1" applyFill="1" applyBorder="1"/>
    <xf numFmtId="3" fontId="11" fillId="2" borderId="1" xfId="0" applyNumberFormat="1" applyFont="1" applyFill="1" applyBorder="1" applyAlignment="1">
      <alignment horizontal="center" vertical="center" wrapText="1"/>
    </xf>
    <xf numFmtId="3" fontId="11" fillId="2" borderId="4"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9" fillId="2" borderId="8" xfId="0" applyFont="1" applyFill="1" applyBorder="1" applyAlignment="1">
      <alignment horizontal="left" vertical="center" wrapText="1"/>
    </xf>
    <xf numFmtId="3" fontId="9" fillId="2" borderId="1" xfId="0" applyNumberFormat="1" applyFont="1" applyFill="1" applyBorder="1" applyAlignment="1">
      <alignment vertical="center"/>
    </xf>
    <xf numFmtId="3" fontId="9" fillId="2" borderId="4" xfId="0" applyNumberFormat="1" applyFont="1" applyFill="1" applyBorder="1" applyAlignment="1">
      <alignment vertical="center"/>
    </xf>
    <xf numFmtId="168" fontId="9" fillId="2" borderId="1" xfId="0" applyNumberFormat="1" applyFont="1" applyFill="1" applyBorder="1" applyAlignment="1">
      <alignment vertical="center"/>
    </xf>
    <xf numFmtId="0" fontId="9" fillId="2" borderId="6" xfId="0" applyFont="1" applyFill="1" applyBorder="1" applyAlignment="1">
      <alignment horizontal="left" vertical="center" wrapText="1"/>
    </xf>
    <xf numFmtId="3" fontId="9" fillId="2" borderId="5" xfId="0" applyNumberFormat="1" applyFont="1" applyFill="1" applyBorder="1" applyAlignment="1">
      <alignment vertical="center"/>
    </xf>
    <xf numFmtId="3" fontId="9" fillId="2" borderId="7" xfId="0" applyNumberFormat="1" applyFont="1" applyFill="1" applyBorder="1" applyAlignment="1">
      <alignment vertical="center"/>
    </xf>
    <xf numFmtId="168" fontId="9" fillId="2" borderId="5" xfId="0" applyNumberFormat="1" applyFont="1" applyFill="1" applyBorder="1" applyAlignment="1">
      <alignment vertical="center"/>
    </xf>
    <xf numFmtId="0" fontId="11" fillId="0" borderId="0" xfId="0" applyFont="1" applyFill="1"/>
    <xf numFmtId="0" fontId="11" fillId="0" borderId="0" xfId="0" applyFont="1"/>
    <xf numFmtId="0" fontId="11" fillId="2" borderId="2" xfId="0" applyFont="1" applyFill="1" applyBorder="1"/>
    <xf numFmtId="3" fontId="11" fillId="2" borderId="14" xfId="0" applyNumberFormat="1" applyFont="1" applyFill="1" applyBorder="1" applyAlignment="1">
      <alignment vertical="center"/>
    </xf>
    <xf numFmtId="3" fontId="11" fillId="2" borderId="15" xfId="0" applyNumberFormat="1" applyFont="1" applyFill="1" applyBorder="1" applyAlignment="1">
      <alignment vertical="center"/>
    </xf>
    <xf numFmtId="168" fontId="11" fillId="2" borderId="14" xfId="0" applyNumberFormat="1" applyFont="1" applyFill="1" applyBorder="1" applyAlignment="1">
      <alignment vertical="center"/>
    </xf>
    <xf numFmtId="0" fontId="11" fillId="2" borderId="0" xfId="0" applyFont="1" applyFill="1" applyBorder="1"/>
    <xf numFmtId="3" fontId="11" fillId="2" borderId="0" xfId="0" applyNumberFormat="1" applyFont="1" applyFill="1" applyBorder="1"/>
    <xf numFmtId="164" fontId="11" fillId="2" borderId="0" xfId="0" applyNumberFormat="1" applyFont="1" applyFill="1" applyBorder="1"/>
    <xf numFmtId="0" fontId="20" fillId="2" borderId="0" xfId="0" applyFont="1" applyFill="1" applyAlignment="1"/>
    <xf numFmtId="0" fontId="9" fillId="2" borderId="0" xfId="0" applyFont="1" applyFill="1" applyAlignment="1">
      <alignment vertical="center"/>
    </xf>
    <xf numFmtId="0" fontId="9" fillId="0" borderId="0" xfId="0" applyFont="1" applyAlignment="1">
      <alignment vertical="top" wrapText="1"/>
    </xf>
    <xf numFmtId="0" fontId="9" fillId="2" borderId="8" xfId="0" applyFont="1" applyFill="1" applyBorder="1"/>
    <xf numFmtId="0" fontId="9" fillId="2" borderId="9" xfId="0" applyFont="1" applyFill="1" applyBorder="1"/>
    <xf numFmtId="0" fontId="9" fillId="2" borderId="6" xfId="0" applyFont="1" applyFill="1" applyBorder="1" applyAlignment="1">
      <alignment horizontal="center" vertical="center" wrapText="1"/>
    </xf>
    <xf numFmtId="0" fontId="9" fillId="2" borderId="0" xfId="0" applyFont="1" applyFill="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3" fontId="9" fillId="2" borderId="8" xfId="0" applyNumberFormat="1" applyFont="1" applyFill="1" applyBorder="1"/>
    <xf numFmtId="3" fontId="9" fillId="2" borderId="4" xfId="0" applyNumberFormat="1" applyFont="1" applyFill="1" applyBorder="1"/>
    <xf numFmtId="0" fontId="9" fillId="2" borderId="0" xfId="0" applyFont="1" applyFill="1" applyBorder="1"/>
    <xf numFmtId="3" fontId="9" fillId="2" borderId="6" xfId="0" applyNumberFormat="1" applyFont="1" applyFill="1" applyBorder="1"/>
    <xf numFmtId="3" fontId="9" fillId="2" borderId="7" xfId="0" applyNumberFormat="1" applyFont="1" applyFill="1" applyBorder="1"/>
    <xf numFmtId="0" fontId="11" fillId="2" borderId="12" xfId="0" applyFont="1" applyFill="1" applyBorder="1"/>
    <xf numFmtId="3" fontId="11" fillId="2" borderId="10" xfId="0" applyNumberFormat="1" applyFont="1" applyFill="1" applyBorder="1"/>
    <xf numFmtId="3" fontId="11" fillId="2" borderId="13" xfId="0" applyNumberFormat="1" applyFont="1" applyFill="1" applyBorder="1"/>
    <xf numFmtId="3" fontId="11" fillId="0" borderId="10" xfId="0" applyNumberFormat="1" applyFont="1" applyFill="1" applyBorder="1"/>
    <xf numFmtId="0" fontId="9" fillId="0" borderId="0" xfId="0" applyFont="1" applyFill="1"/>
    <xf numFmtId="0" fontId="11" fillId="2" borderId="0" xfId="0" applyFont="1" applyFill="1" applyBorder="1" applyAlignment="1">
      <alignment horizontal="left" vertical="center" wrapText="1"/>
    </xf>
    <xf numFmtId="3" fontId="11" fillId="0" borderId="0" xfId="0" applyNumberFormat="1" applyFont="1" applyFill="1" applyBorder="1"/>
    <xf numFmtId="0" fontId="20" fillId="2" borderId="0" xfId="0" applyFont="1" applyFill="1" applyAlignment="1">
      <alignment vertical="center"/>
    </xf>
    <xf numFmtId="0" fontId="9" fillId="0" borderId="0" xfId="0" applyFont="1" applyFill="1" applyAlignment="1">
      <alignment horizontal="left" vertical="center"/>
    </xf>
    <xf numFmtId="0" fontId="9" fillId="0" borderId="0" xfId="0" applyFont="1" applyAlignment="1">
      <alignment horizontal="left" vertical="center"/>
    </xf>
    <xf numFmtId="0" fontId="9" fillId="0" borderId="0" xfId="0" applyFont="1" applyFill="1" applyAlignment="1">
      <alignment vertical="center" wrapText="1"/>
    </xf>
    <xf numFmtId="0" fontId="9" fillId="0" borderId="0" xfId="0" applyFont="1" applyFill="1" applyAlignment="1">
      <alignment horizontal="left" vertical="center" wrapText="1"/>
    </xf>
    <xf numFmtId="3" fontId="11" fillId="2" borderId="14" xfId="0" applyNumberFormat="1" applyFont="1" applyFill="1" applyBorder="1" applyAlignment="1">
      <alignment horizontal="center" vertical="center" wrapText="1"/>
    </xf>
    <xf numFmtId="0" fontId="11" fillId="2" borderId="14" xfId="0" applyFont="1" applyFill="1" applyBorder="1" applyAlignment="1">
      <alignment horizontal="center" vertical="center" wrapText="1"/>
    </xf>
    <xf numFmtId="0" fontId="20" fillId="2" borderId="0" xfId="0" applyFont="1" applyFill="1" applyAlignment="1">
      <alignment horizontal="left" vertical="center"/>
    </xf>
    <xf numFmtId="0" fontId="9" fillId="2" borderId="0" xfId="0" applyFont="1" applyFill="1" applyAlignment="1">
      <alignment horizontal="left" vertical="center"/>
    </xf>
    <xf numFmtId="1" fontId="5" fillId="0" borderId="11" xfId="0" applyNumberFormat="1" applyFont="1" applyFill="1" applyBorder="1"/>
    <xf numFmtId="0" fontId="11" fillId="2" borderId="0" xfId="0" applyFont="1" applyFill="1" applyBorder="1" applyAlignment="1"/>
    <xf numFmtId="0" fontId="11" fillId="2" borderId="0" xfId="0" applyFont="1" applyFill="1" applyBorder="1" applyAlignment="1">
      <alignment horizontal="left" wrapText="1"/>
    </xf>
    <xf numFmtId="0" fontId="11" fillId="2" borderId="12" xfId="0" applyFont="1" applyFill="1" applyBorder="1" applyAlignment="1">
      <alignment horizontal="left" wrapText="1"/>
    </xf>
    <xf numFmtId="0" fontId="9" fillId="2" borderId="1" xfId="0" applyFont="1" applyFill="1" applyBorder="1" applyAlignment="1">
      <alignment vertical="center"/>
    </xf>
    <xf numFmtId="0" fontId="9" fillId="0" borderId="0" xfId="0" applyFont="1" applyAlignment="1">
      <alignment vertical="center"/>
    </xf>
    <xf numFmtId="0" fontId="9" fillId="2" borderId="11" xfId="0" applyFont="1" applyFill="1" applyBorder="1" applyAlignment="1">
      <alignment horizontal="center" vertical="center" wrapText="1"/>
    </xf>
    <xf numFmtId="3" fontId="11" fillId="2" borderId="15" xfId="0" applyNumberFormat="1"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8" xfId="0" applyFont="1" applyFill="1" applyBorder="1"/>
    <xf numFmtId="0" fontId="11" fillId="2" borderId="6" xfId="0" applyFont="1" applyFill="1" applyBorder="1"/>
    <xf numFmtId="1" fontId="11" fillId="2" borderId="0" xfId="0" applyNumberFormat="1" applyFont="1" applyFill="1" applyBorder="1" applyAlignment="1">
      <alignment horizontal="right" vertical="center" wrapText="1"/>
    </xf>
    <xf numFmtId="164" fontId="11" fillId="2" borderId="0" xfId="0" applyNumberFormat="1" applyFont="1" applyFill="1" applyBorder="1" applyAlignment="1">
      <alignment horizontal="right" vertical="center" wrapText="1"/>
    </xf>
    <xf numFmtId="0" fontId="9" fillId="0" borderId="0" xfId="0" applyFont="1" applyAlignment="1">
      <alignment vertical="top"/>
    </xf>
    <xf numFmtId="9" fontId="9" fillId="0" borderId="0" xfId="0" applyNumberFormat="1" applyFont="1"/>
    <xf numFmtId="1" fontId="5" fillId="2" borderId="11" xfId="0" applyNumberFormat="1" applyFont="1" applyFill="1" applyBorder="1" applyAlignment="1">
      <alignment horizontal="right" vertical="center" wrapText="1"/>
    </xf>
    <xf numFmtId="1" fontId="4" fillId="2" borderId="1" xfId="0" applyNumberFormat="1" applyFont="1" applyFill="1" applyBorder="1" applyAlignment="1">
      <alignment horizontal="right" vertical="center" wrapText="1"/>
    </xf>
    <xf numFmtId="1" fontId="4" fillId="2" borderId="5" xfId="0" applyNumberFormat="1" applyFont="1" applyFill="1" applyBorder="1" applyAlignment="1">
      <alignment horizontal="right" vertical="center" wrapText="1"/>
    </xf>
    <xf numFmtId="1" fontId="4" fillId="2" borderId="11" xfId="0" applyNumberFormat="1" applyFont="1" applyFill="1" applyBorder="1" applyAlignment="1">
      <alignment horizontal="right" vertical="center" wrapText="1"/>
    </xf>
    <xf numFmtId="1" fontId="5" fillId="2" borderId="1" xfId="0" applyNumberFormat="1" applyFont="1" applyFill="1" applyBorder="1" applyAlignment="1">
      <alignment horizontal="right" vertical="center" wrapText="1"/>
    </xf>
    <xf numFmtId="1" fontId="5" fillId="2" borderId="5" xfId="0" applyNumberFormat="1" applyFont="1" applyFill="1" applyBorder="1" applyAlignment="1">
      <alignment horizontal="right" vertical="center" wrapText="1"/>
    </xf>
    <xf numFmtId="0" fontId="5" fillId="2" borderId="4" xfId="0" applyFont="1" applyFill="1" applyBorder="1" applyAlignment="1">
      <alignment horizontal="center" vertical="center" wrapText="1"/>
    </xf>
    <xf numFmtId="0" fontId="10" fillId="0" borderId="14" xfId="2" quotePrefix="1" applyFont="1" applyBorder="1" applyAlignment="1">
      <alignment vertical="center"/>
    </xf>
    <xf numFmtId="0" fontId="10" fillId="0" borderId="14" xfId="2" applyFont="1" applyBorder="1" applyAlignment="1">
      <alignment vertical="center"/>
    </xf>
    <xf numFmtId="0" fontId="5" fillId="0" borderId="12" xfId="0" applyFont="1" applyBorder="1" applyAlignment="1">
      <alignment horizontal="center" vertical="center"/>
    </xf>
    <xf numFmtId="0" fontId="10" fillId="0" borderId="14" xfId="2" quotePrefix="1" applyFont="1" applyBorder="1" applyAlignment="1">
      <alignment horizontal="left" vertical="center"/>
    </xf>
    <xf numFmtId="0" fontId="10" fillId="0" borderId="14" xfId="2" applyFont="1" applyBorder="1" applyAlignment="1">
      <alignment horizontal="left" vertical="center"/>
    </xf>
    <xf numFmtId="0" fontId="10" fillId="0" borderId="14" xfId="2" quotePrefix="1" applyFont="1" applyBorder="1" applyAlignment="1">
      <alignment horizontal="left"/>
    </xf>
    <xf numFmtId="0" fontId="10" fillId="0" borderId="14" xfId="2" applyFont="1" applyBorder="1" applyAlignment="1">
      <alignment horizontal="left"/>
    </xf>
    <xf numFmtId="0" fontId="10" fillId="0" borderId="14" xfId="2" quotePrefix="1" applyFont="1" applyBorder="1" applyAlignment="1">
      <alignment vertical="center" wrapText="1"/>
    </xf>
    <xf numFmtId="0" fontId="10" fillId="0" borderId="14" xfId="2" applyFont="1" applyBorder="1" applyAlignment="1">
      <alignment vertical="center" wrapText="1"/>
    </xf>
    <xf numFmtId="0" fontId="10" fillId="0" borderId="14" xfId="2" quotePrefix="1" applyFont="1" applyBorder="1"/>
    <xf numFmtId="0" fontId="10" fillId="0" borderId="14" xfId="2" applyFont="1" applyBorder="1"/>
    <xf numFmtId="1" fontId="11" fillId="2" borderId="3" xfId="0" applyNumberFormat="1"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9" fillId="2" borderId="0" xfId="0" applyFont="1" applyFill="1" applyAlignment="1">
      <alignment horizontal="left" vertical="center"/>
    </xf>
    <xf numFmtId="0" fontId="9" fillId="2" borderId="0" xfId="0" applyFont="1" applyFill="1" applyAlignment="1">
      <alignment horizontal="left" vertical="center" wrapText="1"/>
    </xf>
    <xf numFmtId="0" fontId="4" fillId="2" borderId="0" xfId="0" applyFont="1" applyFill="1" applyAlignment="1">
      <alignment horizontal="left" vertical="center" wrapText="1"/>
    </xf>
    <xf numFmtId="0" fontId="9" fillId="0" borderId="0" xfId="0" applyFont="1" applyFill="1" applyAlignment="1">
      <alignment horizontal="left" vertical="center" wrapText="1"/>
    </xf>
    <xf numFmtId="0" fontId="11" fillId="2" borderId="4"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8"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1" fillId="2" borderId="10" xfId="0" applyFont="1" applyFill="1" applyBorder="1" applyAlignment="1">
      <alignment horizontal="left" vertical="center" wrapText="1"/>
    </xf>
    <xf numFmtId="0" fontId="11" fillId="2" borderId="8" xfId="0" applyFont="1" applyFill="1" applyBorder="1" applyAlignment="1">
      <alignment horizontal="left" vertical="center"/>
    </xf>
    <xf numFmtId="0" fontId="11" fillId="2" borderId="6" xfId="0" applyFont="1" applyFill="1" applyBorder="1" applyAlignment="1">
      <alignment horizontal="left" vertical="center"/>
    </xf>
    <xf numFmtId="0" fontId="11" fillId="2" borderId="10" xfId="0" applyFont="1" applyFill="1" applyBorder="1" applyAlignment="1">
      <alignment horizontal="left" vertical="center"/>
    </xf>
    <xf numFmtId="0" fontId="11" fillId="2" borderId="2" xfId="0" applyFont="1" applyFill="1" applyBorder="1" applyAlignment="1">
      <alignment horizontal="center" vertical="center"/>
    </xf>
    <xf numFmtId="0" fontId="11" fillId="2" borderId="15" xfId="0"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4" fillId="2" borderId="0" xfId="0" applyFont="1" applyFill="1" applyAlignment="1">
      <alignment vertical="center" wrapText="1"/>
    </xf>
    <xf numFmtId="0" fontId="4" fillId="2" borderId="0" xfId="0" applyFont="1" applyFill="1" applyAlignment="1">
      <alignment vertical="center"/>
    </xf>
    <xf numFmtId="0" fontId="5" fillId="2" borderId="1"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8" xfId="0" applyFont="1" applyFill="1" applyBorder="1" applyAlignment="1">
      <alignment horizontal="left" vertical="center"/>
    </xf>
    <xf numFmtId="0" fontId="5" fillId="2" borderId="6" xfId="0" applyFont="1" applyFill="1" applyBorder="1" applyAlignment="1">
      <alignment horizontal="left" vertical="center"/>
    </xf>
    <xf numFmtId="0" fontId="5" fillId="2" borderId="10" xfId="0" applyFont="1" applyFill="1" applyBorder="1" applyAlignment="1">
      <alignment horizontal="left" vertical="center"/>
    </xf>
    <xf numFmtId="0" fontId="5" fillId="2" borderId="8"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4" fillId="2" borderId="0" xfId="0" applyFont="1" applyFill="1" applyAlignment="1">
      <alignment horizontal="left" wrapText="1"/>
    </xf>
    <xf numFmtId="0" fontId="5" fillId="2" borderId="0" xfId="0" applyFont="1" applyFill="1" applyBorder="1" applyAlignment="1">
      <alignment horizontal="left" wrapText="1"/>
    </xf>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D8C634"/>
      <color rgb="FFAEA397"/>
      <color rgb="FFC3992A"/>
      <color rgb="FF009081"/>
      <color rgb="FF6E445A"/>
      <color rgb="FF4472C4"/>
      <color rgb="FFFFFFCC"/>
      <color rgb="FFCC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2'!$B$5</c:f>
              <c:strCache>
                <c:ptCount val="1"/>
                <c:pt idx="0">
                  <c:v>FPT</c:v>
                </c:pt>
              </c:strCache>
            </c:strRef>
          </c:tx>
          <c:spPr>
            <a:ln w="19050" cap="rnd">
              <a:solidFill>
                <a:srgbClr val="009081"/>
              </a:solidFill>
              <a:round/>
            </a:ln>
            <a:effectLst/>
          </c:spPr>
          <c:marker>
            <c:symbol val="none"/>
          </c:marker>
          <c:cat>
            <c:numRef>
              <c:f>'Figure 2'!$C$4:$P$4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2'!$C$5:$P$5</c:f>
              <c:numCache>
                <c:formatCode>0</c:formatCode>
                <c:ptCount val="14"/>
                <c:pt idx="0">
                  <c:v>33.709900413020215</c:v>
                </c:pt>
                <c:pt idx="1">
                  <c:v>35.018382007485968</c:v>
                </c:pt>
                <c:pt idx="2">
                  <c:v>36.21468788223634</c:v>
                </c:pt>
                <c:pt idx="3">
                  <c:v>37.453151101387846</c:v>
                </c:pt>
                <c:pt idx="4">
                  <c:v>38.907273025601938</c:v>
                </c:pt>
                <c:pt idx="5">
                  <c:v>40.015016925857111</c:v>
                </c:pt>
                <c:pt idx="6">
                  <c:v>40.704286584689498</c:v>
                </c:pt>
                <c:pt idx="7">
                  <c:v>41.284563352684295</c:v>
                </c:pt>
                <c:pt idx="8">
                  <c:v>41.812302749497668</c:v>
                </c:pt>
                <c:pt idx="9">
                  <c:v>42.536738233904103</c:v>
                </c:pt>
                <c:pt idx="10">
                  <c:v>43.163382501854564</c:v>
                </c:pt>
                <c:pt idx="11">
                  <c:v>43.800702055209179</c:v>
                </c:pt>
                <c:pt idx="12">
                  <c:v>44.001474282791506</c:v>
                </c:pt>
                <c:pt idx="13">
                  <c:v>44.42926311929152</c:v>
                </c:pt>
              </c:numCache>
            </c:numRef>
          </c:val>
          <c:smooth val="0"/>
          <c:extLst>
            <c:ext xmlns:c16="http://schemas.microsoft.com/office/drawing/2014/chart" uri="{C3380CC4-5D6E-409C-BE32-E72D297353CC}">
              <c16:uniqueId val="{00000000-1339-414B-8575-C6744592FCB3}"/>
            </c:ext>
          </c:extLst>
        </c:ser>
        <c:ser>
          <c:idx val="1"/>
          <c:order val="1"/>
          <c:tx>
            <c:strRef>
              <c:f>'Figure 2'!$B$6</c:f>
              <c:strCache>
                <c:ptCount val="1"/>
                <c:pt idx="0">
                  <c:v>FPE</c:v>
                </c:pt>
              </c:strCache>
            </c:strRef>
          </c:tx>
          <c:spPr>
            <a:ln w="19050" cap="rnd">
              <a:solidFill>
                <a:srgbClr val="6E445A"/>
              </a:solidFill>
              <a:round/>
            </a:ln>
            <a:effectLst/>
          </c:spPr>
          <c:marker>
            <c:symbol val="none"/>
          </c:marker>
          <c:cat>
            <c:numRef>
              <c:f>'Figure 2'!$C$4:$P$4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2'!$C$6:$P$6</c:f>
              <c:numCache>
                <c:formatCode>0</c:formatCode>
                <c:ptCount val="14"/>
                <c:pt idx="0">
                  <c:v>27.959340628409734</c:v>
                </c:pt>
                <c:pt idx="1">
                  <c:v>28.50146029169165</c:v>
                </c:pt>
                <c:pt idx="2">
                  <c:v>28.827144191332003</c:v>
                </c:pt>
                <c:pt idx="3">
                  <c:v>29.248438609550615</c:v>
                </c:pt>
                <c:pt idx="4">
                  <c:v>29.677180987234941</c:v>
                </c:pt>
                <c:pt idx="5">
                  <c:v>29.886815980246155</c:v>
                </c:pt>
                <c:pt idx="6">
                  <c:v>30.095471929587564</c:v>
                </c:pt>
                <c:pt idx="7">
                  <c:v>30.700043859808986</c:v>
                </c:pt>
                <c:pt idx="8">
                  <c:v>31.66960524043424</c:v>
                </c:pt>
                <c:pt idx="9">
                  <c:v>32.336112843016402</c:v>
                </c:pt>
                <c:pt idx="10">
                  <c:v>33.128700159866362</c:v>
                </c:pt>
                <c:pt idx="11">
                  <c:v>33.951295959241136</c:v>
                </c:pt>
                <c:pt idx="12">
                  <c:v>34.579145814179782</c:v>
                </c:pt>
                <c:pt idx="13">
                  <c:v>35.526498235774845</c:v>
                </c:pt>
              </c:numCache>
            </c:numRef>
          </c:val>
          <c:smooth val="0"/>
          <c:extLst>
            <c:ext xmlns:c16="http://schemas.microsoft.com/office/drawing/2014/chart" uri="{C3380CC4-5D6E-409C-BE32-E72D297353CC}">
              <c16:uniqueId val="{00000001-1339-414B-8575-C6744592FCB3}"/>
            </c:ext>
          </c:extLst>
        </c:ser>
        <c:ser>
          <c:idx val="2"/>
          <c:order val="2"/>
          <c:tx>
            <c:strRef>
              <c:f>'Figure 2'!$B$7</c:f>
              <c:strCache>
                <c:ptCount val="1"/>
                <c:pt idx="0">
                  <c:v>FPH</c:v>
                </c:pt>
              </c:strCache>
            </c:strRef>
          </c:tx>
          <c:spPr>
            <a:ln w="19050" cap="rnd">
              <a:solidFill>
                <a:srgbClr val="C3992A"/>
              </a:solidFill>
              <a:round/>
            </a:ln>
            <a:effectLst/>
          </c:spPr>
          <c:marker>
            <c:symbol val="none"/>
          </c:marker>
          <c:cat>
            <c:numRef>
              <c:f>'Figure 2'!$C$4:$P$4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2'!$C$7:$P$7</c:f>
              <c:numCache>
                <c:formatCode>0</c:formatCode>
                <c:ptCount val="14"/>
                <c:pt idx="0">
                  <c:v>27.630998779924177</c:v>
                </c:pt>
                <c:pt idx="1">
                  <c:v>28.103877873928418</c:v>
                </c:pt>
                <c:pt idx="2">
                  <c:v>28.692286938484802</c:v>
                </c:pt>
                <c:pt idx="3">
                  <c:v>29.130892000341056</c:v>
                </c:pt>
                <c:pt idx="4">
                  <c:v>29.590175349314606</c:v>
                </c:pt>
                <c:pt idx="5">
                  <c:v>29.992612023095795</c:v>
                </c:pt>
                <c:pt idx="6">
                  <c:v>30.114980535462276</c:v>
                </c:pt>
                <c:pt idx="7">
                  <c:v>30.222611235646298</c:v>
                </c:pt>
                <c:pt idx="8">
                  <c:v>30.527676700802488</c:v>
                </c:pt>
                <c:pt idx="9">
                  <c:v>30.613976293308788</c:v>
                </c:pt>
                <c:pt idx="10">
                  <c:v>31.262665820217496</c:v>
                </c:pt>
                <c:pt idx="11">
                  <c:v>31.609051470600352</c:v>
                </c:pt>
                <c:pt idx="12">
                  <c:v>31.896549637536459</c:v>
                </c:pt>
                <c:pt idx="13">
                  <c:v>32.176349180796592</c:v>
                </c:pt>
              </c:numCache>
            </c:numRef>
          </c:val>
          <c:smooth val="0"/>
          <c:extLst>
            <c:ext xmlns:c16="http://schemas.microsoft.com/office/drawing/2014/chart" uri="{C3380CC4-5D6E-409C-BE32-E72D297353CC}">
              <c16:uniqueId val="{00000002-1339-414B-8575-C6744592FCB3}"/>
            </c:ext>
          </c:extLst>
        </c:ser>
        <c:ser>
          <c:idx val="3"/>
          <c:order val="3"/>
          <c:tx>
            <c:strRef>
              <c:f>'Figure 2'!$B$8</c:f>
              <c:strCache>
                <c:ptCount val="1"/>
                <c:pt idx="0">
                  <c:v>Ensemble FP</c:v>
                </c:pt>
              </c:strCache>
            </c:strRef>
          </c:tx>
          <c:spPr>
            <a:ln w="34925" cap="rnd">
              <a:solidFill>
                <a:srgbClr val="AEA397"/>
              </a:solidFill>
              <a:round/>
            </a:ln>
            <a:effectLst/>
          </c:spPr>
          <c:marker>
            <c:symbol val="none"/>
          </c:marker>
          <c:cat>
            <c:numRef>
              <c:f>'Figure 2'!$C$4:$P$4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2'!$C$8:$P$8</c:f>
              <c:numCache>
                <c:formatCode>0</c:formatCode>
                <c:ptCount val="14"/>
                <c:pt idx="0">
                  <c:v>29.848576304763323</c:v>
                </c:pt>
                <c:pt idx="1">
                  <c:v>30.665676903418998</c:v>
                </c:pt>
                <c:pt idx="2">
                  <c:v>31.353603746648368</c:v>
                </c:pt>
                <c:pt idx="3">
                  <c:v>32.076579188340773</c:v>
                </c:pt>
                <c:pt idx="4">
                  <c:v>32.857974479595804</c:v>
                </c:pt>
                <c:pt idx="5">
                  <c:v>33.393010805051283</c:v>
                </c:pt>
                <c:pt idx="6">
                  <c:v>33.751593857437214</c:v>
                </c:pt>
                <c:pt idx="7">
                  <c:v>34.247260123630781</c:v>
                </c:pt>
                <c:pt idx="8">
                  <c:v>34.928737724487711</c:v>
                </c:pt>
                <c:pt idx="9">
                  <c:v>35.450408398926392</c:v>
                </c:pt>
                <c:pt idx="10">
                  <c:v>36.164984724354611</c:v>
                </c:pt>
                <c:pt idx="11">
                  <c:v>36.807812386451445</c:v>
                </c:pt>
                <c:pt idx="12">
                  <c:v>37.24375252202757</c:v>
                </c:pt>
                <c:pt idx="13">
                  <c:v>37.882964442090859</c:v>
                </c:pt>
              </c:numCache>
            </c:numRef>
          </c:val>
          <c:smooth val="0"/>
          <c:extLst>
            <c:ext xmlns:c16="http://schemas.microsoft.com/office/drawing/2014/chart" uri="{C3380CC4-5D6E-409C-BE32-E72D297353CC}">
              <c16:uniqueId val="{00000003-1339-414B-8575-C6744592FCB3}"/>
            </c:ext>
          </c:extLst>
        </c:ser>
        <c:dLbls>
          <c:showLegendKey val="0"/>
          <c:showVal val="0"/>
          <c:showCatName val="0"/>
          <c:showSerName val="0"/>
          <c:showPercent val="0"/>
          <c:showBubbleSize val="0"/>
        </c:dLbls>
        <c:smooth val="0"/>
        <c:axId val="-2144307216"/>
        <c:axId val="-2145545632"/>
      </c:lineChart>
      <c:catAx>
        <c:axId val="-214430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45545632"/>
        <c:crosses val="autoZero"/>
        <c:auto val="1"/>
        <c:lblAlgn val="ctr"/>
        <c:lblOffset val="100"/>
        <c:noMultiLvlLbl val="0"/>
      </c:catAx>
      <c:valAx>
        <c:axId val="-2145545632"/>
        <c:scaling>
          <c:orientation val="minMax"/>
          <c:max val="55"/>
          <c:min val="1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44307216"/>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48389680656521"/>
          <c:y val="4.6296345695234019E-2"/>
          <c:w val="0.87129396325459318"/>
          <c:h val="0.73577136191309422"/>
        </c:manualLayout>
      </c:layout>
      <c:lineChart>
        <c:grouping val="standard"/>
        <c:varyColors val="0"/>
        <c:ser>
          <c:idx val="0"/>
          <c:order val="0"/>
          <c:tx>
            <c:strRef>
              <c:f>'Figure 5'!$B$5</c:f>
              <c:strCache>
                <c:ptCount val="1"/>
                <c:pt idx="0">
                  <c:v>FPT</c:v>
                </c:pt>
              </c:strCache>
            </c:strRef>
          </c:tx>
          <c:spPr>
            <a:ln w="19050" cap="rnd">
              <a:solidFill>
                <a:srgbClr val="009081"/>
              </a:solidFill>
              <a:round/>
            </a:ln>
            <a:effectLst/>
          </c:spPr>
          <c:marker>
            <c:symbol val="none"/>
          </c:marker>
          <c:cat>
            <c:numRef>
              <c:f>'Figure 5'!$C$4:$P$4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formatCode="0">
                  <c:v>2023</c:v>
                </c:pt>
                <c:pt idx="13">
                  <c:v>2024</c:v>
                </c:pt>
              </c:numCache>
            </c:numRef>
          </c:cat>
          <c:val>
            <c:numRef>
              <c:f>'Figure 5'!$C$5:$P$5</c:f>
              <c:numCache>
                <c:formatCode>0</c:formatCode>
                <c:ptCount val="14"/>
                <c:pt idx="0">
                  <c:v>35.88776880862514</c:v>
                </c:pt>
                <c:pt idx="1">
                  <c:v>37.50324315440912</c:v>
                </c:pt>
                <c:pt idx="2">
                  <c:v>38.781880781138923</c:v>
                </c:pt>
                <c:pt idx="3">
                  <c:v>40.327107260119071</c:v>
                </c:pt>
                <c:pt idx="4">
                  <c:v>41.941156214703277</c:v>
                </c:pt>
                <c:pt idx="5">
                  <c:v>43.34804814370149</c:v>
                </c:pt>
                <c:pt idx="6">
                  <c:v>44.389841432489916</c:v>
                </c:pt>
                <c:pt idx="7">
                  <c:v>45.321073675765611</c:v>
                </c:pt>
                <c:pt idx="8">
                  <c:v>46.157820643383452</c:v>
                </c:pt>
                <c:pt idx="9">
                  <c:v>47.316386509591837</c:v>
                </c:pt>
                <c:pt idx="10">
                  <c:v>48.519240166686131</c:v>
                </c:pt>
                <c:pt idx="11">
                  <c:v>49.518147075886496</c:v>
                </c:pt>
                <c:pt idx="12">
                  <c:v>50.624494999750361</c:v>
                </c:pt>
                <c:pt idx="13">
                  <c:v>51.457709694401046</c:v>
                </c:pt>
              </c:numCache>
            </c:numRef>
          </c:val>
          <c:smooth val="0"/>
          <c:extLst>
            <c:ext xmlns:c16="http://schemas.microsoft.com/office/drawing/2014/chart" uri="{C3380CC4-5D6E-409C-BE32-E72D297353CC}">
              <c16:uniqueId val="{00000000-B14B-4B0A-9329-626F8C86F6A0}"/>
            </c:ext>
          </c:extLst>
        </c:ser>
        <c:ser>
          <c:idx val="1"/>
          <c:order val="1"/>
          <c:tx>
            <c:strRef>
              <c:f>'Figure 5'!$B$6</c:f>
              <c:strCache>
                <c:ptCount val="1"/>
                <c:pt idx="0">
                  <c:v>FPE</c:v>
                </c:pt>
              </c:strCache>
            </c:strRef>
          </c:tx>
          <c:spPr>
            <a:ln w="19050" cap="rnd">
              <a:solidFill>
                <a:srgbClr val="6E445A"/>
              </a:solidFill>
              <a:round/>
            </a:ln>
            <a:effectLst/>
          </c:spPr>
          <c:marker>
            <c:symbol val="none"/>
          </c:marker>
          <c:cat>
            <c:numRef>
              <c:f>'Figure 5'!$C$4:$P$4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formatCode="0">
                  <c:v>2023</c:v>
                </c:pt>
                <c:pt idx="13">
                  <c:v>2024</c:v>
                </c:pt>
              </c:numCache>
            </c:numRef>
          </c:cat>
          <c:val>
            <c:numRef>
              <c:f>'Figure 5'!$C$6:$P$6</c:f>
              <c:numCache>
                <c:formatCode>0</c:formatCode>
                <c:ptCount val="14"/>
                <c:pt idx="0">
                  <c:v>33.169949277048104</c:v>
                </c:pt>
                <c:pt idx="1">
                  <c:v>33.869256147971107</c:v>
                </c:pt>
                <c:pt idx="2">
                  <c:v>34.347054265846744</c:v>
                </c:pt>
                <c:pt idx="3">
                  <c:v>34.520744803638834</c:v>
                </c:pt>
                <c:pt idx="4">
                  <c:v>34.947313278687567</c:v>
                </c:pt>
                <c:pt idx="5">
                  <c:v>35.352320676470192</c:v>
                </c:pt>
                <c:pt idx="6">
                  <c:v>35.645202481436108</c:v>
                </c:pt>
                <c:pt idx="7">
                  <c:v>36.225956202282113</c:v>
                </c:pt>
                <c:pt idx="8">
                  <c:v>37.22624464089705</c:v>
                </c:pt>
                <c:pt idx="9">
                  <c:v>38.362048995098661</c:v>
                </c:pt>
                <c:pt idx="10">
                  <c:v>39.542384090707181</c:v>
                </c:pt>
                <c:pt idx="11">
                  <c:v>40.89962631212024</c:v>
                </c:pt>
                <c:pt idx="12">
                  <c:v>42.171766687427009</c:v>
                </c:pt>
                <c:pt idx="13">
                  <c:v>43.556790274722054</c:v>
                </c:pt>
              </c:numCache>
            </c:numRef>
          </c:val>
          <c:smooth val="0"/>
          <c:extLst>
            <c:ext xmlns:c16="http://schemas.microsoft.com/office/drawing/2014/chart" uri="{C3380CC4-5D6E-409C-BE32-E72D297353CC}">
              <c16:uniqueId val="{00000001-B14B-4B0A-9329-626F8C86F6A0}"/>
            </c:ext>
          </c:extLst>
        </c:ser>
        <c:ser>
          <c:idx val="2"/>
          <c:order val="2"/>
          <c:tx>
            <c:strRef>
              <c:f>'Figure 5'!$B$7</c:f>
              <c:strCache>
                <c:ptCount val="1"/>
                <c:pt idx="0">
                  <c:v>FPH</c:v>
                </c:pt>
              </c:strCache>
            </c:strRef>
          </c:tx>
          <c:spPr>
            <a:ln w="19050" cap="rnd">
              <a:solidFill>
                <a:srgbClr val="C3992A"/>
              </a:solidFill>
              <a:round/>
            </a:ln>
            <a:effectLst/>
          </c:spPr>
          <c:marker>
            <c:symbol val="none"/>
          </c:marker>
          <c:cat>
            <c:numRef>
              <c:f>'Figure 5'!$C$4:$P$4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formatCode="0">
                  <c:v>2023</c:v>
                </c:pt>
                <c:pt idx="13">
                  <c:v>2024</c:v>
                </c:pt>
              </c:numCache>
            </c:numRef>
          </c:cat>
          <c:val>
            <c:numRef>
              <c:f>'Figure 5'!$C$7:$P$7</c:f>
              <c:numCache>
                <c:formatCode>0</c:formatCode>
                <c:ptCount val="14"/>
                <c:pt idx="0">
                  <c:v>29.953309723483475</c:v>
                </c:pt>
                <c:pt idx="1">
                  <c:v>30.487393296835485</c:v>
                </c:pt>
                <c:pt idx="2">
                  <c:v>31.391283441840773</c:v>
                </c:pt>
                <c:pt idx="3">
                  <c:v>32.14695094677203</c:v>
                </c:pt>
                <c:pt idx="4">
                  <c:v>32.972212291825336</c:v>
                </c:pt>
                <c:pt idx="5">
                  <c:v>33.71319353901491</c:v>
                </c:pt>
                <c:pt idx="6">
                  <c:v>34.236940745454945</c:v>
                </c:pt>
                <c:pt idx="7">
                  <c:v>34.726925154089479</c:v>
                </c:pt>
                <c:pt idx="8">
                  <c:v>35.307864192549765</c:v>
                </c:pt>
                <c:pt idx="9">
                  <c:v>35.980410021084886</c:v>
                </c:pt>
                <c:pt idx="10">
                  <c:v>36.719324322481548</c:v>
                </c:pt>
                <c:pt idx="11">
                  <c:v>36.975609273839254</c:v>
                </c:pt>
                <c:pt idx="12">
                  <c:v>37.219703275007745</c:v>
                </c:pt>
                <c:pt idx="13">
                  <c:v>37.717015673253421</c:v>
                </c:pt>
              </c:numCache>
            </c:numRef>
          </c:val>
          <c:smooth val="0"/>
          <c:extLst>
            <c:ext xmlns:c16="http://schemas.microsoft.com/office/drawing/2014/chart" uri="{C3380CC4-5D6E-409C-BE32-E72D297353CC}">
              <c16:uniqueId val="{00000002-B14B-4B0A-9329-626F8C86F6A0}"/>
            </c:ext>
          </c:extLst>
        </c:ser>
        <c:ser>
          <c:idx val="3"/>
          <c:order val="3"/>
          <c:tx>
            <c:strRef>
              <c:f>'Figure 5'!$B$8</c:f>
              <c:strCache>
                <c:ptCount val="1"/>
                <c:pt idx="0">
                  <c:v>Ensemble FP</c:v>
                </c:pt>
              </c:strCache>
            </c:strRef>
          </c:tx>
          <c:spPr>
            <a:ln w="34925" cap="rnd">
              <a:solidFill>
                <a:srgbClr val="AEA397"/>
              </a:solidFill>
              <a:round/>
            </a:ln>
            <a:effectLst/>
          </c:spPr>
          <c:marker>
            <c:symbol val="none"/>
          </c:marker>
          <c:cat>
            <c:numRef>
              <c:f>'Figure 5'!$C$4:$P$4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formatCode="0">
                  <c:v>2023</c:v>
                </c:pt>
                <c:pt idx="13">
                  <c:v>2024</c:v>
                </c:pt>
              </c:numCache>
            </c:numRef>
          </c:cat>
          <c:val>
            <c:numRef>
              <c:f>'Figure 5'!$C$8:$P$8</c:f>
              <c:numCache>
                <c:formatCode>0</c:formatCode>
                <c:ptCount val="14"/>
                <c:pt idx="0">
                  <c:v>33.481338559512047</c:v>
                </c:pt>
                <c:pt idx="1">
                  <c:v>34.498635483125319</c:v>
                </c:pt>
                <c:pt idx="2">
                  <c:v>35.387534322448353</c:v>
                </c:pt>
                <c:pt idx="3">
                  <c:v>36.220355075762498</c:v>
                </c:pt>
                <c:pt idx="4">
                  <c:v>37.1922043761125</c:v>
                </c:pt>
                <c:pt idx="5">
                  <c:v>38.050415879159473</c:v>
                </c:pt>
                <c:pt idx="6">
                  <c:v>38.683811022941441</c:v>
                </c:pt>
                <c:pt idx="7">
                  <c:v>39.393179060688098</c:v>
                </c:pt>
                <c:pt idx="8">
                  <c:v>40.255309319175147</c:v>
                </c:pt>
                <c:pt idx="9">
                  <c:v>41.290453490179956</c:v>
                </c:pt>
                <c:pt idx="10">
                  <c:v>42.381031008493629</c:v>
                </c:pt>
                <c:pt idx="11">
                  <c:v>43.336072711976861</c:v>
                </c:pt>
                <c:pt idx="12">
                  <c:v>44.283748685095404</c:v>
                </c:pt>
                <c:pt idx="13">
                  <c:v>45.256466113305549</c:v>
                </c:pt>
              </c:numCache>
            </c:numRef>
          </c:val>
          <c:smooth val="0"/>
          <c:extLst>
            <c:ext xmlns:c16="http://schemas.microsoft.com/office/drawing/2014/chart" uri="{C3380CC4-5D6E-409C-BE32-E72D297353CC}">
              <c16:uniqueId val="{00000003-B14B-4B0A-9329-626F8C86F6A0}"/>
            </c:ext>
          </c:extLst>
        </c:ser>
        <c:dLbls>
          <c:showLegendKey val="0"/>
          <c:showVal val="0"/>
          <c:showCatName val="0"/>
          <c:showSerName val="0"/>
          <c:showPercent val="0"/>
          <c:showBubbleSize val="0"/>
        </c:dLbls>
        <c:smooth val="0"/>
        <c:axId val="-2055654752"/>
        <c:axId val="-2055652032"/>
      </c:lineChart>
      <c:catAx>
        <c:axId val="-205565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5652032"/>
        <c:crosses val="autoZero"/>
        <c:auto val="1"/>
        <c:lblAlgn val="ctr"/>
        <c:lblOffset val="100"/>
        <c:noMultiLvlLbl val="0"/>
      </c:catAx>
      <c:valAx>
        <c:axId val="-2055652032"/>
        <c:scaling>
          <c:orientation val="minMax"/>
          <c:max val="55"/>
          <c:min val="1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5654752"/>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4838145231846"/>
          <c:y val="4.6296296296296294E-2"/>
          <c:w val="0.87129396325459318"/>
          <c:h val="0.73577136191309422"/>
        </c:manualLayout>
      </c:layout>
      <c:lineChart>
        <c:grouping val="standard"/>
        <c:varyColors val="0"/>
        <c:ser>
          <c:idx val="0"/>
          <c:order val="0"/>
          <c:tx>
            <c:strRef>
              <c:f>'Figure 8'!$B$5</c:f>
              <c:strCache>
                <c:ptCount val="1"/>
                <c:pt idx="0">
                  <c:v>FPE</c:v>
                </c:pt>
              </c:strCache>
            </c:strRef>
          </c:tx>
          <c:spPr>
            <a:ln w="19050" cap="rnd">
              <a:solidFill>
                <a:srgbClr val="6E445A"/>
              </a:solidFill>
              <a:round/>
            </a:ln>
            <a:effectLst/>
          </c:spPr>
          <c:marker>
            <c:symbol val="none"/>
          </c:marker>
          <c:cat>
            <c:numRef>
              <c:f>'Figure 8'!$C$4:$P$4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8'!$C$5:$P$5</c:f>
              <c:numCache>
                <c:formatCode>0</c:formatCode>
                <c:ptCount val="14"/>
                <c:pt idx="0">
                  <c:v>4.921756737336823</c:v>
                </c:pt>
                <c:pt idx="1">
                  <c:v>5.4397432873181826</c:v>
                </c:pt>
                <c:pt idx="2">
                  <c:v>5.7075417725077893</c:v>
                </c:pt>
                <c:pt idx="3">
                  <c:v>5.986715262492238</c:v>
                </c:pt>
                <c:pt idx="4">
                  <c:v>6.3877584495522939</c:v>
                </c:pt>
                <c:pt idx="5">
                  <c:v>6.7923232121984052</c:v>
                </c:pt>
                <c:pt idx="6">
                  <c:v>7.0416406702075731</c:v>
                </c:pt>
                <c:pt idx="7">
                  <c:v>7.3563132099234441</c:v>
                </c:pt>
                <c:pt idx="8">
                  <c:v>7.8339573299400733</c:v>
                </c:pt>
                <c:pt idx="9">
                  <c:v>8.25194347050682</c:v>
                </c:pt>
                <c:pt idx="10">
                  <c:v>8.5387417207647989</c:v>
                </c:pt>
                <c:pt idx="11">
                  <c:v>8.7616096002431778</c:v>
                </c:pt>
                <c:pt idx="12">
                  <c:v>9.0515536690305094</c:v>
                </c:pt>
                <c:pt idx="13">
                  <c:v>9.5498809377946596</c:v>
                </c:pt>
              </c:numCache>
            </c:numRef>
          </c:val>
          <c:smooth val="0"/>
          <c:extLst>
            <c:ext xmlns:c16="http://schemas.microsoft.com/office/drawing/2014/chart" uri="{C3380CC4-5D6E-409C-BE32-E72D297353CC}">
              <c16:uniqueId val="{00000001-2D01-4714-8979-E88712AF2C98}"/>
            </c:ext>
          </c:extLst>
        </c:ser>
        <c:ser>
          <c:idx val="1"/>
          <c:order val="1"/>
          <c:tx>
            <c:strRef>
              <c:f>'Figure 8'!$B$6</c:f>
              <c:strCache>
                <c:ptCount val="1"/>
                <c:pt idx="0">
                  <c:v>FPT</c:v>
                </c:pt>
              </c:strCache>
            </c:strRef>
          </c:tx>
          <c:spPr>
            <a:ln w="19050" cap="rnd">
              <a:solidFill>
                <a:srgbClr val="009081"/>
              </a:solidFill>
              <a:round/>
            </a:ln>
            <a:effectLst/>
          </c:spPr>
          <c:marker>
            <c:symbol val="none"/>
          </c:marker>
          <c:cat>
            <c:numRef>
              <c:f>'Figure 8'!$C$4:$P$4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8'!$C$6:$P$6</c:f>
              <c:numCache>
                <c:formatCode>0</c:formatCode>
                <c:ptCount val="14"/>
                <c:pt idx="0">
                  <c:v>3.7637817389565238</c:v>
                </c:pt>
                <c:pt idx="1">
                  <c:v>4.4731403875001314</c:v>
                </c:pt>
                <c:pt idx="2">
                  <c:v>4.9150476667614056</c:v>
                </c:pt>
                <c:pt idx="3">
                  <c:v>5.5322815765452793</c:v>
                </c:pt>
                <c:pt idx="4">
                  <c:v>6.2071302872504219</c:v>
                </c:pt>
                <c:pt idx="5">
                  <c:v>6.9094270071899748</c:v>
                </c:pt>
                <c:pt idx="6">
                  <c:v>7.4721038639674182</c:v>
                </c:pt>
                <c:pt idx="7">
                  <c:v>8.0443276382361297</c:v>
                </c:pt>
                <c:pt idx="8">
                  <c:v>8.7049280318914288</c:v>
                </c:pt>
                <c:pt idx="9">
                  <c:v>9.4633734813947665</c:v>
                </c:pt>
                <c:pt idx="10">
                  <c:v>10.159795022225049</c:v>
                </c:pt>
                <c:pt idx="11">
                  <c:v>10.689430027229536</c:v>
                </c:pt>
                <c:pt idx="12">
                  <c:v>11.626837427366109</c:v>
                </c:pt>
                <c:pt idx="13">
                  <c:v>12.708473585936208</c:v>
                </c:pt>
              </c:numCache>
            </c:numRef>
          </c:val>
          <c:smooth val="0"/>
          <c:extLst>
            <c:ext xmlns:c16="http://schemas.microsoft.com/office/drawing/2014/chart" uri="{C3380CC4-5D6E-409C-BE32-E72D297353CC}">
              <c16:uniqueId val="{00000003-2D01-4714-8979-E88712AF2C98}"/>
            </c:ext>
          </c:extLst>
        </c:ser>
        <c:ser>
          <c:idx val="2"/>
          <c:order val="2"/>
          <c:tx>
            <c:strRef>
              <c:f>'Figure 8'!$B$7</c:f>
              <c:strCache>
                <c:ptCount val="1"/>
                <c:pt idx="0">
                  <c:v>FPH</c:v>
                </c:pt>
              </c:strCache>
            </c:strRef>
          </c:tx>
          <c:spPr>
            <a:ln w="19050" cap="rnd">
              <a:solidFill>
                <a:srgbClr val="C3992A"/>
              </a:solidFill>
              <a:round/>
            </a:ln>
            <a:effectLst/>
          </c:spPr>
          <c:marker>
            <c:symbol val="none"/>
          </c:marker>
          <c:cat>
            <c:numRef>
              <c:f>'Figure 8'!$C$4:$P$4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8'!$C$7:$P$7</c:f>
              <c:numCache>
                <c:formatCode>0</c:formatCode>
                <c:ptCount val="14"/>
                <c:pt idx="0">
                  <c:v>1.7777707726870977</c:v>
                </c:pt>
                <c:pt idx="1">
                  <c:v>2.0278723973588479</c:v>
                </c:pt>
                <c:pt idx="2">
                  <c:v>2.4447365619628703</c:v>
                </c:pt>
                <c:pt idx="3">
                  <c:v>2.8636350082003879</c:v>
                </c:pt>
                <c:pt idx="4">
                  <c:v>3.3111862234375171</c:v>
                </c:pt>
                <c:pt idx="5">
                  <c:v>3.6954731324540364</c:v>
                </c:pt>
                <c:pt idx="6">
                  <c:v>4.1023494196021302</c:v>
                </c:pt>
                <c:pt idx="7">
                  <c:v>4.3676544966696094</c:v>
                </c:pt>
                <c:pt idx="8">
                  <c:v>4.7543959006552976</c:v>
                </c:pt>
                <c:pt idx="9">
                  <c:v>5.1678423876867239</c:v>
                </c:pt>
                <c:pt idx="10">
                  <c:v>5.6793655791742959</c:v>
                </c:pt>
                <c:pt idx="11">
                  <c:v>5.8535518369354467</c:v>
                </c:pt>
                <c:pt idx="12">
                  <c:v>6.2385074713533601</c:v>
                </c:pt>
                <c:pt idx="13">
                  <c:v>6.7133083599552128</c:v>
                </c:pt>
              </c:numCache>
            </c:numRef>
          </c:val>
          <c:smooth val="0"/>
          <c:extLst>
            <c:ext xmlns:c16="http://schemas.microsoft.com/office/drawing/2014/chart" uri="{C3380CC4-5D6E-409C-BE32-E72D297353CC}">
              <c16:uniqueId val="{00000005-2D01-4714-8979-E88712AF2C98}"/>
            </c:ext>
          </c:extLst>
        </c:ser>
        <c:ser>
          <c:idx val="3"/>
          <c:order val="3"/>
          <c:tx>
            <c:strRef>
              <c:f>'Figure 8'!$B$8</c:f>
              <c:strCache>
                <c:ptCount val="1"/>
                <c:pt idx="0">
                  <c:v>Ensemble FP</c:v>
                </c:pt>
              </c:strCache>
            </c:strRef>
          </c:tx>
          <c:spPr>
            <a:ln w="34925" cap="rnd">
              <a:solidFill>
                <a:srgbClr val="AEA397"/>
              </a:solidFill>
              <a:round/>
            </a:ln>
            <a:effectLst/>
          </c:spPr>
          <c:marker>
            <c:symbol val="none"/>
          </c:marker>
          <c:cat>
            <c:numRef>
              <c:f>'Figure 8'!$C$4:$P$4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8'!$C$8:$P$8</c:f>
              <c:numCache>
                <c:formatCode>0</c:formatCode>
                <c:ptCount val="14"/>
                <c:pt idx="0">
                  <c:v>3.8057317187180617</c:v>
                </c:pt>
                <c:pt idx="1">
                  <c:v>4.3306495816411799</c:v>
                </c:pt>
                <c:pt idx="2">
                  <c:v>4.6916053543674128</c:v>
                </c:pt>
                <c:pt idx="3">
                  <c:v>5.132080379787995</c:v>
                </c:pt>
                <c:pt idx="4">
                  <c:v>5.6505419830777166</c:v>
                </c:pt>
                <c:pt idx="5">
                  <c:v>6.166710800852262</c:v>
                </c:pt>
                <c:pt idx="6">
                  <c:v>6.573655027801693</c:v>
                </c:pt>
                <c:pt idx="7">
                  <c:v>6.9828950415646336</c:v>
                </c:pt>
                <c:pt idx="8">
                  <c:v>7.5153632923645537</c:v>
                </c:pt>
                <c:pt idx="9">
                  <c:v>8.060973070973624</c:v>
                </c:pt>
                <c:pt idx="10">
                  <c:v>8.549022372539234</c:v>
                </c:pt>
                <c:pt idx="11">
                  <c:v>8.8686561681735032</c:v>
                </c:pt>
                <c:pt idx="12">
                  <c:v>9.4077360620112742</c:v>
                </c:pt>
                <c:pt idx="13">
                  <c:v>10.11854229603218</c:v>
                </c:pt>
              </c:numCache>
            </c:numRef>
          </c:val>
          <c:smooth val="0"/>
          <c:extLst>
            <c:ext xmlns:c16="http://schemas.microsoft.com/office/drawing/2014/chart" uri="{C3380CC4-5D6E-409C-BE32-E72D297353CC}">
              <c16:uniqueId val="{00000007-2D01-4714-8979-E88712AF2C98}"/>
            </c:ext>
          </c:extLst>
        </c:ser>
        <c:dLbls>
          <c:showLegendKey val="0"/>
          <c:showVal val="0"/>
          <c:showCatName val="0"/>
          <c:showSerName val="0"/>
          <c:showPercent val="0"/>
          <c:showBubbleSize val="0"/>
        </c:dLbls>
        <c:smooth val="0"/>
        <c:axId val="-2055648224"/>
        <c:axId val="-2055653120"/>
      </c:lineChart>
      <c:catAx>
        <c:axId val="-205564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5653120"/>
        <c:crosses val="autoZero"/>
        <c:auto val="1"/>
        <c:lblAlgn val="ctr"/>
        <c:lblOffset val="100"/>
        <c:noMultiLvlLbl val="0"/>
      </c:catAx>
      <c:valAx>
        <c:axId val="-2055653120"/>
        <c:scaling>
          <c:orientation val="minMax"/>
          <c:max val="15"/>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5648224"/>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10'!$B$5</c:f>
              <c:strCache>
                <c:ptCount val="1"/>
                <c:pt idx="0">
                  <c:v>FPT</c:v>
                </c:pt>
              </c:strCache>
            </c:strRef>
          </c:tx>
          <c:spPr>
            <a:ln w="19050" cap="rnd">
              <a:solidFill>
                <a:srgbClr val="009081"/>
              </a:solidFill>
              <a:round/>
            </a:ln>
            <a:effectLst/>
          </c:spPr>
          <c:marker>
            <c:symbol val="none"/>
          </c:marker>
          <c:cat>
            <c:numRef>
              <c:f>'Figure 10'!$C$4:$P$4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10'!$C$5:$P$5</c:f>
              <c:numCache>
                <c:formatCode>0</c:formatCode>
                <c:ptCount val="14"/>
                <c:pt idx="0">
                  <c:v>22.454754908508082</c:v>
                </c:pt>
                <c:pt idx="1">
                  <c:v>23.025918902321905</c:v>
                </c:pt>
                <c:pt idx="2">
                  <c:v>23.473997249377803</c:v>
                </c:pt>
                <c:pt idx="3">
                  <c:v>23.424281780015871</c:v>
                </c:pt>
                <c:pt idx="4">
                  <c:v>23.916267781298455</c:v>
                </c:pt>
                <c:pt idx="5">
                  <c:v>23.977806111726053</c:v>
                </c:pt>
                <c:pt idx="6">
                  <c:v>24.146374534404234</c:v>
                </c:pt>
                <c:pt idx="7">
                  <c:v>24.402690672386861</c:v>
                </c:pt>
                <c:pt idx="8">
                  <c:v>24.651718352971187</c:v>
                </c:pt>
                <c:pt idx="9">
                  <c:v>24.679682588069426</c:v>
                </c:pt>
                <c:pt idx="10">
                  <c:v>24.702181294489638</c:v>
                </c:pt>
                <c:pt idx="11">
                  <c:v>25.292321126647614</c:v>
                </c:pt>
                <c:pt idx="12">
                  <c:v>25.399728319994352</c:v>
                </c:pt>
                <c:pt idx="13">
                  <c:v>25.875125017859695</c:v>
                </c:pt>
              </c:numCache>
            </c:numRef>
          </c:val>
          <c:smooth val="0"/>
          <c:extLst>
            <c:ext xmlns:c16="http://schemas.microsoft.com/office/drawing/2014/chart" uri="{C3380CC4-5D6E-409C-BE32-E72D297353CC}">
              <c16:uniqueId val="{00000000-E8C0-47D4-8CB3-E365ABA0C449}"/>
            </c:ext>
          </c:extLst>
        </c:ser>
        <c:ser>
          <c:idx val="1"/>
          <c:order val="1"/>
          <c:tx>
            <c:strRef>
              <c:f>'Figure 10'!$B$6</c:f>
              <c:strCache>
                <c:ptCount val="1"/>
                <c:pt idx="0">
                  <c:v>FPE</c:v>
                </c:pt>
              </c:strCache>
            </c:strRef>
          </c:tx>
          <c:spPr>
            <a:ln w="19050" cap="rnd">
              <a:solidFill>
                <a:srgbClr val="6E445A"/>
              </a:solidFill>
              <a:round/>
            </a:ln>
            <a:effectLst/>
          </c:spPr>
          <c:marker>
            <c:symbol val="none"/>
          </c:marker>
          <c:cat>
            <c:numRef>
              <c:f>'Figure 10'!$C$4:$P$4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10'!$C$6:$P$6</c:f>
              <c:numCache>
                <c:formatCode>0</c:formatCode>
                <c:ptCount val="14"/>
                <c:pt idx="0">
                  <c:v>19.394507071570207</c:v>
                </c:pt>
                <c:pt idx="1">
                  <c:v>19.586049746558306</c:v>
                </c:pt>
                <c:pt idx="2">
                  <c:v>19.66850828729282</c:v>
                </c:pt>
                <c:pt idx="3">
                  <c:v>20.592729441078443</c:v>
                </c:pt>
                <c:pt idx="4">
                  <c:v>21.390777935234958</c:v>
                </c:pt>
                <c:pt idx="5">
                  <c:v>22.006180175897313</c:v>
                </c:pt>
                <c:pt idx="6">
                  <c:v>22.622176522311541</c:v>
                </c:pt>
                <c:pt idx="7">
                  <c:v>23.698401737281589</c:v>
                </c:pt>
                <c:pt idx="8">
                  <c:v>25.490848230942255</c:v>
                </c:pt>
                <c:pt idx="9">
                  <c:v>25.599429680383384</c:v>
                </c:pt>
                <c:pt idx="10">
                  <c:v>25.904692209180286</c:v>
                </c:pt>
                <c:pt idx="11">
                  <c:v>25.647573076775231</c:v>
                </c:pt>
                <c:pt idx="12">
                  <c:v>25.776258411289533</c:v>
                </c:pt>
                <c:pt idx="13">
                  <c:v>26.849134565058534</c:v>
                </c:pt>
              </c:numCache>
            </c:numRef>
          </c:val>
          <c:smooth val="0"/>
          <c:extLst>
            <c:ext xmlns:c16="http://schemas.microsoft.com/office/drawing/2014/chart" uri="{C3380CC4-5D6E-409C-BE32-E72D297353CC}">
              <c16:uniqueId val="{00000001-E8C0-47D4-8CB3-E365ABA0C449}"/>
            </c:ext>
          </c:extLst>
        </c:ser>
        <c:ser>
          <c:idx val="2"/>
          <c:order val="2"/>
          <c:tx>
            <c:strRef>
              <c:f>'Figure 10'!$B$7</c:f>
              <c:strCache>
                <c:ptCount val="1"/>
                <c:pt idx="0">
                  <c:v>FPH</c:v>
                </c:pt>
              </c:strCache>
            </c:strRef>
          </c:tx>
          <c:spPr>
            <a:ln w="19050" cap="rnd">
              <a:solidFill>
                <a:srgbClr val="C3992A"/>
              </a:solidFill>
              <a:round/>
            </a:ln>
            <a:effectLst/>
          </c:spPr>
          <c:marker>
            <c:symbol val="none"/>
          </c:marker>
          <c:cat>
            <c:numRef>
              <c:f>'Figure 10'!$C$4:$P$4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10'!$C$7:$P$7</c:f>
              <c:numCache>
                <c:formatCode>0</c:formatCode>
                <c:ptCount val="14"/>
                <c:pt idx="0">
                  <c:v>14.455741935483871</c:v>
                </c:pt>
                <c:pt idx="1">
                  <c:v>14.704646275974783</c:v>
                </c:pt>
                <c:pt idx="2">
                  <c:v>14.608873321657912</c:v>
                </c:pt>
                <c:pt idx="3">
                  <c:v>14.468532089279904</c:v>
                </c:pt>
                <c:pt idx="4">
                  <c:v>14.336096957415508</c:v>
                </c:pt>
                <c:pt idx="5">
                  <c:v>14.256422797108742</c:v>
                </c:pt>
                <c:pt idx="6">
                  <c:v>14.302594171997157</c:v>
                </c:pt>
                <c:pt idx="7">
                  <c:v>14.672153772803695</c:v>
                </c:pt>
                <c:pt idx="8">
                  <c:v>15.28617736707146</c:v>
                </c:pt>
                <c:pt idx="9">
                  <c:v>15.486009432504616</c:v>
                </c:pt>
                <c:pt idx="10">
                  <c:v>16.757568139671296</c:v>
                </c:pt>
                <c:pt idx="11">
                  <c:v>17.861008876380168</c:v>
                </c:pt>
                <c:pt idx="12">
                  <c:v>18.928687061870807</c:v>
                </c:pt>
                <c:pt idx="13">
                  <c:v>19.612897507579927</c:v>
                </c:pt>
              </c:numCache>
            </c:numRef>
          </c:val>
          <c:smooth val="0"/>
          <c:extLst>
            <c:ext xmlns:c16="http://schemas.microsoft.com/office/drawing/2014/chart" uri="{C3380CC4-5D6E-409C-BE32-E72D297353CC}">
              <c16:uniqueId val="{00000002-E8C0-47D4-8CB3-E365ABA0C449}"/>
            </c:ext>
          </c:extLst>
        </c:ser>
        <c:ser>
          <c:idx val="3"/>
          <c:order val="3"/>
          <c:tx>
            <c:strRef>
              <c:f>'Figure 10'!$B$8</c:f>
              <c:strCache>
                <c:ptCount val="1"/>
                <c:pt idx="0">
                  <c:v>Ensemble FP</c:v>
                </c:pt>
              </c:strCache>
            </c:strRef>
          </c:tx>
          <c:spPr>
            <a:ln w="34925" cap="rnd">
              <a:solidFill>
                <a:srgbClr val="AEA397"/>
              </a:solidFill>
              <a:round/>
            </a:ln>
            <a:effectLst/>
          </c:spPr>
          <c:marker>
            <c:symbol val="none"/>
          </c:marker>
          <c:cat>
            <c:numRef>
              <c:f>'Figure 10'!$C$4:$P$4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'Figure 10'!$C$8:$P$8</c:f>
              <c:numCache>
                <c:formatCode>0</c:formatCode>
                <c:ptCount val="14"/>
                <c:pt idx="0">
                  <c:v>19.550122515654778</c:v>
                </c:pt>
                <c:pt idx="1">
                  <c:v>19.940959393755346</c:v>
                </c:pt>
                <c:pt idx="2">
                  <c:v>20.064831875320071</c:v>
                </c:pt>
                <c:pt idx="3">
                  <c:v>20.369307543052461</c:v>
                </c:pt>
                <c:pt idx="4">
                  <c:v>20.806686116077458</c:v>
                </c:pt>
                <c:pt idx="5">
                  <c:v>21.031799670023865</c:v>
                </c:pt>
                <c:pt idx="6">
                  <c:v>21.344913429379858</c:v>
                </c:pt>
                <c:pt idx="7">
                  <c:v>21.939571942234341</c:v>
                </c:pt>
                <c:pt idx="8">
                  <c:v>22.936416842775337</c:v>
                </c:pt>
                <c:pt idx="9">
                  <c:v>22.979488627912378</c:v>
                </c:pt>
                <c:pt idx="10">
                  <c:v>23.437521586805982</c:v>
                </c:pt>
                <c:pt idx="11">
                  <c:v>23.891874367798465</c:v>
                </c:pt>
                <c:pt idx="12">
                  <c:v>24.295975784629245</c:v>
                </c:pt>
                <c:pt idx="13">
                  <c:v>25.084338085438439</c:v>
                </c:pt>
              </c:numCache>
            </c:numRef>
          </c:val>
          <c:smooth val="0"/>
          <c:extLst>
            <c:ext xmlns:c16="http://schemas.microsoft.com/office/drawing/2014/chart" uri="{C3380CC4-5D6E-409C-BE32-E72D297353CC}">
              <c16:uniqueId val="{00000003-E8C0-47D4-8CB3-E365ABA0C449}"/>
            </c:ext>
          </c:extLst>
        </c:ser>
        <c:dLbls>
          <c:showLegendKey val="0"/>
          <c:showVal val="0"/>
          <c:showCatName val="0"/>
          <c:showSerName val="0"/>
          <c:showPercent val="0"/>
          <c:showBubbleSize val="0"/>
        </c:dLbls>
        <c:smooth val="0"/>
        <c:axId val="-2055661280"/>
        <c:axId val="-2055661824"/>
      </c:lineChart>
      <c:catAx>
        <c:axId val="-205566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5661824"/>
        <c:crosses val="autoZero"/>
        <c:auto val="1"/>
        <c:lblAlgn val="ctr"/>
        <c:lblOffset val="100"/>
        <c:noMultiLvlLbl val="0"/>
      </c:catAx>
      <c:valAx>
        <c:axId val="-2055661824"/>
        <c:scaling>
          <c:orientation val="minMax"/>
          <c:max val="55"/>
          <c:min val="1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5661280"/>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79380955758912E-2"/>
          <c:y val="4.9808429118773943E-2"/>
          <c:w val="0.89498758601120809"/>
          <c:h val="0.78132802365221588"/>
        </c:manualLayout>
      </c:layout>
      <c:lineChart>
        <c:grouping val="standard"/>
        <c:varyColors val="0"/>
        <c:ser>
          <c:idx val="0"/>
          <c:order val="0"/>
          <c:tx>
            <c:strRef>
              <c:f>'Figure encadré'!$B$5</c:f>
              <c:strCache>
                <c:ptCount val="1"/>
                <c:pt idx="0">
                  <c:v>Fonction publique</c:v>
                </c:pt>
              </c:strCache>
            </c:strRef>
          </c:tx>
          <c:spPr>
            <a:ln w="19050" cap="rnd">
              <a:solidFill>
                <a:srgbClr val="AEA397"/>
              </a:solidFill>
              <a:round/>
            </a:ln>
            <a:effectLst/>
          </c:spPr>
          <c:marker>
            <c:symbol val="none"/>
          </c:marker>
          <c:cat>
            <c:numRef>
              <c:f>'Figure encadré'!$C$4:$M$4</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'Figure encadré'!$C$5:$M$5</c:f>
              <c:numCache>
                <c:formatCode>0</c:formatCode>
                <c:ptCount val="11"/>
                <c:pt idx="0">
                  <c:v>34.146923191572107</c:v>
                </c:pt>
                <c:pt idx="1">
                  <c:v>34.512901872605561</c:v>
                </c:pt>
                <c:pt idx="2">
                  <c:v>35.264434107071011</c:v>
                </c:pt>
                <c:pt idx="3">
                  <c:v>35.74402777930927</c:v>
                </c:pt>
                <c:pt idx="4">
                  <c:v>35.733770570776699</c:v>
                </c:pt>
                <c:pt idx="5">
                  <c:v>36.437568399335596</c:v>
                </c:pt>
                <c:pt idx="6">
                  <c:v>37.13596427803035</c:v>
                </c:pt>
                <c:pt idx="7">
                  <c:v>38.138234670322937</c:v>
                </c:pt>
                <c:pt idx="8">
                  <c:v>38.527316167478347</c:v>
                </c:pt>
                <c:pt idx="9">
                  <c:v>39.615032371556559</c:v>
                </c:pt>
                <c:pt idx="10">
                  <c:v>40.501277964634362</c:v>
                </c:pt>
              </c:numCache>
            </c:numRef>
          </c:val>
          <c:smooth val="0"/>
          <c:extLst>
            <c:ext xmlns:c16="http://schemas.microsoft.com/office/drawing/2014/chart" uri="{C3380CC4-5D6E-409C-BE32-E72D297353CC}">
              <c16:uniqueId val="{00000000-15DA-40EF-8EA3-498EB9631027}"/>
            </c:ext>
          </c:extLst>
        </c:ser>
        <c:ser>
          <c:idx val="1"/>
          <c:order val="1"/>
          <c:tx>
            <c:strRef>
              <c:f>'Figure encadré'!$B$6</c:f>
              <c:strCache>
                <c:ptCount val="1"/>
                <c:pt idx="0">
                  <c:v>Secteur privé</c:v>
                </c:pt>
              </c:strCache>
            </c:strRef>
          </c:tx>
          <c:spPr>
            <a:ln w="19050" cap="rnd">
              <a:solidFill>
                <a:srgbClr val="D8C634"/>
              </a:solidFill>
              <a:round/>
            </a:ln>
            <a:effectLst/>
          </c:spPr>
          <c:marker>
            <c:symbol val="none"/>
          </c:marker>
          <c:cat>
            <c:numRef>
              <c:f>'Figure encadré'!$C$4:$M$4</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'Figure encadré'!$C$6:$M$6</c:f>
              <c:numCache>
                <c:formatCode>0</c:formatCode>
                <c:ptCount val="11"/>
                <c:pt idx="0">
                  <c:v>27.981642325685396</c:v>
                </c:pt>
                <c:pt idx="1">
                  <c:v>28.831402907886023</c:v>
                </c:pt>
                <c:pt idx="2">
                  <c:v>28.838392331497531</c:v>
                </c:pt>
                <c:pt idx="3">
                  <c:v>29.255697046761391</c:v>
                </c:pt>
                <c:pt idx="4">
                  <c:v>29.663883928384628</c:v>
                </c:pt>
                <c:pt idx="5">
                  <c:v>29.780464640004201</c:v>
                </c:pt>
                <c:pt idx="6">
                  <c:v>30.57325772122886</c:v>
                </c:pt>
                <c:pt idx="7">
                  <c:v>30.807154740076015</c:v>
                </c:pt>
                <c:pt idx="8">
                  <c:v>31.117505396914407</c:v>
                </c:pt>
                <c:pt idx="9">
                  <c:v>31.663205381615722</c:v>
                </c:pt>
                <c:pt idx="10">
                  <c:v>32.316156523632216</c:v>
                </c:pt>
              </c:numCache>
            </c:numRef>
          </c:val>
          <c:smooth val="0"/>
          <c:extLst>
            <c:ext xmlns:c16="http://schemas.microsoft.com/office/drawing/2014/chart" uri="{C3380CC4-5D6E-409C-BE32-E72D297353CC}">
              <c16:uniqueId val="{00000001-15DA-40EF-8EA3-498EB9631027}"/>
            </c:ext>
          </c:extLst>
        </c:ser>
        <c:dLbls>
          <c:showLegendKey val="0"/>
          <c:showVal val="0"/>
          <c:showCatName val="0"/>
          <c:showSerName val="0"/>
          <c:showPercent val="0"/>
          <c:showBubbleSize val="0"/>
        </c:dLbls>
        <c:smooth val="0"/>
        <c:axId val="-2055656384"/>
        <c:axId val="-2055657472"/>
      </c:lineChart>
      <c:catAx>
        <c:axId val="-205565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5657472"/>
        <c:crosses val="autoZero"/>
        <c:auto val="1"/>
        <c:lblAlgn val="ctr"/>
        <c:lblOffset val="100"/>
        <c:noMultiLvlLbl val="0"/>
      </c:catAx>
      <c:valAx>
        <c:axId val="-2055657472"/>
        <c:scaling>
          <c:orientation val="minMax"/>
          <c:max val="55"/>
          <c:min val="1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5656384"/>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38100</xdr:colOff>
      <xdr:row>10</xdr:row>
      <xdr:rowOff>119062</xdr:rowOff>
    </xdr:from>
    <xdr:to>
      <xdr:col>7</xdr:col>
      <xdr:colOff>539749</xdr:colOff>
      <xdr:row>25</xdr:row>
      <xdr:rowOff>196850</xdr:rowOff>
    </xdr:to>
    <xdr:graphicFrame macro="">
      <xdr:nvGraphicFramePr>
        <xdr:cNvPr id="2" name="Graphique 1">
          <a:extLst>
            <a:ext uri="{FF2B5EF4-FFF2-40B4-BE49-F238E27FC236}">
              <a16:creationId xmlns:a16="http://schemas.microsoft.com/office/drawing/2014/main" id="{E6F5EBCA-E90D-4028-8298-00109C7AF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19051</xdr:colOff>
      <xdr:row>10</xdr:row>
      <xdr:rowOff>23812</xdr:rowOff>
    </xdr:from>
    <xdr:to>
      <xdr:col>7</xdr:col>
      <xdr:colOff>57150</xdr:colOff>
      <xdr:row>21</xdr:row>
      <xdr:rowOff>476250</xdr:rowOff>
    </xdr:to>
    <xdr:graphicFrame macro="">
      <xdr:nvGraphicFramePr>
        <xdr:cNvPr id="3" name="Graphique 2">
          <a:extLst>
            <a:ext uri="{FF2B5EF4-FFF2-40B4-BE49-F238E27FC236}">
              <a16:creationId xmlns:a16="http://schemas.microsoft.com/office/drawing/2014/main" id="{C69624D9-0185-41BF-8BB5-82CE4C47E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10</xdr:row>
      <xdr:rowOff>138112</xdr:rowOff>
    </xdr:from>
    <xdr:to>
      <xdr:col>6</xdr:col>
      <xdr:colOff>741715</xdr:colOff>
      <xdr:row>21</xdr:row>
      <xdr:rowOff>157253</xdr:rowOff>
    </xdr:to>
    <xdr:graphicFrame macro="">
      <xdr:nvGraphicFramePr>
        <xdr:cNvPr id="2" name="Graphique 1">
          <a:extLst>
            <a:ext uri="{FF2B5EF4-FFF2-40B4-BE49-F238E27FC236}">
              <a16:creationId xmlns:a16="http://schemas.microsoft.com/office/drawing/2014/main" id="{DE7B1884-DB72-4350-8B86-D60DF9C7475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23812</xdr:colOff>
      <xdr:row>10</xdr:row>
      <xdr:rowOff>100012</xdr:rowOff>
    </xdr:from>
    <xdr:to>
      <xdr:col>6</xdr:col>
      <xdr:colOff>740092</xdr:colOff>
      <xdr:row>21</xdr:row>
      <xdr:rowOff>148780</xdr:rowOff>
    </xdr:to>
    <xdr:graphicFrame macro="">
      <xdr:nvGraphicFramePr>
        <xdr:cNvPr id="3" name="Graphique 2">
          <a:extLst>
            <a:ext uri="{FF2B5EF4-FFF2-40B4-BE49-F238E27FC236}">
              <a16:creationId xmlns:a16="http://schemas.microsoft.com/office/drawing/2014/main" id="{5C19E335-F86C-40DE-A8CF-19385E04222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209550</xdr:colOff>
      <xdr:row>8</xdr:row>
      <xdr:rowOff>38100</xdr:rowOff>
    </xdr:from>
    <xdr:to>
      <xdr:col>6</xdr:col>
      <xdr:colOff>673100</xdr:colOff>
      <xdr:row>22</xdr:row>
      <xdr:rowOff>6350</xdr:rowOff>
    </xdr:to>
    <xdr:graphicFrame macro="">
      <xdr:nvGraphicFramePr>
        <xdr:cNvPr id="3" name="Graphique 2">
          <a:extLst>
            <a:ext uri="{FF2B5EF4-FFF2-40B4-BE49-F238E27FC236}">
              <a16:creationId xmlns:a16="http://schemas.microsoft.com/office/drawing/2014/main" id="{8EDFD85D-B17A-4C87-8605-633C3B983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E1F56-00D3-4904-8D1C-C3E4DA7B7D33}">
  <dimension ref="B2:Q14"/>
  <sheetViews>
    <sheetView tabSelected="1" workbookViewId="0">
      <selection activeCell="B2" sqref="B2:O2"/>
    </sheetView>
  </sheetViews>
  <sheetFormatPr baseColWidth="10" defaultColWidth="11.42578125" defaultRowHeight="12.75" x14ac:dyDescent="0.2"/>
  <cols>
    <col min="1" max="1" width="3.28515625" style="9" customWidth="1"/>
    <col min="2" max="11" width="11.42578125" style="9"/>
    <col min="12" max="12" width="6.7109375" style="9" customWidth="1"/>
    <col min="13" max="15" width="11.42578125" style="9" hidden="1" customWidth="1"/>
    <col min="16" max="16" width="12.7109375" style="9" customWidth="1"/>
    <col min="17" max="17" width="15.7109375" style="9" customWidth="1"/>
    <col min="18" max="16384" width="11.42578125" style="9"/>
  </cols>
  <sheetData>
    <row r="2" spans="2:17" ht="76.5" x14ac:dyDescent="0.2">
      <c r="B2" s="193" t="s">
        <v>65</v>
      </c>
      <c r="C2" s="193"/>
      <c r="D2" s="193"/>
      <c r="E2" s="193"/>
      <c r="F2" s="193"/>
      <c r="G2" s="193"/>
      <c r="H2" s="193"/>
      <c r="I2" s="193"/>
      <c r="J2" s="193"/>
      <c r="K2" s="193"/>
      <c r="L2" s="193"/>
      <c r="M2" s="193"/>
      <c r="N2" s="193"/>
      <c r="O2" s="193"/>
      <c r="P2" s="89" t="s">
        <v>23</v>
      </c>
      <c r="Q2" s="1" t="s">
        <v>66</v>
      </c>
    </row>
    <row r="3" spans="2:17" x14ac:dyDescent="0.2">
      <c r="B3" s="194" t="s">
        <v>46</v>
      </c>
      <c r="C3" s="195"/>
      <c r="D3" s="195"/>
      <c r="E3" s="195"/>
      <c r="F3" s="195"/>
      <c r="G3" s="195"/>
      <c r="H3" s="195"/>
      <c r="I3" s="195"/>
      <c r="J3" s="195"/>
      <c r="K3" s="195"/>
      <c r="L3" s="195"/>
      <c r="M3" s="195"/>
      <c r="N3" s="195"/>
      <c r="O3" s="195"/>
      <c r="P3" s="2" t="s">
        <v>24</v>
      </c>
      <c r="Q3" s="54" t="s">
        <v>25</v>
      </c>
    </row>
    <row r="4" spans="2:17" x14ac:dyDescent="0.2">
      <c r="B4" s="196" t="s">
        <v>15</v>
      </c>
      <c r="C4" s="197"/>
      <c r="D4" s="197"/>
      <c r="E4" s="197"/>
      <c r="F4" s="197"/>
      <c r="G4" s="197"/>
      <c r="H4" s="197"/>
      <c r="I4" s="197"/>
      <c r="J4" s="197"/>
      <c r="K4" s="197"/>
      <c r="L4" s="197"/>
      <c r="M4" s="197"/>
      <c r="N4" s="197"/>
      <c r="O4" s="197"/>
      <c r="P4" s="2" t="s">
        <v>26</v>
      </c>
      <c r="Q4" s="54"/>
    </row>
    <row r="5" spans="2:17" x14ac:dyDescent="0.2">
      <c r="B5" s="196" t="s">
        <v>50</v>
      </c>
      <c r="C5" s="197"/>
      <c r="D5" s="197"/>
      <c r="E5" s="197"/>
      <c r="F5" s="197"/>
      <c r="G5" s="197"/>
      <c r="H5" s="197"/>
      <c r="I5" s="197"/>
      <c r="J5" s="197"/>
      <c r="K5" s="197"/>
      <c r="L5" s="197"/>
      <c r="M5" s="197"/>
      <c r="N5" s="197"/>
      <c r="O5" s="197"/>
      <c r="P5" s="2" t="s">
        <v>27</v>
      </c>
      <c r="Q5" s="54" t="s">
        <v>25</v>
      </c>
    </row>
    <row r="6" spans="2:17" x14ac:dyDescent="0.2">
      <c r="B6" s="194" t="s">
        <v>52</v>
      </c>
      <c r="C6" s="195"/>
      <c r="D6" s="195"/>
      <c r="E6" s="195"/>
      <c r="F6" s="195"/>
      <c r="G6" s="195"/>
      <c r="H6" s="195"/>
      <c r="I6" s="195"/>
      <c r="J6" s="195"/>
      <c r="K6" s="195"/>
      <c r="L6" s="195"/>
      <c r="M6" s="195"/>
      <c r="N6" s="195"/>
      <c r="O6" s="195"/>
      <c r="P6" s="2" t="s">
        <v>28</v>
      </c>
      <c r="Q6" s="54" t="s">
        <v>25</v>
      </c>
    </row>
    <row r="7" spans="2:17" x14ac:dyDescent="0.2">
      <c r="B7" s="198" t="s">
        <v>14</v>
      </c>
      <c r="C7" s="199"/>
      <c r="D7" s="199"/>
      <c r="E7" s="199"/>
      <c r="F7" s="199"/>
      <c r="G7" s="199"/>
      <c r="H7" s="199"/>
      <c r="I7" s="199"/>
      <c r="J7" s="199"/>
      <c r="K7" s="199"/>
      <c r="L7" s="199"/>
      <c r="M7" s="199"/>
      <c r="N7" s="199"/>
      <c r="O7" s="199"/>
      <c r="P7" s="2" t="s">
        <v>29</v>
      </c>
      <c r="Q7" s="54"/>
    </row>
    <row r="8" spans="2:17" x14ac:dyDescent="0.2">
      <c r="B8" s="200" t="s">
        <v>54</v>
      </c>
      <c r="C8" s="201"/>
      <c r="D8" s="201"/>
      <c r="E8" s="201"/>
      <c r="F8" s="201"/>
      <c r="G8" s="201"/>
      <c r="H8" s="201"/>
      <c r="I8" s="201"/>
      <c r="J8" s="201"/>
      <c r="K8" s="201"/>
      <c r="L8" s="201"/>
      <c r="M8" s="201"/>
      <c r="N8" s="201"/>
      <c r="O8" s="201"/>
      <c r="P8" s="2" t="s">
        <v>28</v>
      </c>
      <c r="Q8" s="54" t="s">
        <v>25</v>
      </c>
    </row>
    <row r="9" spans="2:17" x14ac:dyDescent="0.2">
      <c r="B9" s="194" t="s">
        <v>56</v>
      </c>
      <c r="C9" s="195"/>
      <c r="D9" s="195"/>
      <c r="E9" s="195"/>
      <c r="F9" s="195"/>
      <c r="G9" s="195"/>
      <c r="H9" s="195"/>
      <c r="I9" s="195"/>
      <c r="J9" s="195"/>
      <c r="K9" s="195"/>
      <c r="L9" s="195"/>
      <c r="M9" s="195"/>
      <c r="N9" s="195"/>
      <c r="O9" s="195"/>
      <c r="P9" s="2" t="s">
        <v>30</v>
      </c>
      <c r="Q9" s="54" t="s">
        <v>25</v>
      </c>
    </row>
    <row r="10" spans="2:17" x14ac:dyDescent="0.2">
      <c r="B10" s="200" t="s">
        <v>58</v>
      </c>
      <c r="C10" s="201"/>
      <c r="D10" s="201"/>
      <c r="E10" s="201"/>
      <c r="F10" s="201"/>
      <c r="G10" s="201"/>
      <c r="H10" s="201"/>
      <c r="I10" s="201"/>
      <c r="J10" s="201"/>
      <c r="K10" s="201"/>
      <c r="L10" s="201"/>
      <c r="M10" s="201"/>
      <c r="N10" s="201"/>
      <c r="O10" s="201"/>
      <c r="P10" s="2" t="s">
        <v>31</v>
      </c>
      <c r="Q10" s="54"/>
    </row>
    <row r="11" spans="2:17" x14ac:dyDescent="0.2">
      <c r="B11" s="200" t="s">
        <v>61</v>
      </c>
      <c r="C11" s="201"/>
      <c r="D11" s="201"/>
      <c r="E11" s="201"/>
      <c r="F11" s="201"/>
      <c r="G11" s="201"/>
      <c r="H11" s="201"/>
      <c r="I11" s="201"/>
      <c r="J11" s="201"/>
      <c r="K11" s="201"/>
      <c r="L11" s="201"/>
      <c r="M11" s="201"/>
      <c r="N11" s="201"/>
      <c r="O11" s="201"/>
      <c r="P11" s="2" t="s">
        <v>32</v>
      </c>
      <c r="Q11" s="55" t="s">
        <v>25</v>
      </c>
    </row>
    <row r="12" spans="2:17" x14ac:dyDescent="0.2">
      <c r="B12" s="200" t="s">
        <v>62</v>
      </c>
      <c r="C12" s="201"/>
      <c r="D12" s="201"/>
      <c r="E12" s="201"/>
      <c r="F12" s="201"/>
      <c r="G12" s="201"/>
      <c r="H12" s="201"/>
      <c r="I12" s="201"/>
      <c r="J12" s="201"/>
      <c r="K12" s="201"/>
      <c r="L12" s="201"/>
      <c r="M12" s="201"/>
      <c r="N12" s="201"/>
      <c r="O12" s="201"/>
      <c r="P12" s="2" t="s">
        <v>33</v>
      </c>
      <c r="Q12" s="54"/>
    </row>
    <row r="13" spans="2:17" x14ac:dyDescent="0.2">
      <c r="B13" s="200" t="s">
        <v>76</v>
      </c>
      <c r="C13" s="201"/>
      <c r="D13" s="201"/>
      <c r="E13" s="201"/>
      <c r="F13" s="201"/>
      <c r="G13" s="201"/>
      <c r="H13" s="201"/>
      <c r="I13" s="201"/>
      <c r="J13" s="201"/>
      <c r="K13" s="201"/>
      <c r="L13" s="201"/>
      <c r="M13" s="201"/>
      <c r="N13" s="201"/>
      <c r="O13" s="201"/>
      <c r="P13" s="2" t="s">
        <v>64</v>
      </c>
      <c r="Q13" s="55" t="s">
        <v>25</v>
      </c>
    </row>
    <row r="14" spans="2:17" s="18" customFormat="1" ht="25.5" x14ac:dyDescent="0.25">
      <c r="B14" s="191" t="s">
        <v>34</v>
      </c>
      <c r="C14" s="192"/>
      <c r="D14" s="192"/>
      <c r="E14" s="192"/>
      <c r="F14" s="192"/>
      <c r="G14" s="192"/>
      <c r="H14" s="192"/>
      <c r="I14" s="192"/>
      <c r="J14" s="192"/>
      <c r="K14" s="192"/>
      <c r="L14" s="192"/>
      <c r="M14" s="192"/>
      <c r="N14" s="192"/>
      <c r="O14" s="192"/>
      <c r="P14" s="3" t="s">
        <v>35</v>
      </c>
      <c r="Q14" s="55"/>
    </row>
  </sheetData>
  <mergeCells count="13">
    <mergeCell ref="B14:O14"/>
    <mergeCell ref="B2:O2"/>
    <mergeCell ref="B3:O3"/>
    <mergeCell ref="B4:O4"/>
    <mergeCell ref="B5:O5"/>
    <mergeCell ref="B7:O7"/>
    <mergeCell ref="B10:O10"/>
    <mergeCell ref="B11:O11"/>
    <mergeCell ref="B12:O12"/>
    <mergeCell ref="B13:O13"/>
    <mergeCell ref="B6:O6"/>
    <mergeCell ref="B8:O8"/>
    <mergeCell ref="B9:O9"/>
  </mergeCells>
  <hyperlinks>
    <hyperlink ref="B3:O3" location="'Figure 1'!A1" display="Figure 1 : Les agents de 50 ans ou plus dans la fonction publique en 2024 " xr:uid="{09609FD5-2742-4D96-A359-C3C32E758285}"/>
    <hyperlink ref="B4:O4" location="'Figure 2'!A1" display="Figure 2 : Part des 50 ans ou plus dans la fonction publique depuis 2011 " xr:uid="{77162871-C7F4-4FFB-B537-79576AC44162}"/>
    <hyperlink ref="B5:O5" location="'Figure 3'!A1" display="Figure 3 : Répartition des agents de 50 ans ou plus par statut, et part des femmes, en 2024" xr:uid="{4B54230D-854C-4C17-9A86-FB2E526DFFAD}"/>
    <hyperlink ref="B7:O7" location="'Figure 5'!A1" display="Figure 5 : Part des 50 ans ou plus au sein des fonctionnaires depuis 2011 " xr:uid="{00358DB2-014A-482F-BB95-7ADC583E259D}"/>
    <hyperlink ref="B10:O10" location="'Figure 8'!A1" display="Figure 8 : Part des 60 ans et plus parmi les fonctionnaires depuis 2011" xr:uid="{D88BF183-C837-48AF-8DF4-34D279447BDE}"/>
    <hyperlink ref="B11:O11" location="'Figure 9'!A1" display="Figure 9 : Les contractuels de 50 ans ou plus dans la fonction publique en 2024" xr:uid="{B2DDC9F6-9E6B-4DB1-8488-0485BFD08FFE}"/>
    <hyperlink ref="B12:O12" location="'Figure 10'!A1" display="Figure 10 : Part des 50 ans ou plus parmi les contractuels de la fonction publique depuis 2011 " xr:uid="{B8D7406F-8199-45A8-B356-0D565CD6FB87}"/>
    <hyperlink ref="B13:O13" location="'Figure 11'!A1" display="Figure 11 : Répartition des contractuels de la fonction publique de 50 ans ou plus par tranche d'âge, en 2024" xr:uid="{D7506A29-A365-4629-811A-28813E547AF5}"/>
    <hyperlink ref="B14:O14" location="'Figure encadré'!A1" display="Figure encadré : Part des 50 ans ou plus dans la fonction publique et le secteur privé depuis 2014" xr:uid="{DE5EDED0-3F59-4D41-930F-0AB807BFF25F}"/>
    <hyperlink ref="B6:O6" location="'Figure 4'!A1" display="Figure 4 : Les fonctionnaires de 50 ans ou plus en 2024 " xr:uid="{4CE188F9-5189-4343-A75A-B3ACAADF16DE}"/>
    <hyperlink ref="B8:O8" location="'Figure 6'!A1" display="Figure 6 : Fonctionnaires de 50 ans ou plus par catégorie hiérarchique, en 2024" xr:uid="{DBF08644-77CA-4C3D-9CA1-31C805AF79C5}"/>
    <hyperlink ref="B9:O9" location="'Figure 7'!A1" display="Figure 7 : Les fonctionnaires de 60 ans ou plus en 2024 " xr:uid="{A1312FF2-D50E-42BE-9577-330228E71F5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13"/>
  <sheetViews>
    <sheetView zoomScaleNormal="100" workbookViewId="0">
      <selection activeCell="C6" sqref="C6:H9"/>
    </sheetView>
  </sheetViews>
  <sheetFormatPr baseColWidth="10" defaultColWidth="11.42578125" defaultRowHeight="12.75" x14ac:dyDescent="0.2"/>
  <cols>
    <col min="1" max="1" width="3.7109375" style="116" customWidth="1"/>
    <col min="2" max="2" width="32.5703125" style="116" customWidth="1"/>
    <col min="3" max="8" width="15.7109375" style="116" customWidth="1"/>
    <col min="9" max="16384" width="11.42578125" style="116"/>
  </cols>
  <sheetData>
    <row r="2" spans="2:13" x14ac:dyDescent="0.2">
      <c r="B2" s="114" t="s">
        <v>44</v>
      </c>
      <c r="C2" s="115"/>
      <c r="D2" s="115"/>
      <c r="E2" s="115"/>
      <c r="F2" s="115"/>
      <c r="G2" s="115"/>
      <c r="H2" s="115"/>
    </row>
    <row r="3" spans="2:13" x14ac:dyDescent="0.2">
      <c r="B3" s="114"/>
      <c r="C3" s="115"/>
      <c r="D3" s="115"/>
      <c r="E3" s="115"/>
      <c r="F3" s="115"/>
      <c r="G3" s="115"/>
      <c r="H3" s="115"/>
    </row>
    <row r="4" spans="2:13" ht="55.5" customHeight="1" x14ac:dyDescent="0.2">
      <c r="B4" s="117"/>
      <c r="C4" s="202">
        <v>2024</v>
      </c>
      <c r="D4" s="202"/>
      <c r="E4" s="202"/>
      <c r="F4" s="203" t="s">
        <v>45</v>
      </c>
      <c r="G4" s="204"/>
      <c r="H4" s="205"/>
    </row>
    <row r="5" spans="2:13" ht="45" customHeight="1" x14ac:dyDescent="0.2">
      <c r="B5" s="118"/>
      <c r="C5" s="119" t="s">
        <v>90</v>
      </c>
      <c r="D5" s="119" t="s">
        <v>0</v>
      </c>
      <c r="E5" s="120" t="s">
        <v>5</v>
      </c>
      <c r="F5" s="121" t="s">
        <v>70</v>
      </c>
      <c r="G5" s="121" t="s">
        <v>82</v>
      </c>
      <c r="H5" s="121" t="s">
        <v>83</v>
      </c>
    </row>
    <row r="6" spans="2:13" ht="30" customHeight="1" x14ac:dyDescent="0.2">
      <c r="B6" s="122" t="s">
        <v>43</v>
      </c>
      <c r="C6" s="123">
        <v>917.24800000000005</v>
      </c>
      <c r="D6" s="123">
        <v>35.526498235774845</v>
      </c>
      <c r="E6" s="124">
        <v>60.131065971253136</v>
      </c>
      <c r="F6" s="125">
        <v>3.5594730168980981</v>
      </c>
      <c r="G6" s="125">
        <v>3.1235360665867073</v>
      </c>
      <c r="H6" s="125">
        <v>2.1369154259601952</v>
      </c>
    </row>
    <row r="7" spans="2:13" ht="30" customHeight="1" x14ac:dyDescent="0.2">
      <c r="B7" s="126" t="s">
        <v>39</v>
      </c>
      <c r="C7" s="127">
        <v>896.50699999999995</v>
      </c>
      <c r="D7" s="127">
        <v>44.42926311929152</v>
      </c>
      <c r="E7" s="128">
        <v>61.817029872605566</v>
      </c>
      <c r="F7" s="129">
        <v>1.748609692429917</v>
      </c>
      <c r="G7" s="129">
        <v>2.1609014712880681</v>
      </c>
      <c r="H7" s="129">
        <v>3.1124668532053201</v>
      </c>
      <c r="J7" s="130"/>
    </row>
    <row r="8" spans="2:13" ht="30" customHeight="1" x14ac:dyDescent="0.2">
      <c r="B8" s="126" t="s">
        <v>40</v>
      </c>
      <c r="C8" s="127">
        <v>401.75099999999998</v>
      </c>
      <c r="D8" s="127">
        <v>32.176349180796592</v>
      </c>
      <c r="E8" s="128">
        <v>76.279088291006119</v>
      </c>
      <c r="F8" s="129">
        <v>1.406434970051416</v>
      </c>
      <c r="G8" s="129">
        <v>2.0146859221952251</v>
      </c>
      <c r="H8" s="129">
        <v>1.9669808852532888</v>
      </c>
      <c r="J8" s="130"/>
      <c r="M8" s="131"/>
    </row>
    <row r="9" spans="2:13" s="131" customFormat="1" x14ac:dyDescent="0.2">
      <c r="B9" s="132" t="s">
        <v>84</v>
      </c>
      <c r="C9" s="133">
        <v>2215.5059999999999</v>
      </c>
      <c r="D9" s="133">
        <v>37.882964442090859</v>
      </c>
      <c r="E9" s="134">
        <v>63.741510968600402</v>
      </c>
      <c r="F9" s="135">
        <v>2.4274618585298198</v>
      </c>
      <c r="G9" s="135">
        <v>2.5271478636905709</v>
      </c>
      <c r="H9" s="135">
        <v>2.4902791195254403</v>
      </c>
    </row>
    <row r="10" spans="2:13" x14ac:dyDescent="0.2">
      <c r="B10" s="136"/>
      <c r="C10" s="137"/>
      <c r="D10" s="137"/>
      <c r="E10" s="137"/>
      <c r="F10" s="138"/>
      <c r="G10" s="115"/>
      <c r="H10" s="115"/>
    </row>
    <row r="11" spans="2:13" x14ac:dyDescent="0.2">
      <c r="B11" s="139" t="s">
        <v>17</v>
      </c>
      <c r="C11" s="140"/>
      <c r="D11" s="140"/>
      <c r="E11" s="140"/>
      <c r="F11" s="140"/>
      <c r="G11" s="115"/>
      <c r="H11" s="115"/>
    </row>
    <row r="12" spans="2:13" ht="15" customHeight="1" x14ac:dyDescent="0.2">
      <c r="B12" s="206" t="s">
        <v>18</v>
      </c>
      <c r="C12" s="206"/>
      <c r="D12" s="206"/>
      <c r="E12" s="206"/>
      <c r="F12" s="206"/>
      <c r="G12" s="206"/>
      <c r="H12" s="206"/>
    </row>
    <row r="13" spans="2:13" s="141" customFormat="1" ht="45" customHeight="1" x14ac:dyDescent="0.25">
      <c r="B13" s="207" t="s">
        <v>85</v>
      </c>
      <c r="C13" s="207"/>
      <c r="D13" s="207"/>
      <c r="E13" s="207"/>
      <c r="F13" s="207"/>
      <c r="G13" s="207"/>
      <c r="H13" s="207"/>
    </row>
  </sheetData>
  <mergeCells count="4">
    <mergeCell ref="C4:E4"/>
    <mergeCell ref="F4:H4"/>
    <mergeCell ref="B12:H12"/>
    <mergeCell ref="B13:H1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R28"/>
  <sheetViews>
    <sheetView workbookViewId="0">
      <selection activeCell="N18" sqref="N18"/>
    </sheetView>
  </sheetViews>
  <sheetFormatPr baseColWidth="10" defaultColWidth="11.42578125" defaultRowHeight="12.75" x14ac:dyDescent="0.2"/>
  <cols>
    <col min="1" max="1" width="3.7109375" style="9" customWidth="1"/>
    <col min="2" max="2" width="12.5703125" style="9" customWidth="1"/>
    <col min="3" max="15" width="12.7109375" style="9" customWidth="1"/>
    <col min="16" max="16384" width="11.42578125" style="9"/>
  </cols>
  <sheetData>
    <row r="2" spans="2:18" x14ac:dyDescent="0.2">
      <c r="B2" s="11" t="s">
        <v>15</v>
      </c>
    </row>
    <row r="3" spans="2:18" x14ac:dyDescent="0.2">
      <c r="B3" s="11"/>
    </row>
    <row r="4" spans="2:18" x14ac:dyDescent="0.2">
      <c r="C4" s="103">
        <v>2011</v>
      </c>
      <c r="D4" s="103">
        <v>2012</v>
      </c>
      <c r="E4" s="103">
        <v>2013</v>
      </c>
      <c r="F4" s="103">
        <v>2014</v>
      </c>
      <c r="G4" s="103">
        <v>2015</v>
      </c>
      <c r="H4" s="103">
        <v>2016</v>
      </c>
      <c r="I4" s="103">
        <v>2017</v>
      </c>
      <c r="J4" s="103">
        <v>2018</v>
      </c>
      <c r="K4" s="103">
        <v>2019</v>
      </c>
      <c r="L4" s="103">
        <v>2020</v>
      </c>
      <c r="M4" s="103">
        <v>2021</v>
      </c>
      <c r="N4" s="103">
        <v>2022</v>
      </c>
      <c r="O4" s="103">
        <v>2023</v>
      </c>
      <c r="P4" s="103">
        <v>2024</v>
      </c>
      <c r="Q4" s="22"/>
      <c r="R4" s="22"/>
    </row>
    <row r="5" spans="2:18" x14ac:dyDescent="0.2">
      <c r="B5" s="99" t="s">
        <v>3</v>
      </c>
      <c r="C5" s="100">
        <v>33.709900413020215</v>
      </c>
      <c r="D5" s="100">
        <v>35.018382007485968</v>
      </c>
      <c r="E5" s="100">
        <v>36.21468788223634</v>
      </c>
      <c r="F5" s="100">
        <v>37.453151101387846</v>
      </c>
      <c r="G5" s="100">
        <v>38.907273025601938</v>
      </c>
      <c r="H5" s="100">
        <v>40.015016925857111</v>
      </c>
      <c r="I5" s="100">
        <v>40.704286584689498</v>
      </c>
      <c r="J5" s="100">
        <v>41.284563352684295</v>
      </c>
      <c r="K5" s="100">
        <v>41.812302749497668</v>
      </c>
      <c r="L5" s="100">
        <v>42.536738233904103</v>
      </c>
      <c r="M5" s="100">
        <v>43.163382501854564</v>
      </c>
      <c r="N5" s="100">
        <v>43.800702055209179</v>
      </c>
      <c r="O5" s="100">
        <v>44.001474282791506</v>
      </c>
      <c r="P5" s="100">
        <v>44.42926311929152</v>
      </c>
      <c r="Q5" s="64"/>
      <c r="R5" s="22"/>
    </row>
    <row r="6" spans="2:18" x14ac:dyDescent="0.2">
      <c r="B6" s="99" t="s">
        <v>1</v>
      </c>
      <c r="C6" s="100">
        <v>27.959340628409734</v>
      </c>
      <c r="D6" s="100">
        <v>28.50146029169165</v>
      </c>
      <c r="E6" s="100">
        <v>28.827144191332003</v>
      </c>
      <c r="F6" s="100">
        <v>29.248438609550615</v>
      </c>
      <c r="G6" s="100">
        <v>29.677180987234941</v>
      </c>
      <c r="H6" s="100">
        <v>29.886815980246155</v>
      </c>
      <c r="I6" s="100">
        <v>30.095471929587564</v>
      </c>
      <c r="J6" s="100">
        <v>30.700043859808986</v>
      </c>
      <c r="K6" s="100">
        <v>31.66960524043424</v>
      </c>
      <c r="L6" s="100">
        <v>32.336112843016402</v>
      </c>
      <c r="M6" s="100">
        <v>33.128700159866362</v>
      </c>
      <c r="N6" s="100">
        <v>33.951295959241136</v>
      </c>
      <c r="O6" s="100">
        <v>34.579145814179782</v>
      </c>
      <c r="P6" s="100">
        <v>35.526498235774845</v>
      </c>
      <c r="Q6" s="64"/>
      <c r="R6" s="22"/>
    </row>
    <row r="7" spans="2:18" x14ac:dyDescent="0.2">
      <c r="B7" s="99" t="s">
        <v>2</v>
      </c>
      <c r="C7" s="100">
        <v>27.630998779924177</v>
      </c>
      <c r="D7" s="100">
        <v>28.103877873928418</v>
      </c>
      <c r="E7" s="100">
        <v>28.692286938484802</v>
      </c>
      <c r="F7" s="100">
        <v>29.130892000341056</v>
      </c>
      <c r="G7" s="100">
        <v>29.590175349314606</v>
      </c>
      <c r="H7" s="100">
        <v>29.992612023095795</v>
      </c>
      <c r="I7" s="100">
        <v>30.114980535462276</v>
      </c>
      <c r="J7" s="100">
        <v>30.222611235646298</v>
      </c>
      <c r="K7" s="100">
        <v>30.527676700802488</v>
      </c>
      <c r="L7" s="100">
        <v>30.613976293308788</v>
      </c>
      <c r="M7" s="100">
        <v>31.262665820217496</v>
      </c>
      <c r="N7" s="100">
        <v>31.609051470600352</v>
      </c>
      <c r="O7" s="100">
        <v>31.896549637536459</v>
      </c>
      <c r="P7" s="100">
        <v>32.176349180796592</v>
      </c>
      <c r="Q7" s="64"/>
      <c r="R7" s="22"/>
    </row>
    <row r="8" spans="2:18" x14ac:dyDescent="0.2">
      <c r="B8" s="101" t="s">
        <v>4</v>
      </c>
      <c r="C8" s="102">
        <v>29.848576304763323</v>
      </c>
      <c r="D8" s="102">
        <v>30.665676903418998</v>
      </c>
      <c r="E8" s="102">
        <v>31.353603746648368</v>
      </c>
      <c r="F8" s="102">
        <v>32.076579188340773</v>
      </c>
      <c r="G8" s="102">
        <v>32.857974479595804</v>
      </c>
      <c r="H8" s="102">
        <v>33.393010805051283</v>
      </c>
      <c r="I8" s="102">
        <v>33.751593857437214</v>
      </c>
      <c r="J8" s="102">
        <v>34.247260123630781</v>
      </c>
      <c r="K8" s="102">
        <v>34.928737724487711</v>
      </c>
      <c r="L8" s="102">
        <v>35.450408398926392</v>
      </c>
      <c r="M8" s="102">
        <v>36.164984724354611</v>
      </c>
      <c r="N8" s="102">
        <v>36.807812386451445</v>
      </c>
      <c r="O8" s="102">
        <v>37.24375252202757</v>
      </c>
      <c r="P8" s="102">
        <v>37.882964442090859</v>
      </c>
      <c r="Q8" s="64"/>
      <c r="R8" s="22"/>
    </row>
    <row r="9" spans="2:18" x14ac:dyDescent="0.2">
      <c r="B9" s="94"/>
      <c r="C9" s="82"/>
      <c r="D9" s="95"/>
      <c r="E9" s="95"/>
      <c r="F9" s="95"/>
      <c r="G9" s="95"/>
      <c r="H9" s="95"/>
      <c r="I9" s="95"/>
      <c r="J9" s="95"/>
      <c r="K9" s="95"/>
      <c r="L9" s="95"/>
      <c r="M9" s="95"/>
      <c r="N9" s="95"/>
      <c r="O9" s="95"/>
      <c r="P9" s="95"/>
      <c r="Q9" s="22"/>
      <c r="R9" s="22"/>
    </row>
    <row r="10" spans="2:18" x14ac:dyDescent="0.2">
      <c r="B10" s="5" t="s">
        <v>20</v>
      </c>
      <c r="D10" s="5"/>
      <c r="E10" s="5"/>
      <c r="F10" s="5"/>
      <c r="G10" s="5"/>
      <c r="H10" s="5"/>
      <c r="I10" s="5"/>
      <c r="J10" s="5"/>
      <c r="K10" s="75"/>
    </row>
    <row r="11" spans="2:18" x14ac:dyDescent="0.2">
      <c r="C11" s="5"/>
      <c r="D11" s="5"/>
      <c r="E11" s="5"/>
      <c r="F11" s="5"/>
      <c r="G11" s="5"/>
      <c r="H11" s="5"/>
      <c r="I11" s="5"/>
      <c r="J11" s="5"/>
      <c r="K11" s="75"/>
    </row>
    <row r="12" spans="2:18" x14ac:dyDescent="0.2">
      <c r="C12" s="5"/>
      <c r="D12" s="5"/>
      <c r="E12" s="5"/>
      <c r="F12" s="5"/>
      <c r="G12" s="5"/>
      <c r="H12" s="5"/>
      <c r="I12" s="5"/>
      <c r="J12" s="5"/>
      <c r="K12" s="75"/>
    </row>
    <row r="13" spans="2:18" x14ac:dyDescent="0.2">
      <c r="C13" s="5"/>
      <c r="D13" s="5"/>
      <c r="E13" s="5"/>
      <c r="F13" s="5"/>
      <c r="G13" s="5"/>
      <c r="H13" s="5"/>
      <c r="I13" s="5"/>
      <c r="J13" s="5"/>
      <c r="K13" s="75"/>
    </row>
    <row r="14" spans="2:18" ht="76.5" x14ac:dyDescent="0.2">
      <c r="C14" s="5"/>
      <c r="D14" s="5"/>
      <c r="E14" s="5"/>
      <c r="F14" s="5"/>
      <c r="G14" s="5"/>
      <c r="H14" s="5"/>
      <c r="I14" s="26"/>
      <c r="J14" s="69" t="s">
        <v>68</v>
      </c>
      <c r="K14" s="72"/>
    </row>
    <row r="15" spans="2:18" x14ac:dyDescent="0.2">
      <c r="C15" s="5"/>
      <c r="D15" s="5"/>
      <c r="E15" s="5"/>
      <c r="F15" s="5"/>
      <c r="G15" s="5"/>
      <c r="H15" s="5"/>
      <c r="I15" s="96" t="s">
        <v>1</v>
      </c>
      <c r="J15" s="27">
        <v>1.89611216088863</v>
      </c>
      <c r="K15" s="73"/>
    </row>
    <row r="16" spans="2:18" x14ac:dyDescent="0.2">
      <c r="C16" s="5"/>
      <c r="D16" s="5"/>
      <c r="E16" s="5"/>
      <c r="F16" s="5"/>
      <c r="G16" s="5"/>
      <c r="H16" s="5"/>
      <c r="I16" s="97" t="s">
        <v>3</v>
      </c>
      <c r="J16" s="27">
        <v>2.2380960919982318</v>
      </c>
      <c r="K16" s="73"/>
    </row>
    <row r="17" spans="2:18" x14ac:dyDescent="0.2">
      <c r="C17" s="5"/>
      <c r="D17" s="5"/>
      <c r="E17" s="5"/>
      <c r="F17" s="5"/>
      <c r="G17" s="5"/>
      <c r="H17" s="5"/>
      <c r="I17" s="98" t="s">
        <v>2</v>
      </c>
      <c r="J17" s="27">
        <v>1.1673462583163152</v>
      </c>
      <c r="K17" s="73"/>
    </row>
    <row r="18" spans="2:18" x14ac:dyDescent="0.2">
      <c r="C18" s="5"/>
      <c r="D18" s="5"/>
      <c r="E18" s="5"/>
      <c r="F18" s="5"/>
      <c r="G18" s="5"/>
      <c r="H18" s="5"/>
      <c r="I18" s="108" t="s">
        <v>4</v>
      </c>
      <c r="J18" s="29">
        <v>1.8928733469042891</v>
      </c>
      <c r="K18" s="74"/>
    </row>
    <row r="19" spans="2:18" x14ac:dyDescent="0.2">
      <c r="C19" s="5"/>
      <c r="D19" s="5"/>
      <c r="E19" s="5"/>
      <c r="F19" s="5"/>
      <c r="G19" s="5"/>
      <c r="H19" s="5"/>
      <c r="I19" s="5"/>
      <c r="J19" s="5"/>
      <c r="K19" s="75"/>
      <c r="N19" s="11"/>
      <c r="O19" s="61"/>
      <c r="P19" s="61"/>
      <c r="Q19" s="61"/>
      <c r="R19" s="61"/>
    </row>
    <row r="20" spans="2:18" x14ac:dyDescent="0.2">
      <c r="C20" s="5"/>
      <c r="D20" s="5"/>
      <c r="E20" s="5"/>
      <c r="F20" s="5"/>
      <c r="G20" s="5"/>
      <c r="H20" s="5"/>
      <c r="I20" s="5"/>
      <c r="J20" s="5"/>
      <c r="K20" s="75"/>
      <c r="N20" s="11"/>
      <c r="O20" s="61"/>
      <c r="P20" s="61"/>
      <c r="Q20" s="61"/>
      <c r="R20" s="61"/>
    </row>
    <row r="21" spans="2:18" x14ac:dyDescent="0.2">
      <c r="C21" s="5"/>
      <c r="D21" s="5"/>
      <c r="E21" s="5"/>
      <c r="F21" s="5"/>
      <c r="G21" s="5"/>
      <c r="H21" s="5"/>
      <c r="I21" s="5"/>
      <c r="J21" s="5"/>
      <c r="K21" s="75"/>
      <c r="N21" s="11"/>
      <c r="O21" s="61"/>
      <c r="P21" s="61"/>
      <c r="Q21" s="61"/>
      <c r="R21" s="61"/>
    </row>
    <row r="22" spans="2:18" x14ac:dyDescent="0.2">
      <c r="C22" s="5"/>
      <c r="D22" s="5"/>
      <c r="E22" s="5"/>
      <c r="F22" s="5"/>
      <c r="G22" s="5"/>
      <c r="H22" s="5"/>
      <c r="I22" s="5"/>
      <c r="J22" s="5"/>
      <c r="K22" s="75"/>
      <c r="N22" s="11"/>
      <c r="O22" s="65"/>
      <c r="P22" s="65"/>
      <c r="Q22" s="65"/>
      <c r="R22" s="65"/>
    </row>
    <row r="23" spans="2:18" x14ac:dyDescent="0.2">
      <c r="C23" s="5"/>
      <c r="D23" s="5"/>
      <c r="E23" s="5"/>
      <c r="F23" s="5"/>
      <c r="G23" s="5"/>
      <c r="H23" s="5"/>
      <c r="I23" s="5"/>
      <c r="J23" s="5"/>
      <c r="K23" s="75"/>
    </row>
    <row r="24" spans="2:18" x14ac:dyDescent="0.2">
      <c r="C24" s="5"/>
      <c r="D24" s="5"/>
      <c r="E24" s="5"/>
      <c r="F24" s="5"/>
      <c r="G24" s="5"/>
      <c r="H24" s="5"/>
      <c r="I24" s="5"/>
      <c r="J24" s="5"/>
      <c r="K24" s="75"/>
    </row>
    <row r="25" spans="2:18" x14ac:dyDescent="0.2">
      <c r="C25" s="5"/>
      <c r="D25" s="5"/>
      <c r="E25" s="5"/>
      <c r="F25" s="5"/>
      <c r="G25" s="5"/>
      <c r="H25" s="5"/>
      <c r="I25" s="5"/>
      <c r="J25" s="5"/>
      <c r="K25" s="75"/>
    </row>
    <row r="26" spans="2:18" ht="38.450000000000003" customHeight="1" x14ac:dyDescent="0.2">
      <c r="B26" s="8" t="s">
        <v>17</v>
      </c>
      <c r="D26" s="5"/>
      <c r="E26" s="5"/>
      <c r="F26" s="5"/>
      <c r="G26" s="5"/>
      <c r="H26" s="5"/>
      <c r="I26" s="5"/>
      <c r="J26" s="5"/>
      <c r="K26" s="75"/>
    </row>
    <row r="27" spans="2:18" ht="30" customHeight="1" x14ac:dyDescent="0.2">
      <c r="B27" s="208" t="s">
        <v>18</v>
      </c>
      <c r="C27" s="208"/>
      <c r="D27" s="208"/>
      <c r="E27" s="208"/>
      <c r="F27" s="208"/>
      <c r="G27" s="208"/>
      <c r="H27" s="208"/>
      <c r="I27" s="66"/>
      <c r="J27" s="5"/>
      <c r="K27" s="75"/>
    </row>
    <row r="28" spans="2:18" s="20" customFormat="1" ht="38.25" customHeight="1" x14ac:dyDescent="0.25">
      <c r="B28" s="208" t="s">
        <v>91</v>
      </c>
      <c r="C28" s="208"/>
      <c r="D28" s="208"/>
      <c r="E28" s="208"/>
      <c r="F28" s="208"/>
      <c r="G28" s="208"/>
      <c r="H28" s="208"/>
      <c r="I28" s="58"/>
      <c r="J28" s="67"/>
      <c r="K28" s="83"/>
    </row>
  </sheetData>
  <mergeCells count="2">
    <mergeCell ref="B27:H27"/>
    <mergeCell ref="B28:H2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29"/>
  <sheetViews>
    <sheetView zoomScaleNormal="100" workbookViewId="0">
      <selection activeCell="F17" sqref="F17"/>
    </sheetView>
  </sheetViews>
  <sheetFormatPr baseColWidth="10" defaultColWidth="11.42578125" defaultRowHeight="12.75" x14ac:dyDescent="0.2"/>
  <cols>
    <col min="1" max="1" width="3.7109375" style="116" customWidth="1"/>
    <col min="2" max="2" width="14" style="116" customWidth="1"/>
    <col min="3" max="3" width="25.85546875" style="116" bestFit="1" customWidth="1"/>
    <col min="4" max="6" width="15.7109375" style="116" customWidth="1"/>
    <col min="7" max="16384" width="11.42578125" style="116"/>
  </cols>
  <sheetData>
    <row r="2" spans="2:9" x14ac:dyDescent="0.2">
      <c r="B2" s="114" t="s">
        <v>50</v>
      </c>
      <c r="C2" s="115"/>
      <c r="D2" s="115"/>
      <c r="E2" s="115"/>
      <c r="F2" s="115"/>
      <c r="G2" s="115"/>
      <c r="H2" s="115"/>
      <c r="I2" s="115"/>
    </row>
    <row r="3" spans="2:9" x14ac:dyDescent="0.2">
      <c r="B3" s="114"/>
      <c r="C3" s="115"/>
      <c r="D3" s="115"/>
      <c r="E3" s="115"/>
      <c r="F3" s="115"/>
      <c r="G3" s="115"/>
      <c r="H3" s="115"/>
      <c r="I3" s="115"/>
    </row>
    <row r="4" spans="2:9" ht="15" customHeight="1" x14ac:dyDescent="0.2">
      <c r="B4" s="142"/>
      <c r="C4" s="143"/>
      <c r="D4" s="218" t="s">
        <v>47</v>
      </c>
      <c r="E4" s="219"/>
      <c r="F4" s="210" t="s">
        <v>5</v>
      </c>
    </row>
    <row r="5" spans="2:9" ht="25.5" x14ac:dyDescent="0.2">
      <c r="B5" s="144"/>
      <c r="C5" s="145"/>
      <c r="D5" s="146" t="s">
        <v>48</v>
      </c>
      <c r="E5" s="147" t="s">
        <v>49</v>
      </c>
      <c r="F5" s="211"/>
    </row>
    <row r="6" spans="2:9" x14ac:dyDescent="0.2">
      <c r="B6" s="215" t="s">
        <v>1</v>
      </c>
      <c r="C6" s="143" t="s">
        <v>6</v>
      </c>
      <c r="D6" s="148">
        <v>654.10799999999995</v>
      </c>
      <c r="E6" s="149">
        <v>71.312011582472778</v>
      </c>
      <c r="F6" s="149">
        <v>59.146501800925847</v>
      </c>
    </row>
    <row r="7" spans="2:9" x14ac:dyDescent="0.2">
      <c r="B7" s="216"/>
      <c r="C7" s="150" t="s">
        <v>7</v>
      </c>
      <c r="D7" s="151">
        <v>160.56399999999999</v>
      </c>
      <c r="E7" s="152">
        <v>17.50497139268769</v>
      </c>
      <c r="F7" s="152">
        <v>71.470566253954814</v>
      </c>
    </row>
    <row r="8" spans="2:9" x14ac:dyDescent="0.2">
      <c r="B8" s="216"/>
      <c r="C8" s="150" t="s">
        <v>22</v>
      </c>
      <c r="D8" s="151">
        <v>30.257999999999999</v>
      </c>
      <c r="E8" s="152">
        <v>3.2987807005302816</v>
      </c>
      <c r="F8" s="152">
        <v>10.935950822922862</v>
      </c>
    </row>
    <row r="9" spans="2:9" ht="14.25" x14ac:dyDescent="0.2">
      <c r="B9" s="216"/>
      <c r="C9" s="150" t="s">
        <v>86</v>
      </c>
      <c r="D9" s="151">
        <v>72.317999999999998</v>
      </c>
      <c r="E9" s="152">
        <v>7.8842363243092377</v>
      </c>
      <c r="F9" s="152">
        <v>64.443153848281199</v>
      </c>
    </row>
    <row r="10" spans="2:9" x14ac:dyDescent="0.2">
      <c r="B10" s="217"/>
      <c r="C10" s="153" t="s">
        <v>11</v>
      </c>
      <c r="D10" s="154">
        <v>917.24800000000005</v>
      </c>
      <c r="E10" s="155">
        <v>100</v>
      </c>
      <c r="F10" s="155">
        <v>60.131065971253136</v>
      </c>
    </row>
    <row r="11" spans="2:9" ht="14.25" x14ac:dyDescent="0.2">
      <c r="B11" s="215" t="s">
        <v>3</v>
      </c>
      <c r="C11" s="143" t="s">
        <v>87</v>
      </c>
      <c r="D11" s="148">
        <v>729.2</v>
      </c>
      <c r="E11" s="149">
        <v>81.337903663886621</v>
      </c>
      <c r="F11" s="149">
        <v>60.350383982446523</v>
      </c>
    </row>
    <row r="12" spans="2:9" ht="14.25" x14ac:dyDescent="0.2">
      <c r="B12" s="216"/>
      <c r="C12" s="150" t="s">
        <v>88</v>
      </c>
      <c r="D12" s="151">
        <v>139.447</v>
      </c>
      <c r="E12" s="152">
        <v>15.554479775394951</v>
      </c>
      <c r="F12" s="152">
        <v>64.248782691631945</v>
      </c>
    </row>
    <row r="13" spans="2:9" ht="14.25" x14ac:dyDescent="0.2">
      <c r="B13" s="216"/>
      <c r="C13" s="150" t="s">
        <v>86</v>
      </c>
      <c r="D13" s="151">
        <v>27.86</v>
      </c>
      <c r="E13" s="152">
        <v>3.1076165607184332</v>
      </c>
      <c r="F13" s="152">
        <v>88.033022254127786</v>
      </c>
    </row>
    <row r="14" spans="2:9" x14ac:dyDescent="0.2">
      <c r="B14" s="217"/>
      <c r="C14" s="153" t="s">
        <v>11</v>
      </c>
      <c r="D14" s="156">
        <v>896.50699999999995</v>
      </c>
      <c r="E14" s="155">
        <v>100</v>
      </c>
      <c r="F14" s="155">
        <v>61.817029872605566</v>
      </c>
      <c r="H14" s="131"/>
    </row>
    <row r="15" spans="2:9" x14ac:dyDescent="0.2">
      <c r="B15" s="215" t="s">
        <v>2</v>
      </c>
      <c r="C15" s="143" t="s">
        <v>6</v>
      </c>
      <c r="D15" s="148">
        <v>311.92500000000001</v>
      </c>
      <c r="E15" s="149">
        <v>77.641374881456429</v>
      </c>
      <c r="F15" s="149">
        <v>79.981726376532819</v>
      </c>
    </row>
    <row r="16" spans="2:9" x14ac:dyDescent="0.2">
      <c r="B16" s="216"/>
      <c r="C16" s="150" t="s">
        <v>7</v>
      </c>
      <c r="D16" s="151">
        <v>53.107999999999997</v>
      </c>
      <c r="E16" s="152">
        <v>13.219133244223414</v>
      </c>
      <c r="F16" s="152">
        <v>75.574301423514342</v>
      </c>
    </row>
    <row r="17" spans="2:13" ht="14.25" x14ac:dyDescent="0.2">
      <c r="B17" s="216"/>
      <c r="C17" s="150" t="s">
        <v>86</v>
      </c>
      <c r="D17" s="151">
        <v>36.718000000000004</v>
      </c>
      <c r="E17" s="152">
        <v>9.1394918743201643</v>
      </c>
      <c r="F17" s="152">
        <v>45.84400021787679</v>
      </c>
    </row>
    <row r="18" spans="2:13" x14ac:dyDescent="0.2">
      <c r="B18" s="217"/>
      <c r="C18" s="153" t="s">
        <v>11</v>
      </c>
      <c r="D18" s="154">
        <v>401.75099999999998</v>
      </c>
      <c r="E18" s="155">
        <v>100</v>
      </c>
      <c r="F18" s="155">
        <v>76.279088291006119</v>
      </c>
    </row>
    <row r="19" spans="2:13" x14ac:dyDescent="0.2">
      <c r="B19" s="212" t="s">
        <v>16</v>
      </c>
      <c r="C19" s="143" t="s">
        <v>6</v>
      </c>
      <c r="D19" s="148">
        <v>1695.2329999999999</v>
      </c>
      <c r="E19" s="149">
        <v>76.516741547980459</v>
      </c>
      <c r="F19" s="149">
        <v>63.498056019438032</v>
      </c>
    </row>
    <row r="20" spans="2:13" x14ac:dyDescent="0.2">
      <c r="B20" s="213"/>
      <c r="C20" s="150" t="s">
        <v>7</v>
      </c>
      <c r="D20" s="151">
        <v>353.11900000000003</v>
      </c>
      <c r="E20" s="152">
        <v>15.938526007151415</v>
      </c>
      <c r="F20" s="152">
        <v>69.235866662513203</v>
      </c>
    </row>
    <row r="21" spans="2:13" x14ac:dyDescent="0.2">
      <c r="B21" s="213"/>
      <c r="C21" s="150" t="s">
        <v>22</v>
      </c>
      <c r="D21" s="151">
        <v>30.257999999999999</v>
      </c>
      <c r="E21" s="152">
        <v>1.3657376689568885</v>
      </c>
      <c r="F21" s="152">
        <v>10.935950822922862</v>
      </c>
    </row>
    <row r="22" spans="2:13" ht="14.25" x14ac:dyDescent="0.2">
      <c r="B22" s="213"/>
      <c r="C22" s="150" t="s">
        <v>86</v>
      </c>
      <c r="D22" s="151">
        <v>136.89599999999999</v>
      </c>
      <c r="E22" s="152">
        <v>6.178994775911236</v>
      </c>
      <c r="F22" s="152">
        <v>64.255347124824681</v>
      </c>
      <c r="G22" s="157"/>
      <c r="H22" s="157"/>
      <c r="I22" s="157"/>
    </row>
    <row r="23" spans="2:13" x14ac:dyDescent="0.2">
      <c r="B23" s="214"/>
      <c r="C23" s="153" t="s">
        <v>11</v>
      </c>
      <c r="D23" s="154">
        <v>2215.5059999999999</v>
      </c>
      <c r="E23" s="155">
        <v>100</v>
      </c>
      <c r="F23" s="155">
        <v>63.741510968600402</v>
      </c>
      <c r="G23" s="157"/>
      <c r="H23" s="157"/>
      <c r="I23" s="157"/>
    </row>
    <row r="24" spans="2:13" x14ac:dyDescent="0.2">
      <c r="B24" s="158"/>
      <c r="C24" s="136"/>
      <c r="D24" s="137"/>
      <c r="E24" s="137"/>
      <c r="F24" s="137"/>
      <c r="G24" s="159"/>
      <c r="H24" s="159"/>
      <c r="I24" s="159"/>
    </row>
    <row r="25" spans="2:13" ht="15" customHeight="1" x14ac:dyDescent="0.2">
      <c r="B25" s="160" t="s">
        <v>17</v>
      </c>
      <c r="C25" s="115"/>
      <c r="D25" s="115"/>
      <c r="E25" s="115"/>
      <c r="F25" s="115"/>
      <c r="G25" s="157"/>
      <c r="H25" s="157"/>
      <c r="I25" s="157"/>
    </row>
    <row r="26" spans="2:13" s="162" customFormat="1" ht="30" customHeight="1" x14ac:dyDescent="0.25">
      <c r="B26" s="207" t="s">
        <v>18</v>
      </c>
      <c r="C26" s="207"/>
      <c r="D26" s="207"/>
      <c r="E26" s="207"/>
      <c r="F26" s="207"/>
      <c r="G26" s="161"/>
      <c r="H26" s="161"/>
      <c r="I26" s="161"/>
    </row>
    <row r="27" spans="2:13" ht="60" customHeight="1" x14ac:dyDescent="0.2">
      <c r="B27" s="207" t="s">
        <v>89</v>
      </c>
      <c r="C27" s="207"/>
      <c r="D27" s="207"/>
      <c r="E27" s="207"/>
      <c r="F27" s="207"/>
      <c r="G27" s="163"/>
      <c r="H27" s="163"/>
      <c r="I27" s="163"/>
    </row>
    <row r="28" spans="2:13" s="162" customFormat="1" ht="30" customHeight="1" x14ac:dyDescent="0.25">
      <c r="B28" s="207" t="s">
        <v>69</v>
      </c>
      <c r="C28" s="207"/>
      <c r="D28" s="207"/>
      <c r="E28" s="207"/>
      <c r="F28" s="207"/>
      <c r="G28" s="164"/>
      <c r="H28" s="164"/>
      <c r="I28" s="164"/>
    </row>
    <row r="29" spans="2:13" ht="30" customHeight="1" x14ac:dyDescent="0.2">
      <c r="B29" s="209" t="s">
        <v>81</v>
      </c>
      <c r="C29" s="209"/>
      <c r="D29" s="209"/>
      <c r="E29" s="209"/>
      <c r="F29" s="209"/>
      <c r="G29" s="163"/>
      <c r="H29" s="163"/>
      <c r="I29" s="209"/>
      <c r="J29" s="209"/>
      <c r="K29" s="209"/>
      <c r="L29" s="209"/>
      <c r="M29" s="209"/>
    </row>
  </sheetData>
  <mergeCells count="11">
    <mergeCell ref="I29:M29"/>
    <mergeCell ref="F4:F5"/>
    <mergeCell ref="B26:F26"/>
    <mergeCell ref="B27:F27"/>
    <mergeCell ref="B28:F28"/>
    <mergeCell ref="B29:F29"/>
    <mergeCell ref="B19:B23"/>
    <mergeCell ref="B6:B10"/>
    <mergeCell ref="B11:B14"/>
    <mergeCell ref="B15:B18"/>
    <mergeCell ref="D4:E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6E09A-2F45-42B2-A685-030147E59CED}">
  <dimension ref="B2:N13"/>
  <sheetViews>
    <sheetView zoomScaleNormal="100" workbookViewId="0">
      <selection activeCell="C6" sqref="C6:H9"/>
    </sheetView>
  </sheetViews>
  <sheetFormatPr baseColWidth="10" defaultColWidth="11.42578125" defaultRowHeight="12.75" x14ac:dyDescent="0.2"/>
  <cols>
    <col min="1" max="1" width="3.7109375" style="116" customWidth="1"/>
    <col min="2" max="2" width="18" style="116" customWidth="1"/>
    <col min="3" max="8" width="15.7109375" style="116" customWidth="1"/>
    <col min="9" max="16384" width="11.42578125" style="116"/>
  </cols>
  <sheetData>
    <row r="2" spans="2:14" x14ac:dyDescent="0.2">
      <c r="B2" s="114" t="s">
        <v>51</v>
      </c>
      <c r="C2" s="115"/>
      <c r="D2" s="115"/>
      <c r="E2" s="115"/>
      <c r="F2" s="115"/>
      <c r="G2" s="115"/>
      <c r="H2" s="115"/>
    </row>
    <row r="3" spans="2:14" x14ac:dyDescent="0.2">
      <c r="B3" s="114"/>
      <c r="C3" s="115"/>
      <c r="D3" s="115"/>
      <c r="E3" s="115"/>
      <c r="F3" s="115"/>
      <c r="G3" s="115"/>
      <c r="H3" s="115"/>
    </row>
    <row r="4" spans="2:14" ht="55.5" customHeight="1" x14ac:dyDescent="0.2">
      <c r="B4" s="117"/>
      <c r="C4" s="202">
        <v>2024</v>
      </c>
      <c r="D4" s="202"/>
      <c r="E4" s="202"/>
      <c r="F4" s="203" t="s">
        <v>45</v>
      </c>
      <c r="G4" s="204"/>
      <c r="H4" s="205"/>
    </row>
    <row r="5" spans="2:14" ht="45" customHeight="1" x14ac:dyDescent="0.2">
      <c r="B5" s="118"/>
      <c r="C5" s="165" t="s">
        <v>90</v>
      </c>
      <c r="D5" s="165" t="s">
        <v>0</v>
      </c>
      <c r="E5" s="165" t="s">
        <v>5</v>
      </c>
      <c r="F5" s="166" t="s">
        <v>70</v>
      </c>
      <c r="G5" s="121" t="s">
        <v>82</v>
      </c>
      <c r="H5" s="121" t="s">
        <v>83</v>
      </c>
    </row>
    <row r="6" spans="2:14" ht="15" customHeight="1" x14ac:dyDescent="0.2">
      <c r="B6" s="122" t="s">
        <v>1</v>
      </c>
      <c r="C6" s="127">
        <v>654.10799999999995</v>
      </c>
      <c r="D6" s="127">
        <v>43.556790274722054</v>
      </c>
      <c r="E6" s="127">
        <v>59.146501800925847</v>
      </c>
      <c r="F6" s="129">
        <v>3.2127962735918274</v>
      </c>
      <c r="G6" s="125">
        <v>2.9991746282658882</v>
      </c>
      <c r="H6" s="125">
        <v>1.559983635832829</v>
      </c>
      <c r="K6" s="130"/>
    </row>
    <row r="7" spans="2:14" ht="15" customHeight="1" x14ac:dyDescent="0.2">
      <c r="B7" s="126" t="s">
        <v>3</v>
      </c>
      <c r="C7" s="127">
        <v>729.2</v>
      </c>
      <c r="D7" s="127">
        <v>51.457709694401046</v>
      </c>
      <c r="E7" s="127">
        <v>60.350383982446523</v>
      </c>
      <c r="F7" s="129">
        <v>1.3622463163747567</v>
      </c>
      <c r="G7" s="129">
        <v>1.3296990486516336</v>
      </c>
      <c r="H7" s="129">
        <v>3.3272491421244998</v>
      </c>
      <c r="K7" s="130"/>
      <c r="N7" s="131"/>
    </row>
    <row r="8" spans="2:14" ht="15" customHeight="1" x14ac:dyDescent="0.2">
      <c r="B8" s="126" t="s">
        <v>2</v>
      </c>
      <c r="C8" s="127">
        <v>311.92500000000001</v>
      </c>
      <c r="D8" s="127">
        <v>37.717015673253421</v>
      </c>
      <c r="E8" s="127">
        <v>79.981726376532819</v>
      </c>
      <c r="F8" s="129">
        <v>1.3727612194955492</v>
      </c>
      <c r="G8" s="129">
        <v>1.95774835097553</v>
      </c>
      <c r="H8" s="129">
        <v>1.8308033152003356</v>
      </c>
    </row>
    <row r="9" spans="2:14" s="131" customFormat="1" x14ac:dyDescent="0.2">
      <c r="B9" s="132" t="s">
        <v>4</v>
      </c>
      <c r="C9" s="133">
        <v>1695.2329999999999</v>
      </c>
      <c r="D9" s="133">
        <v>45.256466113305549</v>
      </c>
      <c r="E9" s="133">
        <v>63.498056019438032</v>
      </c>
      <c r="F9" s="135">
        <v>2.0703279288652543</v>
      </c>
      <c r="G9" s="135">
        <v>2.0753570648817998</v>
      </c>
      <c r="H9" s="135">
        <v>2.3485243585009696</v>
      </c>
    </row>
    <row r="10" spans="2:14" x14ac:dyDescent="0.2">
      <c r="B10" s="136"/>
      <c r="C10" s="137"/>
      <c r="D10" s="137"/>
      <c r="E10" s="137"/>
      <c r="F10" s="138"/>
      <c r="G10" s="115"/>
      <c r="H10" s="115"/>
    </row>
    <row r="11" spans="2:14" ht="15" customHeight="1" x14ac:dyDescent="0.2">
      <c r="B11" s="167" t="s">
        <v>17</v>
      </c>
      <c r="C11" s="168"/>
      <c r="D11" s="168"/>
      <c r="E11" s="168"/>
      <c r="F11" s="168"/>
      <c r="G11" s="168"/>
      <c r="H11" s="168"/>
    </row>
    <row r="12" spans="2:14" ht="15" customHeight="1" x14ac:dyDescent="0.2">
      <c r="B12" s="206" t="s">
        <v>55</v>
      </c>
      <c r="C12" s="206"/>
      <c r="D12" s="206"/>
      <c r="E12" s="206"/>
      <c r="F12" s="206"/>
      <c r="G12" s="206"/>
      <c r="H12" s="206"/>
    </row>
    <row r="13" spans="2:14" s="141" customFormat="1" ht="45" customHeight="1" x14ac:dyDescent="0.25">
      <c r="B13" s="207" t="s">
        <v>67</v>
      </c>
      <c r="C13" s="207"/>
      <c r="D13" s="207"/>
      <c r="E13" s="207"/>
      <c r="F13" s="207"/>
      <c r="G13" s="207"/>
      <c r="H13" s="207"/>
    </row>
  </sheetData>
  <mergeCells count="4">
    <mergeCell ref="C4:E4"/>
    <mergeCell ref="F4:H4"/>
    <mergeCell ref="B12:H12"/>
    <mergeCell ref="B13:H1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R27"/>
  <sheetViews>
    <sheetView zoomScaleNormal="100" workbookViewId="0">
      <selection activeCell="P5" sqref="P5:P8"/>
    </sheetView>
  </sheetViews>
  <sheetFormatPr baseColWidth="10" defaultColWidth="11.42578125" defaultRowHeight="12.75" x14ac:dyDescent="0.2"/>
  <cols>
    <col min="1" max="1" width="3.7109375" style="9" customWidth="1"/>
    <col min="2" max="16" width="12.7109375" style="9" customWidth="1"/>
    <col min="17" max="17" width="12.5703125" style="9" customWidth="1"/>
    <col min="18" max="16384" width="11.42578125" style="9"/>
  </cols>
  <sheetData>
    <row r="2" spans="2:18" x14ac:dyDescent="0.2">
      <c r="B2" s="11" t="s">
        <v>14</v>
      </c>
    </row>
    <row r="3" spans="2:18" x14ac:dyDescent="0.2">
      <c r="B3" s="11"/>
    </row>
    <row r="4" spans="2:18" x14ac:dyDescent="0.2">
      <c r="C4" s="103">
        <v>2011</v>
      </c>
      <c r="D4" s="103">
        <f>C4+1</f>
        <v>2012</v>
      </c>
      <c r="E4" s="103">
        <f t="shared" ref="E4" si="0">D4+1</f>
        <v>2013</v>
      </c>
      <c r="F4" s="103">
        <f t="shared" ref="F4" si="1">E4+1</f>
        <v>2014</v>
      </c>
      <c r="G4" s="103">
        <f t="shared" ref="G4" si="2">F4+1</f>
        <v>2015</v>
      </c>
      <c r="H4" s="103">
        <f t="shared" ref="H4" si="3">G4+1</f>
        <v>2016</v>
      </c>
      <c r="I4" s="103">
        <f t="shared" ref="I4" si="4">H4+1</f>
        <v>2017</v>
      </c>
      <c r="J4" s="103">
        <f t="shared" ref="J4" si="5">I4+1</f>
        <v>2018</v>
      </c>
      <c r="K4" s="103">
        <f t="shared" ref="K4" si="6">J4+1</f>
        <v>2019</v>
      </c>
      <c r="L4" s="103">
        <f t="shared" ref="L4" si="7">K4+1</f>
        <v>2020</v>
      </c>
      <c r="M4" s="103">
        <f>L4+1</f>
        <v>2021</v>
      </c>
      <c r="N4" s="103">
        <f>M4+1</f>
        <v>2022</v>
      </c>
      <c r="O4" s="104">
        <v>2023</v>
      </c>
      <c r="P4" s="103">
        <v>2024</v>
      </c>
      <c r="Q4" s="22"/>
    </row>
    <row r="5" spans="2:18" x14ac:dyDescent="0.2">
      <c r="B5" s="99" t="s">
        <v>3</v>
      </c>
      <c r="C5" s="100">
        <v>35.88776880862514</v>
      </c>
      <c r="D5" s="100">
        <v>37.50324315440912</v>
      </c>
      <c r="E5" s="100">
        <v>38.781880781138923</v>
      </c>
      <c r="F5" s="100">
        <v>40.327107260119071</v>
      </c>
      <c r="G5" s="100">
        <v>41.941156214703277</v>
      </c>
      <c r="H5" s="100">
        <v>43.34804814370149</v>
      </c>
      <c r="I5" s="100">
        <v>44.389841432489916</v>
      </c>
      <c r="J5" s="100">
        <v>45.321073675765611</v>
      </c>
      <c r="K5" s="100">
        <v>46.157820643383452</v>
      </c>
      <c r="L5" s="100">
        <v>47.316386509591837</v>
      </c>
      <c r="M5" s="100">
        <v>48.519240166686131</v>
      </c>
      <c r="N5" s="100">
        <v>49.518147075886496</v>
      </c>
      <c r="O5" s="100">
        <v>50.624494999750361</v>
      </c>
      <c r="P5" s="100">
        <v>51.457709694401046</v>
      </c>
      <c r="Q5" s="22"/>
    </row>
    <row r="6" spans="2:18" x14ac:dyDescent="0.2">
      <c r="B6" s="99" t="s">
        <v>1</v>
      </c>
      <c r="C6" s="100">
        <v>33.169949277048104</v>
      </c>
      <c r="D6" s="100">
        <v>33.869256147971107</v>
      </c>
      <c r="E6" s="100">
        <v>34.347054265846744</v>
      </c>
      <c r="F6" s="100">
        <v>34.520744803638834</v>
      </c>
      <c r="G6" s="100">
        <v>34.947313278687567</v>
      </c>
      <c r="H6" s="100">
        <v>35.352320676470192</v>
      </c>
      <c r="I6" s="100">
        <v>35.645202481436108</v>
      </c>
      <c r="J6" s="100">
        <v>36.225956202282113</v>
      </c>
      <c r="K6" s="100">
        <v>37.22624464089705</v>
      </c>
      <c r="L6" s="100">
        <v>38.362048995098661</v>
      </c>
      <c r="M6" s="100">
        <v>39.542384090707181</v>
      </c>
      <c r="N6" s="100">
        <v>40.89962631212024</v>
      </c>
      <c r="O6" s="100">
        <v>42.171766687427009</v>
      </c>
      <c r="P6" s="100">
        <v>43.556790274722054</v>
      </c>
      <c r="Q6" s="22"/>
    </row>
    <row r="7" spans="2:18" x14ac:dyDescent="0.2">
      <c r="B7" s="99" t="s">
        <v>2</v>
      </c>
      <c r="C7" s="100">
        <v>29.953309723483475</v>
      </c>
      <c r="D7" s="100">
        <v>30.487393296835485</v>
      </c>
      <c r="E7" s="100">
        <v>31.391283441840773</v>
      </c>
      <c r="F7" s="100">
        <v>32.14695094677203</v>
      </c>
      <c r="G7" s="100">
        <v>32.972212291825336</v>
      </c>
      <c r="H7" s="100">
        <v>33.71319353901491</v>
      </c>
      <c r="I7" s="100">
        <v>34.236940745454945</v>
      </c>
      <c r="J7" s="100">
        <v>34.726925154089479</v>
      </c>
      <c r="K7" s="100">
        <v>35.307864192549765</v>
      </c>
      <c r="L7" s="100">
        <v>35.980410021084886</v>
      </c>
      <c r="M7" s="100">
        <v>36.719324322481548</v>
      </c>
      <c r="N7" s="100">
        <v>36.975609273839254</v>
      </c>
      <c r="O7" s="100">
        <v>37.219703275007745</v>
      </c>
      <c r="P7" s="100">
        <v>37.717015673253421</v>
      </c>
      <c r="Q7" s="22"/>
    </row>
    <row r="8" spans="2:18" x14ac:dyDescent="0.2">
      <c r="B8" s="101" t="s">
        <v>4</v>
      </c>
      <c r="C8" s="102">
        <v>33.481338559512047</v>
      </c>
      <c r="D8" s="102">
        <v>34.498635483125319</v>
      </c>
      <c r="E8" s="102">
        <v>35.387534322448353</v>
      </c>
      <c r="F8" s="102">
        <v>36.220355075762498</v>
      </c>
      <c r="G8" s="102">
        <v>37.1922043761125</v>
      </c>
      <c r="H8" s="102">
        <v>38.050415879159473</v>
      </c>
      <c r="I8" s="102">
        <v>38.683811022941441</v>
      </c>
      <c r="J8" s="102">
        <v>39.393179060688098</v>
      </c>
      <c r="K8" s="102">
        <v>40.255309319175147</v>
      </c>
      <c r="L8" s="102">
        <v>41.290453490179956</v>
      </c>
      <c r="M8" s="102">
        <v>42.381031008493629</v>
      </c>
      <c r="N8" s="102">
        <v>43.336072711976861</v>
      </c>
      <c r="O8" s="102">
        <v>44.283748685095404</v>
      </c>
      <c r="P8" s="102">
        <v>45.256466113305549</v>
      </c>
      <c r="Q8" s="22"/>
    </row>
    <row r="9" spans="2:18" x14ac:dyDescent="0.2">
      <c r="B9" s="11"/>
      <c r="C9" s="23"/>
      <c r="D9" s="23"/>
      <c r="E9" s="23"/>
      <c r="F9" s="23"/>
      <c r="G9" s="23"/>
      <c r="H9" s="23"/>
      <c r="I9" s="23"/>
      <c r="J9" s="23"/>
      <c r="K9" s="82"/>
      <c r="L9" s="23"/>
      <c r="M9" s="23"/>
      <c r="N9" s="23"/>
      <c r="O9" s="22"/>
      <c r="P9" s="22"/>
      <c r="Q9" s="22"/>
    </row>
    <row r="10" spans="2:18" x14ac:dyDescent="0.2">
      <c r="B10" s="5" t="s">
        <v>20</v>
      </c>
      <c r="C10" s="21"/>
      <c r="D10" s="5"/>
      <c r="E10" s="5"/>
      <c r="F10" s="5"/>
      <c r="G10" s="5"/>
      <c r="H10" s="5"/>
      <c r="I10" s="5"/>
      <c r="J10" s="5"/>
      <c r="K10" s="75"/>
    </row>
    <row r="11" spans="2:18" x14ac:dyDescent="0.2">
      <c r="C11" s="5"/>
      <c r="D11" s="5"/>
      <c r="E11" s="5"/>
      <c r="F11" s="5"/>
      <c r="G11" s="5"/>
      <c r="H11" s="5"/>
      <c r="I11" s="5"/>
      <c r="J11" s="24"/>
      <c r="K11" s="84"/>
    </row>
    <row r="12" spans="2:18" x14ac:dyDescent="0.2">
      <c r="C12" s="5"/>
      <c r="D12" s="5"/>
      <c r="E12" s="5"/>
      <c r="F12" s="5"/>
      <c r="G12" s="5"/>
      <c r="H12" s="5"/>
      <c r="I12" s="21"/>
      <c r="J12" s="25"/>
      <c r="K12" s="85"/>
      <c r="M12" s="59"/>
      <c r="N12" s="11"/>
      <c r="O12" s="11"/>
      <c r="P12" s="11"/>
      <c r="Q12" s="11"/>
      <c r="R12" s="34"/>
    </row>
    <row r="13" spans="2:18" x14ac:dyDescent="0.2">
      <c r="C13" s="5"/>
      <c r="D13" s="5"/>
      <c r="E13" s="5"/>
      <c r="F13" s="5"/>
      <c r="G13" s="5"/>
      <c r="H13" s="5"/>
      <c r="I13" s="21"/>
      <c r="J13" s="25"/>
      <c r="K13" s="85"/>
      <c r="M13" s="59"/>
      <c r="N13" s="11"/>
      <c r="O13" s="11"/>
      <c r="P13" s="11"/>
      <c r="Q13" s="11"/>
      <c r="R13" s="34"/>
    </row>
    <row r="14" spans="2:18" ht="76.5" x14ac:dyDescent="0.2">
      <c r="C14" s="5"/>
      <c r="D14" s="5"/>
      <c r="E14" s="5"/>
      <c r="F14" s="5"/>
      <c r="G14" s="5"/>
      <c r="H14" s="5"/>
      <c r="I14" s="26"/>
      <c r="J14" s="69" t="s">
        <v>68</v>
      </c>
      <c r="K14" s="72"/>
      <c r="M14" s="59"/>
      <c r="N14" s="11"/>
      <c r="O14" s="11"/>
      <c r="P14" s="11"/>
      <c r="Q14" s="11"/>
      <c r="R14" s="34"/>
    </row>
    <row r="15" spans="2:18" x14ac:dyDescent="0.2">
      <c r="C15" s="5"/>
      <c r="D15" s="5"/>
      <c r="E15" s="5"/>
      <c r="F15" s="5"/>
      <c r="G15" s="5"/>
      <c r="H15" s="5"/>
      <c r="I15" s="96" t="s">
        <v>1</v>
      </c>
      <c r="J15" s="27">
        <v>2.1303546583414601</v>
      </c>
      <c r="K15" s="73"/>
      <c r="M15" s="59"/>
      <c r="N15" s="11"/>
      <c r="O15" s="11"/>
      <c r="P15" s="11"/>
      <c r="Q15" s="11"/>
      <c r="R15" s="34"/>
    </row>
    <row r="16" spans="2:18" x14ac:dyDescent="0.2">
      <c r="C16" s="5"/>
      <c r="D16" s="5"/>
      <c r="E16" s="5"/>
      <c r="F16" s="5"/>
      <c r="G16" s="5"/>
      <c r="H16" s="5"/>
      <c r="I16" s="97" t="s">
        <v>3</v>
      </c>
      <c r="J16" s="27">
        <v>2.8146785635014382</v>
      </c>
      <c r="K16" s="73"/>
      <c r="N16" s="11"/>
      <c r="O16" s="11"/>
      <c r="P16" s="11"/>
      <c r="Q16" s="11"/>
      <c r="R16" s="34"/>
    </row>
    <row r="17" spans="2:18" x14ac:dyDescent="0.2">
      <c r="C17" s="5"/>
      <c r="D17" s="5"/>
      <c r="E17" s="5"/>
      <c r="F17" s="5"/>
      <c r="G17" s="5"/>
      <c r="H17" s="5"/>
      <c r="I17" s="98" t="s">
        <v>2</v>
      </c>
      <c r="J17" s="27">
        <v>1.7802458409160282</v>
      </c>
      <c r="K17" s="73"/>
      <c r="N17" s="11"/>
      <c r="O17" s="11"/>
      <c r="P17" s="11"/>
      <c r="Q17" s="11"/>
      <c r="R17" s="34"/>
    </row>
    <row r="18" spans="2:18" x14ac:dyDescent="0.2">
      <c r="C18" s="5"/>
      <c r="D18" s="5"/>
      <c r="E18" s="5"/>
      <c r="F18" s="5"/>
      <c r="G18" s="5"/>
      <c r="H18" s="5"/>
      <c r="I18" s="108" t="s">
        <v>4</v>
      </c>
      <c r="J18" s="29">
        <v>2.3495425405082537</v>
      </c>
      <c r="K18" s="74"/>
      <c r="N18" s="11"/>
      <c r="O18" s="11"/>
      <c r="P18" s="11"/>
      <c r="Q18" s="11"/>
      <c r="R18" s="34"/>
    </row>
    <row r="19" spans="2:18" x14ac:dyDescent="0.2">
      <c r="C19" s="5"/>
      <c r="D19" s="5"/>
      <c r="E19" s="5"/>
      <c r="F19" s="5"/>
      <c r="G19" s="5"/>
      <c r="H19" s="5"/>
      <c r="I19" s="5"/>
      <c r="J19" s="5"/>
      <c r="K19" s="75"/>
      <c r="N19" s="11"/>
      <c r="O19" s="11"/>
      <c r="P19" s="11"/>
      <c r="Q19" s="11"/>
      <c r="R19" s="34"/>
    </row>
    <row r="20" spans="2:18" x14ac:dyDescent="0.2">
      <c r="C20" s="5"/>
      <c r="D20" s="5"/>
      <c r="E20" s="5"/>
      <c r="F20" s="5"/>
      <c r="G20" s="5"/>
      <c r="H20" s="5"/>
      <c r="I20" s="5"/>
      <c r="J20" s="5"/>
      <c r="K20" s="75"/>
      <c r="N20" s="11"/>
      <c r="O20" s="11"/>
      <c r="P20" s="11"/>
      <c r="Q20" s="11"/>
      <c r="R20" s="34"/>
    </row>
    <row r="21" spans="2:18" x14ac:dyDescent="0.2">
      <c r="C21" s="5"/>
      <c r="D21" s="5"/>
      <c r="E21" s="5"/>
      <c r="F21" s="5"/>
      <c r="G21" s="5"/>
      <c r="H21" s="5"/>
      <c r="I21" s="5"/>
      <c r="J21" s="5"/>
      <c r="K21" s="75"/>
      <c r="R21" s="34"/>
    </row>
    <row r="22" spans="2:18" ht="40.5" customHeight="1" x14ac:dyDescent="0.2">
      <c r="C22" s="5"/>
      <c r="D22" s="5"/>
      <c r="E22" s="5"/>
      <c r="F22" s="5"/>
      <c r="G22" s="5"/>
      <c r="H22" s="5"/>
      <c r="I22" s="5"/>
      <c r="J22" s="5"/>
      <c r="K22" s="75"/>
      <c r="R22" s="34"/>
    </row>
    <row r="23" spans="2:18" ht="20.45" customHeight="1" x14ac:dyDescent="0.2">
      <c r="B23" s="39" t="s">
        <v>17</v>
      </c>
      <c r="C23" s="70"/>
      <c r="D23" s="70"/>
      <c r="E23" s="70"/>
      <c r="F23" s="70"/>
      <c r="G23" s="70"/>
      <c r="H23" s="5"/>
      <c r="I23" s="5"/>
      <c r="J23" s="5"/>
      <c r="K23" s="75"/>
      <c r="N23" s="11"/>
      <c r="O23" s="11"/>
      <c r="P23" s="11"/>
      <c r="Q23" s="11"/>
      <c r="R23" s="34"/>
    </row>
    <row r="24" spans="2:18" ht="15" customHeight="1" x14ac:dyDescent="0.2">
      <c r="B24" s="40" t="s">
        <v>19</v>
      </c>
      <c r="C24" s="70"/>
      <c r="D24" s="70"/>
      <c r="E24" s="70"/>
      <c r="F24" s="70"/>
      <c r="G24" s="70"/>
      <c r="H24" s="5"/>
      <c r="I24" s="5"/>
      <c r="J24" s="5"/>
      <c r="K24" s="75"/>
      <c r="N24" s="11"/>
      <c r="O24" s="11"/>
      <c r="P24" s="11"/>
      <c r="Q24" s="11"/>
      <c r="R24" s="34"/>
    </row>
    <row r="25" spans="2:18" ht="45.95" customHeight="1" x14ac:dyDescent="0.2">
      <c r="B25" s="208" t="s">
        <v>53</v>
      </c>
      <c r="C25" s="208"/>
      <c r="D25" s="208"/>
      <c r="E25" s="208"/>
      <c r="F25" s="208"/>
      <c r="G25" s="208"/>
      <c r="H25" s="92"/>
      <c r="I25" s="5"/>
      <c r="J25" s="5"/>
      <c r="K25" s="75"/>
      <c r="N25" s="11"/>
      <c r="O25" s="11"/>
      <c r="P25" s="11"/>
      <c r="Q25" s="11"/>
      <c r="R25" s="34"/>
    </row>
    <row r="26" spans="2:18" x14ac:dyDescent="0.2">
      <c r="N26" s="11"/>
      <c r="O26" s="11"/>
      <c r="P26" s="11"/>
      <c r="Q26" s="11"/>
      <c r="R26" s="34"/>
    </row>
    <row r="27" spans="2:18" x14ac:dyDescent="0.2">
      <c r="C27" s="38"/>
      <c r="N27" s="11"/>
      <c r="O27" s="11"/>
      <c r="P27" s="11"/>
      <c r="Q27" s="11"/>
      <c r="R27" s="34"/>
    </row>
  </sheetData>
  <mergeCells count="1">
    <mergeCell ref="B25:G2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30"/>
  <sheetViews>
    <sheetView zoomScaleNormal="100" workbookViewId="0">
      <selection activeCell="D6" sqref="D6:J21"/>
    </sheetView>
  </sheetViews>
  <sheetFormatPr baseColWidth="10" defaultColWidth="11.42578125" defaultRowHeight="12.75" x14ac:dyDescent="0.2"/>
  <cols>
    <col min="1" max="1" width="3.7109375" style="9" customWidth="1"/>
    <col min="2" max="2" width="13.28515625" style="9" customWidth="1"/>
    <col min="3" max="3" width="11.5703125" style="9" customWidth="1"/>
    <col min="4" max="10" width="14.7109375" style="9" customWidth="1"/>
    <col min="11" max="11" width="12.28515625" style="9" customWidth="1"/>
    <col min="12" max="16384" width="11.42578125" style="9"/>
  </cols>
  <sheetData>
    <row r="2" spans="2:12" x14ac:dyDescent="0.2">
      <c r="B2" s="21" t="s">
        <v>54</v>
      </c>
      <c r="C2" s="5"/>
      <c r="D2" s="5"/>
      <c r="E2" s="5"/>
      <c r="F2" s="5"/>
      <c r="G2" s="5"/>
      <c r="H2" s="5"/>
      <c r="I2" s="5"/>
      <c r="J2" s="5"/>
    </row>
    <row r="3" spans="2:12" x14ac:dyDescent="0.2">
      <c r="B3" s="21"/>
      <c r="C3" s="5"/>
      <c r="D3" s="5"/>
      <c r="E3" s="5"/>
      <c r="F3" s="5"/>
      <c r="G3" s="5"/>
      <c r="H3" s="5"/>
      <c r="I3" s="5"/>
      <c r="J3" s="5"/>
    </row>
    <row r="4" spans="2:12" ht="15" customHeight="1" x14ac:dyDescent="0.2">
      <c r="B4" s="15"/>
      <c r="C4" s="41"/>
      <c r="D4" s="226" t="s">
        <v>90</v>
      </c>
      <c r="E4" s="222" t="s">
        <v>73</v>
      </c>
      <c r="F4" s="223"/>
      <c r="G4" s="223"/>
      <c r="H4" s="220"/>
      <c r="I4" s="226" t="s">
        <v>59</v>
      </c>
      <c r="J4" s="220" t="s">
        <v>5</v>
      </c>
      <c r="K4" s="60"/>
    </row>
    <row r="5" spans="2:12" ht="45" customHeight="1" x14ac:dyDescent="0.2">
      <c r="B5" s="19"/>
      <c r="C5" s="79"/>
      <c r="D5" s="227"/>
      <c r="E5" s="62" t="s">
        <v>41</v>
      </c>
      <c r="F5" s="77" t="s">
        <v>42</v>
      </c>
      <c r="G5" s="77" t="s">
        <v>36</v>
      </c>
      <c r="H5" s="63" t="s">
        <v>11</v>
      </c>
      <c r="I5" s="227"/>
      <c r="J5" s="221"/>
      <c r="K5" s="60"/>
    </row>
    <row r="6" spans="2:12" x14ac:dyDescent="0.2">
      <c r="B6" s="228" t="s">
        <v>1</v>
      </c>
      <c r="C6" s="41" t="s">
        <v>8</v>
      </c>
      <c r="D6" s="4">
        <v>442.48899999999998</v>
      </c>
      <c r="E6" s="42">
        <v>43.400400913921025</v>
      </c>
      <c r="F6" s="43">
        <v>35.492181726551394</v>
      </c>
      <c r="G6" s="43">
        <v>21.107417359527581</v>
      </c>
      <c r="H6" s="44">
        <v>100</v>
      </c>
      <c r="I6" s="4">
        <v>42.81212508224003</v>
      </c>
      <c r="J6" s="80">
        <v>60.801511450002145</v>
      </c>
      <c r="K6" s="10"/>
    </row>
    <row r="7" spans="2:12" x14ac:dyDescent="0.2">
      <c r="B7" s="229"/>
      <c r="C7" s="45" t="s">
        <v>9</v>
      </c>
      <c r="D7" s="6">
        <v>131.14500000000001</v>
      </c>
      <c r="E7" s="46">
        <v>47.953029089938617</v>
      </c>
      <c r="F7" s="78">
        <v>31.280643562469024</v>
      </c>
      <c r="G7" s="78">
        <v>20.766327347592359</v>
      </c>
      <c r="H7" s="47">
        <v>100</v>
      </c>
      <c r="I7" s="6">
        <v>41.900298089733631</v>
      </c>
      <c r="J7" s="81">
        <v>48.360974493880818</v>
      </c>
      <c r="K7" s="10"/>
    </row>
    <row r="8" spans="2:12" x14ac:dyDescent="0.2">
      <c r="B8" s="229"/>
      <c r="C8" s="45" t="s">
        <v>10</v>
      </c>
      <c r="D8" s="6">
        <v>79.215000000000003</v>
      </c>
      <c r="E8" s="46">
        <v>35.488228239601085</v>
      </c>
      <c r="F8" s="78">
        <v>36.039891434703023</v>
      </c>
      <c r="G8" s="78">
        <v>28.471880325695892</v>
      </c>
      <c r="H8" s="47">
        <v>100</v>
      </c>
      <c r="I8" s="6">
        <v>52.157681266296187</v>
      </c>
      <c r="J8" s="81">
        <v>67.759893959477367</v>
      </c>
      <c r="K8" s="10"/>
    </row>
    <row r="9" spans="2:12" s="11" customFormat="1" ht="14.25" x14ac:dyDescent="0.2">
      <c r="B9" s="230"/>
      <c r="C9" s="48" t="s">
        <v>71</v>
      </c>
      <c r="D9" s="169">
        <v>654.10799999999995</v>
      </c>
      <c r="E9" s="49">
        <v>43.365468699358516</v>
      </c>
      <c r="F9" s="50">
        <v>34.709405786200442</v>
      </c>
      <c r="G9" s="50">
        <v>21.925125514441042</v>
      </c>
      <c r="H9" s="51">
        <v>100</v>
      </c>
      <c r="I9" s="7">
        <v>43.556790274722054</v>
      </c>
      <c r="J9" s="51">
        <v>59.146501800925847</v>
      </c>
      <c r="K9" s="23"/>
      <c r="L9" s="91"/>
    </row>
    <row r="10" spans="2:12" x14ac:dyDescent="0.2">
      <c r="B10" s="228" t="s">
        <v>3</v>
      </c>
      <c r="C10" s="41" t="s">
        <v>8</v>
      </c>
      <c r="D10" s="4">
        <v>88.623000000000005</v>
      </c>
      <c r="E10" s="42">
        <v>40.936325784502891</v>
      </c>
      <c r="F10" s="43">
        <v>33.230651185358198</v>
      </c>
      <c r="G10" s="43">
        <v>25.833023030138904</v>
      </c>
      <c r="H10" s="44">
        <v>99.999999999999986</v>
      </c>
      <c r="I10" s="4">
        <v>49.334216591144411</v>
      </c>
      <c r="J10" s="80">
        <v>67.046929126750385</v>
      </c>
      <c r="K10" s="10"/>
    </row>
    <row r="11" spans="2:12" x14ac:dyDescent="0.2">
      <c r="B11" s="229"/>
      <c r="C11" s="45" t="s">
        <v>9</v>
      </c>
      <c r="D11" s="6">
        <v>108.42100000000001</v>
      </c>
      <c r="E11" s="46">
        <v>39.775504745390656</v>
      </c>
      <c r="F11" s="78">
        <v>36.419143892788298</v>
      </c>
      <c r="G11" s="78">
        <v>23.805351361821049</v>
      </c>
      <c r="H11" s="47">
        <v>100.00000000000001</v>
      </c>
      <c r="I11" s="6">
        <v>51.785142835308328</v>
      </c>
      <c r="J11" s="81">
        <v>63.833574676492567</v>
      </c>
      <c r="K11" s="10"/>
    </row>
    <row r="12" spans="2:12" x14ac:dyDescent="0.2">
      <c r="B12" s="229"/>
      <c r="C12" s="45" t="s">
        <v>10</v>
      </c>
      <c r="D12" s="6">
        <v>531.85799999999995</v>
      </c>
      <c r="E12" s="46">
        <v>36.441869822396207</v>
      </c>
      <c r="F12" s="78">
        <v>38.872029752302304</v>
      </c>
      <c r="G12" s="78">
        <v>24.68610042530149</v>
      </c>
      <c r="H12" s="47">
        <v>100</v>
      </c>
      <c r="I12" s="6">
        <v>51.760623006148698</v>
      </c>
      <c r="J12" s="81">
        <v>58.537053123202057</v>
      </c>
      <c r="K12" s="10"/>
    </row>
    <row r="13" spans="2:12" s="11" customFormat="1" ht="14.25" x14ac:dyDescent="0.2">
      <c r="B13" s="230"/>
      <c r="C13" s="48" t="s">
        <v>71</v>
      </c>
      <c r="D13" s="7">
        <v>729.2</v>
      </c>
      <c r="E13" s="49">
        <v>37.485463521667583</v>
      </c>
      <c r="F13" s="50">
        <v>37.817608337904552</v>
      </c>
      <c r="G13" s="50">
        <v>24.696928140427865</v>
      </c>
      <c r="H13" s="51">
        <v>100</v>
      </c>
      <c r="I13" s="7">
        <v>51.457709694401046</v>
      </c>
      <c r="J13" s="51">
        <v>60.350383982446523</v>
      </c>
      <c r="K13" s="23"/>
    </row>
    <row r="14" spans="2:12" x14ac:dyDescent="0.2">
      <c r="B14" s="228" t="s">
        <v>2</v>
      </c>
      <c r="C14" s="41" t="s">
        <v>8</v>
      </c>
      <c r="D14" s="4">
        <v>99.311999999999998</v>
      </c>
      <c r="E14" s="42">
        <v>46.429434509424844</v>
      </c>
      <c r="F14" s="43">
        <v>35.752980505880458</v>
      </c>
      <c r="G14" s="43">
        <v>17.817584984694697</v>
      </c>
      <c r="H14" s="44">
        <v>100</v>
      </c>
      <c r="I14" s="4">
        <v>27.947106712404707</v>
      </c>
      <c r="J14" s="80">
        <v>82.945666183341388</v>
      </c>
      <c r="K14" s="10"/>
    </row>
    <row r="15" spans="2:12" x14ac:dyDescent="0.2">
      <c r="B15" s="229"/>
      <c r="C15" s="45" t="s">
        <v>9</v>
      </c>
      <c r="D15" s="6">
        <v>120.398</v>
      </c>
      <c r="E15" s="46">
        <v>43.38111928769581</v>
      </c>
      <c r="F15" s="78">
        <v>40.879416601604682</v>
      </c>
      <c r="G15" s="78">
        <v>15.739464110699513</v>
      </c>
      <c r="H15" s="47">
        <v>100</v>
      </c>
      <c r="I15" s="6">
        <v>42.612878222121545</v>
      </c>
      <c r="J15" s="81">
        <v>85.870197179355131</v>
      </c>
      <c r="K15" s="10"/>
    </row>
    <row r="16" spans="2:12" x14ac:dyDescent="0.2">
      <c r="B16" s="229"/>
      <c r="C16" s="45" t="s">
        <v>10</v>
      </c>
      <c r="D16" s="6">
        <v>92.212999999999994</v>
      </c>
      <c r="E16" s="46">
        <v>38.483727890861374</v>
      </c>
      <c r="F16" s="78">
        <v>41.049526639410928</v>
      </c>
      <c r="G16" s="78">
        <v>20.466745469727694</v>
      </c>
      <c r="H16" s="47">
        <v>100</v>
      </c>
      <c r="I16" s="6">
        <v>48.761309495481491</v>
      </c>
      <c r="J16" s="81">
        <v>69.100885992213676</v>
      </c>
      <c r="K16" s="10"/>
    </row>
    <row r="17" spans="2:11" s="11" customFormat="1" ht="14.25" x14ac:dyDescent="0.2">
      <c r="B17" s="230"/>
      <c r="C17" s="48" t="s">
        <v>71</v>
      </c>
      <c r="D17" s="7">
        <v>311.92500000000001</v>
      </c>
      <c r="E17" s="49">
        <v>42.903582591969226</v>
      </c>
      <c r="F17" s="50">
        <v>39.29726697122706</v>
      </c>
      <c r="G17" s="50">
        <v>17.799150436803718</v>
      </c>
      <c r="H17" s="51">
        <v>100</v>
      </c>
      <c r="I17" s="7">
        <v>37.717015673253421</v>
      </c>
      <c r="J17" s="51">
        <v>79.981726376532819</v>
      </c>
      <c r="K17" s="23"/>
    </row>
    <row r="18" spans="2:11" ht="15" customHeight="1" x14ac:dyDescent="0.2">
      <c r="B18" s="231" t="s">
        <v>16</v>
      </c>
      <c r="C18" s="41" t="s">
        <v>8</v>
      </c>
      <c r="D18" s="4">
        <v>630.42399999999998</v>
      </c>
      <c r="E18" s="42">
        <v>43.531179016027309</v>
      </c>
      <c r="F18" s="43">
        <v>35.215347131454386</v>
      </c>
      <c r="G18" s="43">
        <v>21.253473852518308</v>
      </c>
      <c r="H18" s="44">
        <v>100</v>
      </c>
      <c r="I18" s="4">
        <v>40.191386339656567</v>
      </c>
      <c r="J18" s="80">
        <v>65.167887009377807</v>
      </c>
      <c r="K18" s="10"/>
    </row>
    <row r="19" spans="2:11" x14ac:dyDescent="0.2">
      <c r="B19" s="232"/>
      <c r="C19" s="45" t="s">
        <v>9</v>
      </c>
      <c r="D19" s="6">
        <v>359.964</v>
      </c>
      <c r="E19" s="46">
        <v>43.960784967385628</v>
      </c>
      <c r="F19" s="78">
        <v>36.038881665944373</v>
      </c>
      <c r="G19" s="78">
        <v>20.000333366670002</v>
      </c>
      <c r="H19" s="47">
        <v>100.00000000000001</v>
      </c>
      <c r="I19" s="6">
        <v>44.721635882265979</v>
      </c>
      <c r="J19" s="81">
        <v>65.567112266782232</v>
      </c>
      <c r="K19" s="10"/>
    </row>
    <row r="20" spans="2:11" x14ac:dyDescent="0.2">
      <c r="B20" s="232"/>
      <c r="C20" s="45" t="s">
        <v>10</v>
      </c>
      <c r="D20" s="6">
        <v>703.28599999999994</v>
      </c>
      <c r="E20" s="46">
        <v>36.602178914410352</v>
      </c>
      <c r="F20" s="78">
        <v>38.838537948999416</v>
      </c>
      <c r="G20" s="78">
        <v>24.559283136590235</v>
      </c>
      <c r="H20" s="47">
        <v>100</v>
      </c>
      <c r="I20" s="6">
        <v>51.390223460217264</v>
      </c>
      <c r="J20" s="81">
        <v>60.960974624832573</v>
      </c>
      <c r="K20" s="10"/>
    </row>
    <row r="21" spans="2:11" s="11" customFormat="1" ht="14.25" x14ac:dyDescent="0.2">
      <c r="B21" s="233"/>
      <c r="C21" s="48" t="s">
        <v>71</v>
      </c>
      <c r="D21" s="7">
        <v>1695.2329999999999</v>
      </c>
      <c r="E21" s="49">
        <v>40.751212370216955</v>
      </c>
      <c r="F21" s="50">
        <v>36.890563126130743</v>
      </c>
      <c r="G21" s="50">
        <v>22.358224503652298</v>
      </c>
      <c r="H21" s="51">
        <v>99.999999999999986</v>
      </c>
      <c r="I21" s="7">
        <v>45.256466113305549</v>
      </c>
      <c r="J21" s="51">
        <v>63.498056019438032</v>
      </c>
      <c r="K21" s="23"/>
    </row>
    <row r="22" spans="2:11" s="11" customFormat="1" x14ac:dyDescent="0.2">
      <c r="B22" s="12"/>
      <c r="C22" s="13"/>
      <c r="D22" s="52"/>
      <c r="E22" s="14"/>
      <c r="F22" s="14"/>
      <c r="G22" s="14"/>
      <c r="H22" s="14"/>
      <c r="I22" s="14"/>
      <c r="J22" s="14"/>
      <c r="K22" s="23"/>
    </row>
    <row r="23" spans="2:11" ht="15" customHeight="1" x14ac:dyDescent="0.2">
      <c r="B23" s="53" t="s">
        <v>17</v>
      </c>
      <c r="C23" s="30"/>
      <c r="D23" s="30"/>
      <c r="E23" s="30"/>
      <c r="F23" s="30"/>
      <c r="G23" s="30"/>
      <c r="H23" s="30"/>
      <c r="I23" s="30"/>
      <c r="J23" s="30"/>
    </row>
    <row r="24" spans="2:11" ht="15" customHeight="1" x14ac:dyDescent="0.2">
      <c r="B24" s="40" t="s">
        <v>19</v>
      </c>
      <c r="C24" s="30"/>
      <c r="D24" s="30"/>
      <c r="E24" s="30"/>
      <c r="F24" s="30"/>
      <c r="G24" s="30"/>
      <c r="H24" s="30"/>
      <c r="I24" s="30"/>
      <c r="J24" s="30"/>
    </row>
    <row r="25" spans="2:11" ht="29.25" customHeight="1" x14ac:dyDescent="0.2">
      <c r="B25" s="208" t="s">
        <v>72</v>
      </c>
      <c r="C25" s="208"/>
      <c r="D25" s="208"/>
      <c r="E25" s="208"/>
      <c r="F25" s="208"/>
      <c r="G25" s="208"/>
      <c r="H25" s="208"/>
      <c r="I25" s="208"/>
      <c r="J25" s="208"/>
    </row>
    <row r="26" spans="2:11" ht="45" customHeight="1" x14ac:dyDescent="0.2">
      <c r="B26" s="224" t="s">
        <v>80</v>
      </c>
      <c r="C26" s="225"/>
      <c r="D26" s="225"/>
      <c r="E26" s="225"/>
      <c r="F26" s="225"/>
      <c r="G26" s="225"/>
      <c r="H26" s="225"/>
      <c r="I26" s="225"/>
      <c r="J26" s="225"/>
      <c r="K26" s="20"/>
    </row>
    <row r="30" spans="2:11" x14ac:dyDescent="0.2">
      <c r="E30" s="61"/>
    </row>
  </sheetData>
  <mergeCells count="10">
    <mergeCell ref="J4:J5"/>
    <mergeCell ref="E4:H4"/>
    <mergeCell ref="B26:J26"/>
    <mergeCell ref="D4:D5"/>
    <mergeCell ref="I4:I5"/>
    <mergeCell ref="B6:B9"/>
    <mergeCell ref="B10:B13"/>
    <mergeCell ref="B14:B17"/>
    <mergeCell ref="B18:B21"/>
    <mergeCell ref="B25:J25"/>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1E8B-270D-441D-8019-4C0CA66905FA}">
  <dimension ref="B2:N13"/>
  <sheetViews>
    <sheetView zoomScaleNormal="100" workbookViewId="0">
      <selection activeCell="C6" sqref="C6:H9"/>
    </sheetView>
  </sheetViews>
  <sheetFormatPr baseColWidth="10" defaultColWidth="11.42578125" defaultRowHeight="12.75" x14ac:dyDescent="0.2"/>
  <cols>
    <col min="1" max="1" width="3.7109375" style="116" customWidth="1"/>
    <col min="2" max="2" width="18" style="116" customWidth="1"/>
    <col min="3" max="8" width="15.7109375" style="116" customWidth="1"/>
    <col min="9" max="16384" width="11.42578125" style="116"/>
  </cols>
  <sheetData>
    <row r="2" spans="2:14" x14ac:dyDescent="0.2">
      <c r="B2" s="114" t="s">
        <v>79</v>
      </c>
      <c r="C2" s="115"/>
      <c r="D2" s="115"/>
      <c r="E2" s="115"/>
      <c r="F2" s="115"/>
      <c r="G2" s="115"/>
      <c r="H2" s="115"/>
    </row>
    <row r="3" spans="2:14" x14ac:dyDescent="0.2">
      <c r="B3" s="114"/>
      <c r="C3" s="115"/>
      <c r="D3" s="115"/>
      <c r="E3" s="115"/>
      <c r="F3" s="115"/>
      <c r="G3" s="115"/>
      <c r="H3" s="115"/>
    </row>
    <row r="4" spans="2:14" ht="55.5" customHeight="1" x14ac:dyDescent="0.2">
      <c r="B4" s="117"/>
      <c r="C4" s="202">
        <v>2024</v>
      </c>
      <c r="D4" s="202"/>
      <c r="E4" s="202"/>
      <c r="F4" s="203" t="s">
        <v>45</v>
      </c>
      <c r="G4" s="204"/>
      <c r="H4" s="205"/>
    </row>
    <row r="5" spans="2:14" ht="45" customHeight="1" x14ac:dyDescent="0.2">
      <c r="B5" s="118"/>
      <c r="C5" s="165" t="s">
        <v>90</v>
      </c>
      <c r="D5" s="165" t="s">
        <v>0</v>
      </c>
      <c r="E5" s="165" t="s">
        <v>5</v>
      </c>
      <c r="F5" s="166" t="s">
        <v>70</v>
      </c>
      <c r="G5" s="121" t="s">
        <v>82</v>
      </c>
      <c r="H5" s="121" t="s">
        <v>83</v>
      </c>
    </row>
    <row r="6" spans="2:14" ht="15" customHeight="1" x14ac:dyDescent="0.2">
      <c r="B6" s="122" t="s">
        <v>1</v>
      </c>
      <c r="C6" s="127">
        <v>143.41399999999999</v>
      </c>
      <c r="D6" s="127">
        <v>9.5498809377946596</v>
      </c>
      <c r="E6" s="127">
        <v>57.757959473970466</v>
      </c>
      <c r="F6" s="129">
        <v>5.733686236056533</v>
      </c>
      <c r="G6" s="125">
        <v>2.776164317226093</v>
      </c>
      <c r="H6" s="125">
        <v>5.4431062235269501</v>
      </c>
    </row>
    <row r="7" spans="2:14" ht="15" customHeight="1" x14ac:dyDescent="0.2">
      <c r="B7" s="126" t="s">
        <v>3</v>
      </c>
      <c r="C7" s="127">
        <v>180.09</v>
      </c>
      <c r="D7" s="127">
        <v>12.708473585936208</v>
      </c>
      <c r="E7" s="127">
        <v>63.654283969126546</v>
      </c>
      <c r="F7" s="129">
        <v>9.0575475525788303</v>
      </c>
      <c r="G7" s="129">
        <v>6.0845756587841526</v>
      </c>
      <c r="H7" s="129">
        <v>10.724611636764415</v>
      </c>
      <c r="K7" s="130"/>
    </row>
    <row r="8" spans="2:14" ht="15" customHeight="1" x14ac:dyDescent="0.2">
      <c r="B8" s="126" t="s">
        <v>2</v>
      </c>
      <c r="C8" s="127">
        <v>55.52</v>
      </c>
      <c r="D8" s="127">
        <v>6.7133083599552128</v>
      </c>
      <c r="E8" s="127">
        <v>77.345100864553316</v>
      </c>
      <c r="F8" s="129">
        <v>7.6094119471256345</v>
      </c>
      <c r="G8" s="129">
        <v>5.7151277000321299</v>
      </c>
      <c r="H8" s="129">
        <v>12.066701591812512</v>
      </c>
      <c r="K8" s="130"/>
      <c r="N8" s="131"/>
    </row>
    <row r="9" spans="2:14" s="131" customFormat="1" x14ac:dyDescent="0.2">
      <c r="B9" s="132" t="s">
        <v>4</v>
      </c>
      <c r="C9" s="133">
        <v>379.024</v>
      </c>
      <c r="D9" s="133">
        <v>10.11854229603218</v>
      </c>
      <c r="E9" s="133">
        <v>63.428701084891728</v>
      </c>
      <c r="F9" s="135">
        <v>7.5660396635297582</v>
      </c>
      <c r="G9" s="135">
        <v>4.718752331130438</v>
      </c>
      <c r="H9" s="135">
        <v>8.3908303556106123</v>
      </c>
    </row>
    <row r="10" spans="2:14" x14ac:dyDescent="0.2">
      <c r="B10" s="136"/>
      <c r="C10" s="137"/>
      <c r="D10" s="137"/>
      <c r="E10" s="137"/>
      <c r="F10" s="138"/>
      <c r="G10" s="115"/>
      <c r="H10" s="115"/>
    </row>
    <row r="11" spans="2:14" ht="15" customHeight="1" x14ac:dyDescent="0.2">
      <c r="B11" s="167" t="s">
        <v>17</v>
      </c>
      <c r="C11" s="168"/>
      <c r="D11" s="168"/>
      <c r="E11" s="168"/>
      <c r="F11" s="168"/>
      <c r="G11" s="168"/>
      <c r="H11" s="168"/>
    </row>
    <row r="12" spans="2:14" ht="15" customHeight="1" x14ac:dyDescent="0.2">
      <c r="B12" s="206" t="s">
        <v>55</v>
      </c>
      <c r="C12" s="206"/>
      <c r="D12" s="206"/>
      <c r="E12" s="206"/>
      <c r="F12" s="206"/>
      <c r="G12" s="206"/>
      <c r="H12" s="206"/>
    </row>
    <row r="13" spans="2:14" s="141" customFormat="1" ht="45" customHeight="1" x14ac:dyDescent="0.25">
      <c r="B13" s="207" t="s">
        <v>94</v>
      </c>
      <c r="C13" s="207"/>
      <c r="D13" s="207"/>
      <c r="E13" s="207"/>
      <c r="F13" s="207"/>
      <c r="G13" s="207"/>
      <c r="H13" s="207"/>
    </row>
  </sheetData>
  <mergeCells count="4">
    <mergeCell ref="C4:E4"/>
    <mergeCell ref="F4:H4"/>
    <mergeCell ref="B12:H12"/>
    <mergeCell ref="B13:H1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R28"/>
  <sheetViews>
    <sheetView workbookViewId="0">
      <selection activeCell="M14" sqref="M14"/>
    </sheetView>
  </sheetViews>
  <sheetFormatPr baseColWidth="10" defaultColWidth="11.42578125" defaultRowHeight="12.75" x14ac:dyDescent="0.2"/>
  <cols>
    <col min="1" max="1" width="3.7109375" style="9" customWidth="1"/>
    <col min="2" max="2" width="12.42578125" style="9" customWidth="1"/>
    <col min="3" max="16" width="12.7109375" style="9" customWidth="1"/>
    <col min="17" max="16384" width="11.42578125" style="9"/>
  </cols>
  <sheetData>
    <row r="2" spans="2:18" x14ac:dyDescent="0.2">
      <c r="B2" s="11" t="s">
        <v>93</v>
      </c>
    </row>
    <row r="3" spans="2:18" x14ac:dyDescent="0.2">
      <c r="B3" s="11"/>
    </row>
    <row r="4" spans="2:18" x14ac:dyDescent="0.2">
      <c r="C4" s="103">
        <v>2011</v>
      </c>
      <c r="D4" s="103">
        <f>C4+1</f>
        <v>2012</v>
      </c>
      <c r="E4" s="103">
        <f t="shared" ref="E4:L4" si="0">D4+1</f>
        <v>2013</v>
      </c>
      <c r="F4" s="103">
        <f t="shared" si="0"/>
        <v>2014</v>
      </c>
      <c r="G4" s="103">
        <f t="shared" si="0"/>
        <v>2015</v>
      </c>
      <c r="H4" s="103">
        <f t="shared" si="0"/>
        <v>2016</v>
      </c>
      <c r="I4" s="103">
        <f t="shared" si="0"/>
        <v>2017</v>
      </c>
      <c r="J4" s="103">
        <f t="shared" si="0"/>
        <v>2018</v>
      </c>
      <c r="K4" s="103">
        <f t="shared" si="0"/>
        <v>2019</v>
      </c>
      <c r="L4" s="103">
        <f t="shared" si="0"/>
        <v>2020</v>
      </c>
      <c r="M4" s="103">
        <f>L4+1</f>
        <v>2021</v>
      </c>
      <c r="N4" s="103">
        <f>M4+1</f>
        <v>2022</v>
      </c>
      <c r="O4" s="103">
        <f>N4+1</f>
        <v>2023</v>
      </c>
      <c r="P4" s="107">
        <v>2024</v>
      </c>
    </row>
    <row r="5" spans="2:18" x14ac:dyDescent="0.2">
      <c r="B5" s="99" t="s">
        <v>1</v>
      </c>
      <c r="C5" s="100">
        <v>4.921756737336823</v>
      </c>
      <c r="D5" s="100">
        <v>5.4397432873181826</v>
      </c>
      <c r="E5" s="100">
        <v>5.7075417725077893</v>
      </c>
      <c r="F5" s="100">
        <v>5.986715262492238</v>
      </c>
      <c r="G5" s="100">
        <v>6.3877584495522939</v>
      </c>
      <c r="H5" s="100">
        <v>6.7923232121984052</v>
      </c>
      <c r="I5" s="100">
        <v>7.0416406702075731</v>
      </c>
      <c r="J5" s="100">
        <v>7.3563132099234441</v>
      </c>
      <c r="K5" s="100">
        <v>7.8339573299400733</v>
      </c>
      <c r="L5" s="100">
        <v>8.25194347050682</v>
      </c>
      <c r="M5" s="100">
        <v>8.5387417207647989</v>
      </c>
      <c r="N5" s="100">
        <v>8.7616096002431778</v>
      </c>
      <c r="O5" s="100">
        <v>9.0515536690305094</v>
      </c>
      <c r="P5" s="105">
        <v>9.5498809377946596</v>
      </c>
    </row>
    <row r="6" spans="2:18" x14ac:dyDescent="0.2">
      <c r="B6" s="99" t="s">
        <v>3</v>
      </c>
      <c r="C6" s="100">
        <v>3.7637817389565238</v>
      </c>
      <c r="D6" s="100">
        <v>4.4731403875001314</v>
      </c>
      <c r="E6" s="100">
        <v>4.9150476667614056</v>
      </c>
      <c r="F6" s="100">
        <v>5.5322815765452793</v>
      </c>
      <c r="G6" s="100">
        <v>6.2071302872504219</v>
      </c>
      <c r="H6" s="100">
        <v>6.9094270071899748</v>
      </c>
      <c r="I6" s="100">
        <v>7.4721038639674182</v>
      </c>
      <c r="J6" s="100">
        <v>8.0443276382361297</v>
      </c>
      <c r="K6" s="100">
        <v>8.7049280318914288</v>
      </c>
      <c r="L6" s="100">
        <v>9.4633734813947665</v>
      </c>
      <c r="M6" s="100">
        <v>10.159795022225049</v>
      </c>
      <c r="N6" s="100">
        <v>10.689430027229536</v>
      </c>
      <c r="O6" s="100">
        <v>11.626837427366109</v>
      </c>
      <c r="P6" s="105">
        <v>12.708473585936208</v>
      </c>
    </row>
    <row r="7" spans="2:18" x14ac:dyDescent="0.2">
      <c r="B7" s="99" t="s">
        <v>2</v>
      </c>
      <c r="C7" s="100">
        <v>1.7777707726870977</v>
      </c>
      <c r="D7" s="100">
        <v>2.0278723973588479</v>
      </c>
      <c r="E7" s="100">
        <v>2.4447365619628703</v>
      </c>
      <c r="F7" s="100">
        <v>2.8636350082003879</v>
      </c>
      <c r="G7" s="100">
        <v>3.3111862234375171</v>
      </c>
      <c r="H7" s="100">
        <v>3.6954731324540364</v>
      </c>
      <c r="I7" s="100">
        <v>4.1023494196021302</v>
      </c>
      <c r="J7" s="100">
        <v>4.3676544966696094</v>
      </c>
      <c r="K7" s="100">
        <v>4.7543959006552976</v>
      </c>
      <c r="L7" s="100">
        <v>5.1678423876867239</v>
      </c>
      <c r="M7" s="100">
        <v>5.6793655791742959</v>
      </c>
      <c r="N7" s="100">
        <v>5.8535518369354467</v>
      </c>
      <c r="O7" s="100">
        <v>6.2385074713533601</v>
      </c>
      <c r="P7" s="105">
        <v>6.7133083599552128</v>
      </c>
    </row>
    <row r="8" spans="2:18" x14ac:dyDescent="0.2">
      <c r="B8" s="101" t="s">
        <v>4</v>
      </c>
      <c r="C8" s="102">
        <v>3.8057317187180617</v>
      </c>
      <c r="D8" s="102">
        <v>4.3306495816411799</v>
      </c>
      <c r="E8" s="102">
        <v>4.6916053543674128</v>
      </c>
      <c r="F8" s="102">
        <v>5.132080379787995</v>
      </c>
      <c r="G8" s="102">
        <v>5.6505419830777166</v>
      </c>
      <c r="H8" s="102">
        <v>6.166710800852262</v>
      </c>
      <c r="I8" s="102">
        <v>6.573655027801693</v>
      </c>
      <c r="J8" s="102">
        <v>6.9828950415646336</v>
      </c>
      <c r="K8" s="102">
        <v>7.5153632923645537</v>
      </c>
      <c r="L8" s="102">
        <v>8.060973070973624</v>
      </c>
      <c r="M8" s="102">
        <v>8.549022372539234</v>
      </c>
      <c r="N8" s="102">
        <v>8.8686561681735032</v>
      </c>
      <c r="O8" s="102">
        <v>9.4077360620112742</v>
      </c>
      <c r="P8" s="106">
        <v>10.11854229603218</v>
      </c>
    </row>
    <row r="9" spans="2:18" x14ac:dyDescent="0.2">
      <c r="B9" s="11"/>
      <c r="C9" s="23"/>
      <c r="D9" s="23"/>
      <c r="E9" s="23"/>
      <c r="F9" s="23"/>
      <c r="G9" s="23"/>
      <c r="H9" s="23"/>
      <c r="I9" s="23"/>
      <c r="J9" s="23"/>
      <c r="K9" s="82"/>
      <c r="L9" s="23"/>
      <c r="M9" s="23"/>
      <c r="N9" s="23"/>
      <c r="O9" s="22"/>
    </row>
    <row r="10" spans="2:18" x14ac:dyDescent="0.2">
      <c r="B10" s="5" t="s">
        <v>21</v>
      </c>
      <c r="D10" s="5"/>
      <c r="E10" s="5"/>
      <c r="F10" s="5"/>
      <c r="G10" s="5"/>
      <c r="H10" s="5"/>
      <c r="I10" s="5"/>
      <c r="J10" s="5"/>
      <c r="K10" s="75"/>
    </row>
    <row r="11" spans="2:18" x14ac:dyDescent="0.2">
      <c r="C11" s="5"/>
      <c r="D11" s="5"/>
      <c r="E11" s="5"/>
      <c r="F11" s="5"/>
      <c r="G11" s="5"/>
      <c r="H11" s="5"/>
      <c r="I11" s="5"/>
      <c r="J11" s="24"/>
      <c r="K11" s="84"/>
    </row>
    <row r="12" spans="2:18" x14ac:dyDescent="0.2">
      <c r="C12" s="5"/>
      <c r="D12" s="5"/>
      <c r="E12" s="5"/>
      <c r="F12" s="5"/>
      <c r="G12" s="5"/>
      <c r="H12" s="5"/>
      <c r="I12" s="21"/>
      <c r="J12" s="25"/>
      <c r="K12" s="85"/>
      <c r="M12" s="56"/>
      <c r="N12" s="11"/>
      <c r="O12" s="11"/>
      <c r="P12" s="34"/>
      <c r="Q12" s="34"/>
      <c r="R12" s="34"/>
    </row>
    <row r="13" spans="2:18" x14ac:dyDescent="0.2">
      <c r="C13" s="5"/>
      <c r="D13" s="5"/>
      <c r="E13" s="5"/>
      <c r="F13" s="5"/>
      <c r="G13" s="5"/>
      <c r="H13" s="5"/>
      <c r="I13" s="21"/>
      <c r="J13" s="25"/>
      <c r="K13" s="85"/>
      <c r="M13" s="56"/>
      <c r="N13" s="11"/>
      <c r="O13" s="11"/>
      <c r="P13" s="34"/>
      <c r="Q13" s="34"/>
      <c r="R13" s="34"/>
    </row>
    <row r="14" spans="2:18" ht="76.5" x14ac:dyDescent="0.2">
      <c r="C14" s="5"/>
      <c r="D14" s="5"/>
      <c r="E14" s="5"/>
      <c r="F14" s="5"/>
      <c r="G14" s="5"/>
      <c r="H14" s="5"/>
      <c r="I14" s="26"/>
      <c r="J14" s="69" t="s">
        <v>75</v>
      </c>
      <c r="K14" s="75"/>
      <c r="L14" s="56"/>
      <c r="M14" s="11"/>
      <c r="N14" s="11"/>
      <c r="O14" s="34"/>
      <c r="P14" s="34"/>
      <c r="Q14" s="34"/>
    </row>
    <row r="15" spans="2:18" x14ac:dyDescent="0.2">
      <c r="C15" s="5"/>
      <c r="D15" s="5"/>
      <c r="E15" s="5"/>
      <c r="F15" s="5"/>
      <c r="G15" s="5"/>
      <c r="H15" s="5"/>
      <c r="I15" s="96" t="s">
        <v>1</v>
      </c>
      <c r="J15" s="27">
        <v>5.281293577723889</v>
      </c>
      <c r="K15" s="75"/>
      <c r="L15" s="56"/>
      <c r="M15" s="11"/>
      <c r="N15" s="11"/>
      <c r="O15" s="35"/>
      <c r="P15" s="34"/>
      <c r="Q15" s="34"/>
    </row>
    <row r="16" spans="2:18" x14ac:dyDescent="0.2">
      <c r="C16" s="5"/>
      <c r="D16" s="5"/>
      <c r="E16" s="5"/>
      <c r="F16" s="5"/>
      <c r="G16" s="5"/>
      <c r="H16" s="5"/>
      <c r="I16" s="97" t="s">
        <v>3</v>
      </c>
      <c r="J16" s="27">
        <v>9.8153577991930909</v>
      </c>
      <c r="K16" s="75"/>
      <c r="M16" s="11"/>
      <c r="N16" s="11"/>
      <c r="O16" s="34"/>
      <c r="P16" s="34"/>
      <c r="Q16" s="34"/>
    </row>
    <row r="17" spans="2:18" x14ac:dyDescent="0.2">
      <c r="C17" s="5"/>
      <c r="D17" s="5"/>
      <c r="E17" s="5"/>
      <c r="F17" s="5"/>
      <c r="G17" s="5"/>
      <c r="H17" s="5"/>
      <c r="I17" s="98" t="s">
        <v>2</v>
      </c>
      <c r="J17" s="27">
        <v>10.681244318977146</v>
      </c>
      <c r="K17" s="75"/>
      <c r="M17" s="11"/>
      <c r="N17" s="11"/>
      <c r="O17" s="34"/>
      <c r="P17" s="34"/>
      <c r="Q17" s="34"/>
    </row>
    <row r="18" spans="2:18" x14ac:dyDescent="0.2">
      <c r="C18" s="5"/>
      <c r="D18" s="5"/>
      <c r="E18" s="5"/>
      <c r="F18" s="5"/>
      <c r="G18" s="5"/>
      <c r="H18" s="5"/>
      <c r="I18" s="108" t="s">
        <v>4</v>
      </c>
      <c r="J18" s="29">
        <v>7.8222510135961043</v>
      </c>
      <c r="K18" s="75"/>
      <c r="M18" s="11"/>
      <c r="N18" s="11"/>
      <c r="O18" s="34"/>
      <c r="P18" s="34"/>
      <c r="Q18" s="34"/>
    </row>
    <row r="19" spans="2:18" x14ac:dyDescent="0.2">
      <c r="C19" s="5"/>
      <c r="D19" s="5"/>
      <c r="E19" s="5"/>
      <c r="F19" s="5"/>
      <c r="G19" s="5"/>
      <c r="H19" s="5"/>
      <c r="I19" s="5"/>
      <c r="J19" s="5"/>
      <c r="K19" s="75"/>
      <c r="N19" s="11"/>
      <c r="O19" s="11"/>
      <c r="P19" s="35"/>
      <c r="Q19" s="34"/>
      <c r="R19" s="34"/>
    </row>
    <row r="20" spans="2:18" x14ac:dyDescent="0.2">
      <c r="C20" s="5"/>
      <c r="D20" s="5"/>
      <c r="E20" s="5"/>
      <c r="F20" s="5"/>
      <c r="G20" s="5"/>
      <c r="H20" s="5"/>
      <c r="I20" s="5"/>
      <c r="J20" s="5"/>
      <c r="K20" s="75"/>
      <c r="N20" s="11"/>
      <c r="O20" s="11"/>
      <c r="P20" s="34"/>
      <c r="Q20" s="34"/>
      <c r="R20" s="34"/>
    </row>
    <row r="21" spans="2:18" x14ac:dyDescent="0.2">
      <c r="C21" s="5"/>
      <c r="D21" s="5"/>
      <c r="E21" s="5"/>
      <c r="F21" s="5"/>
      <c r="G21" s="5"/>
      <c r="H21" s="5"/>
      <c r="I21" s="5"/>
      <c r="J21" s="5"/>
      <c r="K21" s="75"/>
      <c r="N21" s="11"/>
      <c r="O21" s="11"/>
      <c r="P21" s="34"/>
      <c r="Q21" s="34"/>
      <c r="R21" s="34"/>
    </row>
    <row r="22" spans="2:18" x14ac:dyDescent="0.2">
      <c r="C22" s="5"/>
      <c r="D22" s="5"/>
      <c r="E22" s="5"/>
      <c r="F22" s="5"/>
      <c r="G22" s="5"/>
      <c r="H22" s="5"/>
      <c r="I22" s="5"/>
      <c r="J22" s="5"/>
      <c r="K22" s="75"/>
      <c r="N22" s="11"/>
      <c r="O22" s="11"/>
      <c r="P22" s="34"/>
      <c r="Q22" s="34"/>
      <c r="R22" s="34"/>
    </row>
    <row r="23" spans="2:18" x14ac:dyDescent="0.2">
      <c r="C23" s="5"/>
      <c r="D23" s="5"/>
      <c r="E23" s="5"/>
      <c r="F23" s="5"/>
      <c r="G23" s="5"/>
      <c r="H23" s="5"/>
      <c r="I23" s="5"/>
      <c r="J23" s="5"/>
      <c r="K23" s="75"/>
      <c r="N23" s="11"/>
      <c r="O23" s="11"/>
      <c r="P23" s="34"/>
      <c r="Q23" s="34"/>
      <c r="R23" s="34"/>
    </row>
    <row r="24" spans="2:18" ht="15" customHeight="1" x14ac:dyDescent="0.2">
      <c r="B24" s="8" t="s">
        <v>17</v>
      </c>
      <c r="C24" s="5"/>
      <c r="D24" s="5"/>
      <c r="E24" s="5"/>
      <c r="F24" s="5"/>
      <c r="G24" s="5"/>
      <c r="H24" s="5"/>
      <c r="I24" s="5"/>
      <c r="J24" s="5"/>
      <c r="K24" s="75"/>
      <c r="N24" s="11"/>
      <c r="O24" s="11"/>
      <c r="P24" s="35"/>
      <c r="Q24" s="34"/>
      <c r="R24" s="34"/>
    </row>
    <row r="25" spans="2:18" ht="15" customHeight="1" x14ac:dyDescent="0.2">
      <c r="B25" s="5" t="s">
        <v>19</v>
      </c>
      <c r="C25" s="5"/>
      <c r="D25" s="5"/>
      <c r="E25" s="5"/>
      <c r="F25" s="5"/>
      <c r="G25" s="5"/>
      <c r="H25" s="5"/>
      <c r="I25" s="5"/>
      <c r="J25" s="5"/>
      <c r="K25" s="75"/>
      <c r="N25" s="11"/>
      <c r="O25" s="11"/>
      <c r="P25" s="34"/>
      <c r="Q25" s="34"/>
      <c r="R25" s="34"/>
    </row>
    <row r="26" spans="2:18" s="57" customFormat="1" ht="41.1" customHeight="1" x14ac:dyDescent="0.25">
      <c r="B26" s="208" t="s">
        <v>57</v>
      </c>
      <c r="C26" s="208"/>
      <c r="D26" s="208"/>
      <c r="E26" s="208"/>
      <c r="F26" s="208"/>
      <c r="G26" s="208"/>
      <c r="H26" s="92"/>
      <c r="I26" s="58"/>
      <c r="J26" s="58"/>
      <c r="K26" s="86"/>
      <c r="N26" s="36"/>
      <c r="O26" s="36"/>
      <c r="P26" s="37"/>
      <c r="Q26" s="37"/>
      <c r="R26" s="37"/>
    </row>
    <row r="27" spans="2:18" x14ac:dyDescent="0.2">
      <c r="N27" s="11"/>
      <c r="O27" s="11"/>
      <c r="P27" s="34"/>
      <c r="Q27" s="34"/>
      <c r="R27" s="34"/>
    </row>
    <row r="28" spans="2:18" x14ac:dyDescent="0.2">
      <c r="C28" s="38"/>
      <c r="N28" s="11"/>
      <c r="O28" s="11"/>
      <c r="P28" s="35"/>
      <c r="Q28" s="34"/>
      <c r="R28" s="34"/>
    </row>
  </sheetData>
  <mergeCells count="1">
    <mergeCell ref="B26:G26"/>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N18"/>
  <sheetViews>
    <sheetView zoomScaleNormal="100" workbookViewId="0">
      <selection activeCell="C6" sqref="C6:H9"/>
    </sheetView>
  </sheetViews>
  <sheetFormatPr baseColWidth="10" defaultColWidth="11.42578125" defaultRowHeight="12.75" x14ac:dyDescent="0.2"/>
  <cols>
    <col min="1" max="1" width="3.7109375" style="116" customWidth="1"/>
    <col min="2" max="2" width="18.28515625" style="116" customWidth="1"/>
    <col min="3" max="8" width="15.7109375" style="116" customWidth="1"/>
    <col min="9" max="16384" width="11.42578125" style="116"/>
  </cols>
  <sheetData>
    <row r="2" spans="2:14" ht="15" customHeight="1" x14ac:dyDescent="0.2">
      <c r="B2" s="170" t="s">
        <v>61</v>
      </c>
      <c r="C2" s="170"/>
      <c r="D2" s="170"/>
      <c r="E2" s="170"/>
      <c r="F2" s="170"/>
      <c r="G2" s="115"/>
      <c r="H2" s="115"/>
    </row>
    <row r="3" spans="2:14" ht="15" customHeight="1" x14ac:dyDescent="0.2">
      <c r="B3" s="171"/>
      <c r="C3" s="172"/>
      <c r="D3" s="172"/>
      <c r="E3" s="172"/>
      <c r="F3" s="172"/>
      <c r="G3" s="115"/>
      <c r="H3" s="115"/>
    </row>
    <row r="4" spans="2:14" s="174" customFormat="1" ht="45" customHeight="1" x14ac:dyDescent="0.25">
      <c r="B4" s="173"/>
      <c r="C4" s="202">
        <v>2024</v>
      </c>
      <c r="D4" s="202"/>
      <c r="E4" s="202"/>
      <c r="F4" s="203" t="s">
        <v>45</v>
      </c>
      <c r="G4" s="204"/>
      <c r="H4" s="205"/>
    </row>
    <row r="5" spans="2:14" ht="45" customHeight="1" x14ac:dyDescent="0.2">
      <c r="B5" s="175"/>
      <c r="C5" s="176" t="s">
        <v>90</v>
      </c>
      <c r="D5" s="165" t="s">
        <v>0</v>
      </c>
      <c r="E5" s="165" t="s">
        <v>5</v>
      </c>
      <c r="F5" s="177" t="s">
        <v>70</v>
      </c>
      <c r="G5" s="121" t="s">
        <v>82</v>
      </c>
      <c r="H5" s="121" t="s">
        <v>83</v>
      </c>
    </row>
    <row r="6" spans="2:14" x14ac:dyDescent="0.2">
      <c r="B6" s="178" t="s">
        <v>1</v>
      </c>
      <c r="C6" s="127">
        <v>160.56399999999999</v>
      </c>
      <c r="D6" s="127">
        <v>26.849134565058534</v>
      </c>
      <c r="E6" s="127">
        <v>71.470566253954814</v>
      </c>
      <c r="F6" s="129">
        <v>6.4606816072138971</v>
      </c>
      <c r="G6" s="125">
        <v>4.9822060167796112</v>
      </c>
      <c r="H6" s="125">
        <v>6.6264219961175597</v>
      </c>
    </row>
    <row r="7" spans="2:14" x14ac:dyDescent="0.2">
      <c r="B7" s="179" t="s">
        <v>3</v>
      </c>
      <c r="C7" s="127">
        <v>139.447</v>
      </c>
      <c r="D7" s="127">
        <v>25.875125017859695</v>
      </c>
      <c r="E7" s="127">
        <v>64.248782691631945</v>
      </c>
      <c r="F7" s="129">
        <v>4.289849002699853</v>
      </c>
      <c r="G7" s="129">
        <v>8.0637664930118369</v>
      </c>
      <c r="H7" s="129">
        <v>2.946592885978716</v>
      </c>
      <c r="K7" s="130"/>
    </row>
    <row r="8" spans="2:14" x14ac:dyDescent="0.2">
      <c r="B8" s="179" t="s">
        <v>2</v>
      </c>
      <c r="C8" s="127">
        <v>53.107999999999997</v>
      </c>
      <c r="D8" s="127">
        <v>19.612897507579927</v>
      </c>
      <c r="E8" s="127">
        <v>75.574301423514342</v>
      </c>
      <c r="F8" s="129">
        <v>3.9722782356741515</v>
      </c>
      <c r="G8" s="129">
        <v>5.8420361926398323</v>
      </c>
      <c r="H8" s="129">
        <v>5.0855139337819377</v>
      </c>
      <c r="K8" s="130"/>
      <c r="N8" s="131"/>
    </row>
    <row r="9" spans="2:14" s="131" customFormat="1" x14ac:dyDescent="0.2">
      <c r="B9" s="132" t="s">
        <v>4</v>
      </c>
      <c r="C9" s="133">
        <v>353.11900000000003</v>
      </c>
      <c r="D9" s="133">
        <v>25.084338085438439</v>
      </c>
      <c r="E9" s="133">
        <v>69.235866662513203</v>
      </c>
      <c r="F9" s="135">
        <v>5.2170674294568098</v>
      </c>
      <c r="G9" s="135">
        <v>6.2592947307984259</v>
      </c>
      <c r="H9" s="135">
        <v>4.8547676910190019</v>
      </c>
    </row>
    <row r="10" spans="2:14" s="131" customFormat="1" x14ac:dyDescent="0.2">
      <c r="B10" s="136"/>
      <c r="C10" s="180"/>
      <c r="D10" s="180"/>
      <c r="E10" s="180"/>
      <c r="F10" s="181"/>
      <c r="G10" s="114"/>
      <c r="H10" s="114"/>
    </row>
    <row r="11" spans="2:14" s="174" customFormat="1" ht="15" customHeight="1" x14ac:dyDescent="0.25">
      <c r="B11" s="160" t="s">
        <v>17</v>
      </c>
      <c r="C11" s="140"/>
      <c r="D11" s="140"/>
      <c r="E11" s="140"/>
      <c r="F11" s="140"/>
      <c r="G11" s="140"/>
      <c r="H11" s="140"/>
    </row>
    <row r="12" spans="2:14" s="174" customFormat="1" ht="15" customHeight="1" x14ac:dyDescent="0.25">
      <c r="B12" s="140" t="s">
        <v>19</v>
      </c>
      <c r="C12" s="140"/>
      <c r="D12" s="140"/>
      <c r="E12" s="140"/>
      <c r="F12" s="140"/>
      <c r="G12" s="140"/>
      <c r="H12" s="140"/>
    </row>
    <row r="13" spans="2:14" s="182" customFormat="1" ht="45" customHeight="1" x14ac:dyDescent="0.25">
      <c r="B13" s="207" t="s">
        <v>92</v>
      </c>
      <c r="C13" s="207"/>
      <c r="D13" s="207"/>
      <c r="E13" s="207"/>
      <c r="F13" s="207"/>
      <c r="G13" s="207"/>
      <c r="H13" s="207"/>
    </row>
    <row r="16" spans="2:14" x14ac:dyDescent="0.2">
      <c r="C16" s="183"/>
    </row>
    <row r="17" spans="3:3" x14ac:dyDescent="0.2">
      <c r="C17" s="183"/>
    </row>
    <row r="18" spans="3:3" x14ac:dyDescent="0.2">
      <c r="C18" s="183"/>
    </row>
  </sheetData>
  <mergeCells count="3">
    <mergeCell ref="C4:E4"/>
    <mergeCell ref="F4:H4"/>
    <mergeCell ref="B13:H13"/>
  </mergeCells>
  <phoneticPr fontId="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R26"/>
  <sheetViews>
    <sheetView workbookViewId="0">
      <selection activeCell="P20" sqref="P20"/>
    </sheetView>
  </sheetViews>
  <sheetFormatPr baseColWidth="10" defaultColWidth="11.42578125" defaultRowHeight="12.75" x14ac:dyDescent="0.2"/>
  <cols>
    <col min="1" max="1" width="3.7109375" style="9" customWidth="1"/>
    <col min="2" max="16" width="12.7109375" style="9" customWidth="1"/>
    <col min="17" max="16384" width="11.42578125" style="9"/>
  </cols>
  <sheetData>
    <row r="2" spans="2:18" x14ac:dyDescent="0.2">
      <c r="B2" s="11" t="s">
        <v>62</v>
      </c>
    </row>
    <row r="3" spans="2:18" x14ac:dyDescent="0.2">
      <c r="B3" s="11"/>
    </row>
    <row r="4" spans="2:18" x14ac:dyDescent="0.2">
      <c r="C4" s="103">
        <v>2011</v>
      </c>
      <c r="D4" s="103">
        <v>2012</v>
      </c>
      <c r="E4" s="103">
        <v>2013</v>
      </c>
      <c r="F4" s="103">
        <v>2014</v>
      </c>
      <c r="G4" s="103">
        <v>2015</v>
      </c>
      <c r="H4" s="103">
        <v>2016</v>
      </c>
      <c r="I4" s="103">
        <v>2017</v>
      </c>
      <c r="J4" s="103">
        <v>2018</v>
      </c>
      <c r="K4" s="103">
        <v>2019</v>
      </c>
      <c r="L4" s="103">
        <v>2020</v>
      </c>
      <c r="M4" s="103">
        <v>2021</v>
      </c>
      <c r="N4" s="103">
        <v>2022</v>
      </c>
      <c r="O4" s="103">
        <v>2023</v>
      </c>
      <c r="P4" s="103">
        <v>2024</v>
      </c>
    </row>
    <row r="5" spans="2:18" x14ac:dyDescent="0.2">
      <c r="B5" s="99" t="s">
        <v>3</v>
      </c>
      <c r="C5" s="100">
        <v>22.454754908508082</v>
      </c>
      <c r="D5" s="100">
        <v>23.025918902321905</v>
      </c>
      <c r="E5" s="100">
        <v>23.473997249377803</v>
      </c>
      <c r="F5" s="100">
        <v>23.424281780015871</v>
      </c>
      <c r="G5" s="100">
        <v>23.916267781298455</v>
      </c>
      <c r="H5" s="100">
        <v>23.977806111726053</v>
      </c>
      <c r="I5" s="100">
        <v>24.146374534404234</v>
      </c>
      <c r="J5" s="100">
        <v>24.402690672386861</v>
      </c>
      <c r="K5" s="100">
        <v>24.651718352971187</v>
      </c>
      <c r="L5" s="100">
        <v>24.679682588069426</v>
      </c>
      <c r="M5" s="100">
        <v>24.702181294489638</v>
      </c>
      <c r="N5" s="100">
        <v>25.292321126647614</v>
      </c>
      <c r="O5" s="100">
        <v>25.399728319994352</v>
      </c>
      <c r="P5" s="100">
        <v>25.875125017859695</v>
      </c>
      <c r="R5" s="10"/>
    </row>
    <row r="6" spans="2:18" x14ac:dyDescent="0.2">
      <c r="B6" s="99" t="s">
        <v>1</v>
      </c>
      <c r="C6" s="100">
        <v>19.394507071570207</v>
      </c>
      <c r="D6" s="100">
        <v>19.586049746558306</v>
      </c>
      <c r="E6" s="100">
        <v>19.66850828729282</v>
      </c>
      <c r="F6" s="100">
        <v>20.592729441078443</v>
      </c>
      <c r="G6" s="100">
        <v>21.390777935234958</v>
      </c>
      <c r="H6" s="100">
        <v>22.006180175897313</v>
      </c>
      <c r="I6" s="100">
        <v>22.622176522311541</v>
      </c>
      <c r="J6" s="100">
        <v>23.698401737281589</v>
      </c>
      <c r="K6" s="100">
        <v>25.490848230942255</v>
      </c>
      <c r="L6" s="100">
        <v>25.599429680383384</v>
      </c>
      <c r="M6" s="100">
        <v>25.904692209180286</v>
      </c>
      <c r="N6" s="100">
        <v>25.647573076775231</v>
      </c>
      <c r="O6" s="100">
        <v>25.776258411289533</v>
      </c>
      <c r="P6" s="100">
        <v>26.849134565058534</v>
      </c>
      <c r="R6" s="10"/>
    </row>
    <row r="7" spans="2:18" x14ac:dyDescent="0.2">
      <c r="B7" s="99" t="s">
        <v>2</v>
      </c>
      <c r="C7" s="100">
        <v>14.455741935483871</v>
      </c>
      <c r="D7" s="100">
        <v>14.704646275974783</v>
      </c>
      <c r="E7" s="100">
        <v>14.608873321657912</v>
      </c>
      <c r="F7" s="100">
        <v>14.468532089279904</v>
      </c>
      <c r="G7" s="100">
        <v>14.336096957415508</v>
      </c>
      <c r="H7" s="100">
        <v>14.256422797108742</v>
      </c>
      <c r="I7" s="100">
        <v>14.302594171997157</v>
      </c>
      <c r="J7" s="100">
        <v>14.672153772803695</v>
      </c>
      <c r="K7" s="100">
        <v>15.28617736707146</v>
      </c>
      <c r="L7" s="100">
        <v>15.486009432504616</v>
      </c>
      <c r="M7" s="100">
        <v>16.757568139671296</v>
      </c>
      <c r="N7" s="100">
        <v>17.861008876380168</v>
      </c>
      <c r="O7" s="100">
        <v>18.928687061870807</v>
      </c>
      <c r="P7" s="100">
        <v>19.612897507579927</v>
      </c>
      <c r="R7" s="10"/>
    </row>
    <row r="8" spans="2:18" x14ac:dyDescent="0.2">
      <c r="B8" s="101" t="s">
        <v>4</v>
      </c>
      <c r="C8" s="102">
        <v>19.550122515654778</v>
      </c>
      <c r="D8" s="102">
        <v>19.940959393755346</v>
      </c>
      <c r="E8" s="102">
        <v>20.064831875320071</v>
      </c>
      <c r="F8" s="102">
        <v>20.369307543052461</v>
      </c>
      <c r="G8" s="102">
        <v>20.806686116077458</v>
      </c>
      <c r="H8" s="102">
        <v>21.031799670023865</v>
      </c>
      <c r="I8" s="102">
        <v>21.344913429379858</v>
      </c>
      <c r="J8" s="102">
        <v>21.939571942234341</v>
      </c>
      <c r="K8" s="102">
        <v>22.936416842775337</v>
      </c>
      <c r="L8" s="102">
        <v>22.979488627912378</v>
      </c>
      <c r="M8" s="102">
        <v>23.437521586805982</v>
      </c>
      <c r="N8" s="102">
        <v>23.891874367798465</v>
      </c>
      <c r="O8" s="102">
        <v>24.295975784629245</v>
      </c>
      <c r="P8" s="102">
        <v>25.084338085438439</v>
      </c>
      <c r="R8" s="10"/>
    </row>
    <row r="9" spans="2:18" x14ac:dyDescent="0.2">
      <c r="B9" s="11"/>
      <c r="C9" s="23"/>
      <c r="D9" s="23"/>
      <c r="E9" s="23"/>
      <c r="F9" s="23"/>
      <c r="G9" s="23"/>
      <c r="H9" s="23"/>
      <c r="I9" s="23"/>
      <c r="J9" s="23"/>
      <c r="K9" s="82"/>
      <c r="L9" s="23"/>
      <c r="M9" s="23"/>
      <c r="N9" s="23"/>
      <c r="O9" s="22"/>
      <c r="P9" s="22"/>
    </row>
    <row r="10" spans="2:18" x14ac:dyDescent="0.2">
      <c r="B10" s="5" t="s">
        <v>21</v>
      </c>
      <c r="D10" s="5"/>
      <c r="E10" s="5"/>
      <c r="F10" s="5"/>
      <c r="G10" s="5"/>
      <c r="H10" s="5"/>
      <c r="I10" s="5"/>
      <c r="J10" s="5"/>
      <c r="K10" s="75"/>
      <c r="L10" s="10"/>
    </row>
    <row r="11" spans="2:18" x14ac:dyDescent="0.2">
      <c r="C11" s="5"/>
      <c r="D11" s="5"/>
      <c r="E11" s="5"/>
      <c r="F11" s="5"/>
      <c r="G11" s="5"/>
      <c r="H11" s="5"/>
      <c r="I11" s="5"/>
      <c r="J11" s="5"/>
      <c r="K11" s="75"/>
    </row>
    <row r="12" spans="2:18" x14ac:dyDescent="0.2">
      <c r="C12" s="5"/>
      <c r="D12" s="5"/>
      <c r="E12" s="5"/>
      <c r="F12" s="5"/>
      <c r="G12" s="5"/>
      <c r="H12" s="5"/>
      <c r="I12" s="5"/>
      <c r="J12" s="24"/>
      <c r="K12" s="84"/>
    </row>
    <row r="13" spans="2:18" x14ac:dyDescent="0.2">
      <c r="C13" s="5"/>
      <c r="D13" s="5"/>
      <c r="E13" s="5"/>
      <c r="F13" s="5"/>
      <c r="G13" s="5"/>
      <c r="H13" s="5"/>
      <c r="I13" s="21"/>
      <c r="J13" s="25"/>
      <c r="K13" s="85"/>
    </row>
    <row r="14" spans="2:18" ht="76.5" x14ac:dyDescent="0.2">
      <c r="C14" s="5"/>
      <c r="D14" s="5"/>
      <c r="E14" s="5"/>
      <c r="F14" s="5"/>
      <c r="G14" s="5"/>
      <c r="H14" s="5"/>
      <c r="I14" s="26"/>
      <c r="J14" s="69" t="s">
        <v>68</v>
      </c>
      <c r="K14" s="75"/>
    </row>
    <row r="15" spans="2:18" x14ac:dyDescent="0.2">
      <c r="C15" s="5"/>
      <c r="D15" s="5"/>
      <c r="E15" s="5"/>
      <c r="F15" s="5"/>
      <c r="G15" s="5"/>
      <c r="H15" s="5"/>
      <c r="I15" s="96" t="s">
        <v>1</v>
      </c>
      <c r="J15" s="27">
        <v>2.5241608558796313</v>
      </c>
      <c r="K15" s="75"/>
    </row>
    <row r="16" spans="2:18" x14ac:dyDescent="0.2">
      <c r="C16" s="5"/>
      <c r="D16" s="5"/>
      <c r="E16" s="5"/>
      <c r="F16" s="5"/>
      <c r="G16" s="5"/>
      <c r="H16" s="5"/>
      <c r="I16" s="97" t="s">
        <v>3</v>
      </c>
      <c r="J16" s="27">
        <v>1.2344881495348181</v>
      </c>
      <c r="K16" s="75"/>
      <c r="M16" s="28"/>
    </row>
    <row r="17" spans="2:14" x14ac:dyDescent="0.2">
      <c r="C17" s="5"/>
      <c r="D17" s="5"/>
      <c r="E17" s="5"/>
      <c r="F17" s="5"/>
      <c r="G17" s="5"/>
      <c r="H17" s="5"/>
      <c r="I17" s="98" t="s">
        <v>2</v>
      </c>
      <c r="J17" s="27">
        <v>2.4018898957620216</v>
      </c>
      <c r="K17" s="75"/>
      <c r="M17" s="11"/>
    </row>
    <row r="18" spans="2:14" x14ac:dyDescent="0.2">
      <c r="C18" s="5"/>
      <c r="D18" s="5"/>
      <c r="E18" s="5"/>
      <c r="F18" s="5"/>
      <c r="G18" s="5"/>
      <c r="H18" s="5"/>
      <c r="I18" s="108" t="s">
        <v>4</v>
      </c>
      <c r="J18" s="29">
        <v>1.9668302569122886</v>
      </c>
      <c r="K18" s="75"/>
      <c r="M18" s="11"/>
    </row>
    <row r="19" spans="2:14" x14ac:dyDescent="0.2">
      <c r="C19" s="5"/>
      <c r="D19" s="5"/>
      <c r="E19" s="5"/>
      <c r="F19" s="5"/>
      <c r="G19" s="5"/>
      <c r="H19" s="5"/>
      <c r="I19" s="5"/>
      <c r="J19" s="5"/>
      <c r="K19" s="75"/>
      <c r="N19" s="11"/>
    </row>
    <row r="20" spans="2:14" x14ac:dyDescent="0.2">
      <c r="C20" s="5"/>
      <c r="D20" s="5"/>
      <c r="E20" s="5"/>
      <c r="F20" s="5"/>
      <c r="G20" s="5"/>
      <c r="H20" s="5"/>
      <c r="I20" s="5"/>
      <c r="J20" s="5"/>
      <c r="K20" s="75"/>
      <c r="N20" s="11"/>
    </row>
    <row r="21" spans="2:14" x14ac:dyDescent="0.2">
      <c r="C21" s="5"/>
      <c r="D21" s="5"/>
      <c r="E21" s="5"/>
      <c r="F21" s="5"/>
      <c r="G21" s="5"/>
      <c r="H21" s="5"/>
      <c r="I21" s="5"/>
      <c r="J21" s="5"/>
      <c r="K21" s="75"/>
    </row>
    <row r="22" spans="2:14" x14ac:dyDescent="0.2">
      <c r="C22" s="5"/>
      <c r="D22" s="5"/>
      <c r="E22" s="5"/>
      <c r="F22" s="5"/>
      <c r="G22" s="5"/>
      <c r="H22" s="5"/>
      <c r="I22" s="5"/>
      <c r="J22" s="5"/>
      <c r="K22" s="75"/>
    </row>
    <row r="23" spans="2:14" x14ac:dyDescent="0.2">
      <c r="C23" s="5"/>
      <c r="D23" s="5"/>
      <c r="E23" s="5"/>
      <c r="F23" s="5"/>
      <c r="G23" s="5"/>
      <c r="H23" s="5"/>
      <c r="I23" s="5"/>
      <c r="J23" s="5"/>
      <c r="K23" s="75"/>
    </row>
    <row r="24" spans="2:14" ht="15" customHeight="1" x14ac:dyDescent="0.2">
      <c r="B24" s="8" t="s">
        <v>17</v>
      </c>
      <c r="C24" s="5"/>
      <c r="D24" s="5"/>
      <c r="E24" s="5"/>
      <c r="F24" s="5"/>
      <c r="G24" s="5"/>
      <c r="H24" s="5"/>
      <c r="I24" s="5"/>
      <c r="J24" s="5"/>
      <c r="K24" s="75"/>
    </row>
    <row r="25" spans="2:14" ht="18.75" customHeight="1" x14ac:dyDescent="0.2">
      <c r="B25" s="234" t="s">
        <v>19</v>
      </c>
      <c r="C25" s="234"/>
      <c r="D25" s="234"/>
      <c r="E25" s="234"/>
      <c r="F25" s="234"/>
      <c r="G25" s="234"/>
      <c r="H25" s="5"/>
      <c r="I25" s="5"/>
      <c r="J25" s="5"/>
      <c r="K25" s="75"/>
    </row>
    <row r="26" spans="2:14" s="18" customFormat="1" ht="45" customHeight="1" x14ac:dyDescent="0.25">
      <c r="B26" s="208" t="s">
        <v>74</v>
      </c>
      <c r="C26" s="208"/>
      <c r="D26" s="208"/>
      <c r="E26" s="208"/>
      <c r="F26" s="208"/>
      <c r="G26" s="208"/>
      <c r="H26" s="92"/>
      <c r="I26" s="30"/>
      <c r="J26" s="30"/>
      <c r="K26" s="76"/>
    </row>
  </sheetData>
  <mergeCells count="2">
    <mergeCell ref="B25:G25"/>
    <mergeCell ref="B26:G26"/>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H14"/>
  <sheetViews>
    <sheetView zoomScaleNormal="100" workbookViewId="0">
      <selection activeCell="C6" sqref="C6:F9"/>
    </sheetView>
  </sheetViews>
  <sheetFormatPr baseColWidth="10" defaultColWidth="11.42578125" defaultRowHeight="12.75" x14ac:dyDescent="0.2"/>
  <cols>
    <col min="1" max="1" width="3.7109375" style="9" customWidth="1"/>
    <col min="2" max="2" width="18.140625" style="9" customWidth="1"/>
    <col min="3" max="6" width="14.7109375" style="9" customWidth="1"/>
    <col min="7" max="16384" width="11.42578125" style="9"/>
  </cols>
  <sheetData>
    <row r="2" spans="2:8" ht="30" customHeight="1" x14ac:dyDescent="0.2">
      <c r="B2" s="235" t="s">
        <v>76</v>
      </c>
      <c r="C2" s="235"/>
      <c r="D2" s="235"/>
      <c r="E2" s="235"/>
      <c r="F2" s="235"/>
    </row>
    <row r="3" spans="2:8" ht="15" customHeight="1" x14ac:dyDescent="0.2">
      <c r="B3" s="71"/>
      <c r="C3" s="71"/>
      <c r="D3" s="71"/>
      <c r="E3" s="71"/>
    </row>
    <row r="4" spans="2:8" ht="15" customHeight="1" x14ac:dyDescent="0.2">
      <c r="B4" s="88"/>
      <c r="C4" s="222" t="s">
        <v>73</v>
      </c>
      <c r="D4" s="223"/>
      <c r="E4" s="223"/>
      <c r="F4" s="220"/>
    </row>
    <row r="5" spans="2:8" ht="30" customHeight="1" x14ac:dyDescent="0.2">
      <c r="B5" s="87"/>
      <c r="C5" s="113" t="s">
        <v>41</v>
      </c>
      <c r="D5" s="113" t="s">
        <v>42</v>
      </c>
      <c r="E5" s="113" t="s">
        <v>36</v>
      </c>
      <c r="F5" s="113" t="s">
        <v>11</v>
      </c>
    </row>
    <row r="6" spans="2:8" x14ac:dyDescent="0.2">
      <c r="B6" s="68" t="s">
        <v>1</v>
      </c>
      <c r="C6" s="185">
        <v>40.492264766697389</v>
      </c>
      <c r="D6" s="185">
        <v>32.945741262051271</v>
      </c>
      <c r="E6" s="185">
        <v>26.56199397125134</v>
      </c>
      <c r="F6" s="188">
        <v>100</v>
      </c>
    </row>
    <row r="7" spans="2:8" x14ac:dyDescent="0.2">
      <c r="B7" s="68" t="s">
        <v>3</v>
      </c>
      <c r="C7" s="186">
        <v>38.431805632247382</v>
      </c>
      <c r="D7" s="186">
        <v>32.985291903016915</v>
      </c>
      <c r="E7" s="186">
        <v>28.582902464735703</v>
      </c>
      <c r="F7" s="189">
        <v>100</v>
      </c>
      <c r="H7" s="91"/>
    </row>
    <row r="8" spans="2:8" x14ac:dyDescent="0.2">
      <c r="B8" s="68" t="s">
        <v>2</v>
      </c>
      <c r="C8" s="187">
        <v>43.818257136401293</v>
      </c>
      <c r="D8" s="187">
        <v>33.309482563832191</v>
      </c>
      <c r="E8" s="187">
        <v>22.872260299766513</v>
      </c>
      <c r="F8" s="189">
        <v>100</v>
      </c>
    </row>
    <row r="9" spans="2:8" s="11" customFormat="1" x14ac:dyDescent="0.2">
      <c r="B9" s="16" t="s">
        <v>4</v>
      </c>
      <c r="C9" s="184">
        <v>40.178806577952471</v>
      </c>
      <c r="D9" s="184">
        <v>33.016065405713093</v>
      </c>
      <c r="E9" s="184">
        <v>26.805128016334436</v>
      </c>
      <c r="F9" s="109">
        <v>100</v>
      </c>
    </row>
    <row r="10" spans="2:8" s="11" customFormat="1" x14ac:dyDescent="0.2">
      <c r="B10" s="13"/>
      <c r="C10" s="17"/>
      <c r="D10" s="17"/>
      <c r="E10" s="17"/>
      <c r="F10" s="21"/>
    </row>
    <row r="11" spans="2:8" ht="15" customHeight="1" x14ac:dyDescent="0.2">
      <c r="B11" s="8" t="s">
        <v>17</v>
      </c>
      <c r="C11" s="5"/>
      <c r="D11" s="5"/>
      <c r="E11" s="5"/>
      <c r="F11" s="5"/>
    </row>
    <row r="12" spans="2:8" ht="30" customHeight="1" x14ac:dyDescent="0.2">
      <c r="B12" s="234" t="s">
        <v>60</v>
      </c>
      <c r="C12" s="234"/>
      <c r="D12" s="234"/>
      <c r="E12" s="234"/>
      <c r="F12" s="234"/>
    </row>
    <row r="13" spans="2:8" ht="45" customHeight="1" x14ac:dyDescent="0.2">
      <c r="B13" s="208" t="s">
        <v>63</v>
      </c>
      <c r="C13" s="208"/>
      <c r="D13" s="208"/>
      <c r="E13" s="208"/>
      <c r="F13" s="208"/>
    </row>
    <row r="14" spans="2:8" x14ac:dyDescent="0.2">
      <c r="D14" s="31"/>
      <c r="E14" s="31"/>
      <c r="F14" s="31"/>
    </row>
  </sheetData>
  <mergeCells count="4">
    <mergeCell ref="C4:F4"/>
    <mergeCell ref="B2:F2"/>
    <mergeCell ref="B12:F12"/>
    <mergeCell ref="B13:F1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O26"/>
  <sheetViews>
    <sheetView zoomScaleNormal="100" workbookViewId="0">
      <selection activeCell="L5" sqref="L5:M6"/>
    </sheetView>
  </sheetViews>
  <sheetFormatPr baseColWidth="10" defaultColWidth="11.42578125" defaultRowHeight="12.75" x14ac:dyDescent="0.2"/>
  <cols>
    <col min="1" max="1" width="3.7109375" style="9" customWidth="1"/>
    <col min="2" max="2" width="18.28515625" style="9" customWidth="1"/>
    <col min="3" max="13" width="12.7109375" style="9" customWidth="1"/>
    <col min="14" max="16384" width="11.42578125" style="9"/>
  </cols>
  <sheetData>
    <row r="2" spans="2:15" x14ac:dyDescent="0.2">
      <c r="B2" s="11" t="s">
        <v>95</v>
      </c>
    </row>
    <row r="3" spans="2:15" x14ac:dyDescent="0.2">
      <c r="B3" s="11"/>
      <c r="C3" s="90"/>
      <c r="D3" s="90"/>
      <c r="E3" s="90"/>
      <c r="F3" s="90"/>
      <c r="G3" s="90"/>
      <c r="H3" s="90"/>
      <c r="I3" s="90"/>
      <c r="J3" s="90"/>
      <c r="K3" s="90"/>
      <c r="L3" s="90"/>
      <c r="M3" s="90"/>
      <c r="N3" s="90"/>
    </row>
    <row r="4" spans="2:15" x14ac:dyDescent="0.2">
      <c r="C4" s="103">
        <v>2014</v>
      </c>
      <c r="D4" s="103">
        <f t="shared" ref="D4:H4" si="0">C4+1</f>
        <v>2015</v>
      </c>
      <c r="E4" s="103">
        <f t="shared" si="0"/>
        <v>2016</v>
      </c>
      <c r="F4" s="103">
        <f t="shared" si="0"/>
        <v>2017</v>
      </c>
      <c r="G4" s="103">
        <f t="shared" si="0"/>
        <v>2018</v>
      </c>
      <c r="H4" s="103">
        <f t="shared" si="0"/>
        <v>2019</v>
      </c>
      <c r="I4" s="103">
        <f>H4+1</f>
        <v>2020</v>
      </c>
      <c r="J4" s="103">
        <f>I4+1</f>
        <v>2021</v>
      </c>
      <c r="K4" s="110">
        <v>2022</v>
      </c>
      <c r="L4" s="110">
        <v>2023</v>
      </c>
      <c r="M4" s="110">
        <v>2024</v>
      </c>
    </row>
    <row r="5" spans="2:15" x14ac:dyDescent="0.2">
      <c r="B5" s="101" t="s">
        <v>12</v>
      </c>
      <c r="C5" s="100">
        <v>34.146923191572107</v>
      </c>
      <c r="D5" s="100">
        <v>34.512901872605561</v>
      </c>
      <c r="E5" s="100">
        <v>35.264434107071011</v>
      </c>
      <c r="F5" s="100">
        <v>35.74402777930927</v>
      </c>
      <c r="G5" s="100">
        <v>35.733770570776699</v>
      </c>
      <c r="H5" s="100">
        <v>36.437568399335596</v>
      </c>
      <c r="I5" s="100">
        <v>37.13596427803035</v>
      </c>
      <c r="J5" s="100">
        <v>38.138234670322937</v>
      </c>
      <c r="K5" s="100">
        <v>38.527316167478347</v>
      </c>
      <c r="L5" s="100">
        <v>39.615032371556559</v>
      </c>
      <c r="M5" s="100">
        <v>40.501277964634362</v>
      </c>
    </row>
    <row r="6" spans="2:15" x14ac:dyDescent="0.2">
      <c r="B6" s="101" t="s">
        <v>13</v>
      </c>
      <c r="C6" s="100">
        <v>27.981642325685396</v>
      </c>
      <c r="D6" s="100">
        <v>28.831402907886023</v>
      </c>
      <c r="E6" s="100">
        <v>28.838392331497531</v>
      </c>
      <c r="F6" s="100">
        <v>29.255697046761391</v>
      </c>
      <c r="G6" s="100">
        <v>29.663883928384628</v>
      </c>
      <c r="H6" s="100">
        <v>29.780464640004201</v>
      </c>
      <c r="I6" s="100">
        <v>30.57325772122886</v>
      </c>
      <c r="J6" s="100">
        <v>30.807154740076015</v>
      </c>
      <c r="K6" s="100">
        <v>31.117505396914407</v>
      </c>
      <c r="L6" s="100">
        <v>31.663205381615722</v>
      </c>
      <c r="M6" s="100">
        <v>32.316156523632216</v>
      </c>
    </row>
    <row r="7" spans="2:15" x14ac:dyDescent="0.2">
      <c r="B7" s="11"/>
      <c r="C7" s="10"/>
      <c r="D7" s="10"/>
      <c r="E7" s="10"/>
      <c r="F7" s="10"/>
      <c r="G7" s="10"/>
      <c r="H7" s="10"/>
      <c r="I7" s="10"/>
      <c r="J7" s="10"/>
      <c r="K7" s="10"/>
      <c r="L7" s="10"/>
      <c r="M7" s="10"/>
    </row>
    <row r="8" spans="2:15" x14ac:dyDescent="0.2">
      <c r="B8" s="5" t="s">
        <v>21</v>
      </c>
      <c r="C8" s="10"/>
      <c r="D8" s="10"/>
      <c r="E8" s="10"/>
      <c r="F8" s="10"/>
      <c r="G8" s="10"/>
      <c r="H8" s="10"/>
      <c r="I8" s="10"/>
      <c r="J8" s="10"/>
      <c r="K8" s="10"/>
      <c r="L8" s="10"/>
    </row>
    <row r="9" spans="2:15" x14ac:dyDescent="0.2">
      <c r="C9" s="5"/>
      <c r="D9" s="5"/>
      <c r="E9" s="5"/>
      <c r="F9" s="5"/>
      <c r="G9" s="5"/>
      <c r="H9" s="5"/>
      <c r="I9" s="5"/>
      <c r="J9" s="5"/>
    </row>
    <row r="10" spans="2:15" ht="76.5" x14ac:dyDescent="0.2">
      <c r="B10" s="5"/>
      <c r="C10" s="5"/>
      <c r="D10" s="5"/>
      <c r="E10" s="5"/>
      <c r="F10" s="5"/>
      <c r="G10" s="5"/>
      <c r="H10" s="26"/>
      <c r="I10" s="190" t="s">
        <v>77</v>
      </c>
    </row>
    <row r="11" spans="2:15" ht="25.5" x14ac:dyDescent="0.2">
      <c r="B11" s="5"/>
      <c r="C11" s="5"/>
      <c r="D11" s="5"/>
      <c r="E11" s="5"/>
      <c r="F11" s="5"/>
      <c r="G11" s="5"/>
      <c r="H11" s="112" t="s">
        <v>12</v>
      </c>
      <c r="I11" s="27">
        <v>1.721256224939105</v>
      </c>
    </row>
    <row r="12" spans="2:15" x14ac:dyDescent="0.2">
      <c r="B12" s="5"/>
      <c r="C12" s="5"/>
      <c r="D12" s="5"/>
      <c r="E12" s="5"/>
      <c r="F12" s="5"/>
      <c r="G12" s="5"/>
      <c r="H12" s="111" t="s">
        <v>13</v>
      </c>
      <c r="I12" s="32">
        <v>1.4506070823951944</v>
      </c>
    </row>
    <row r="13" spans="2:15" x14ac:dyDescent="0.2">
      <c r="B13" s="5"/>
      <c r="C13" s="5"/>
      <c r="D13" s="5"/>
      <c r="E13" s="5"/>
      <c r="F13" s="5"/>
      <c r="G13" s="5"/>
      <c r="H13" s="21"/>
      <c r="I13" s="25"/>
      <c r="J13" s="25"/>
    </row>
    <row r="14" spans="2:15" x14ac:dyDescent="0.2">
      <c r="B14" s="5"/>
      <c r="C14" s="5"/>
      <c r="D14" s="5"/>
      <c r="E14" s="5"/>
      <c r="F14" s="5"/>
      <c r="G14" s="5"/>
      <c r="H14" s="75"/>
      <c r="I14" s="33"/>
      <c r="J14" s="33"/>
      <c r="L14" s="93"/>
      <c r="O14" s="91"/>
    </row>
    <row r="15" spans="2:15" x14ac:dyDescent="0.2">
      <c r="B15" s="5"/>
      <c r="C15" s="5"/>
      <c r="D15" s="5"/>
      <c r="E15" s="5"/>
      <c r="F15" s="5"/>
      <c r="G15" s="5"/>
      <c r="H15" s="5"/>
      <c r="I15" s="5"/>
      <c r="J15" s="5"/>
      <c r="K15" s="91"/>
    </row>
    <row r="16" spans="2:15" x14ac:dyDescent="0.2">
      <c r="B16" s="5"/>
      <c r="C16" s="5"/>
      <c r="D16" s="5"/>
      <c r="E16" s="5"/>
      <c r="F16" s="5"/>
      <c r="G16" s="5"/>
      <c r="H16" s="5"/>
      <c r="I16" s="5"/>
      <c r="J16" s="5"/>
    </row>
    <row r="17" spans="2:10" x14ac:dyDescent="0.2">
      <c r="B17" s="5"/>
      <c r="C17" s="5"/>
      <c r="D17" s="5"/>
      <c r="E17" s="5"/>
      <c r="F17" s="5"/>
      <c r="G17" s="5"/>
      <c r="H17" s="5"/>
      <c r="I17" s="5"/>
      <c r="J17" s="5"/>
    </row>
    <row r="18" spans="2:10" x14ac:dyDescent="0.2">
      <c r="B18" s="5"/>
      <c r="C18" s="5"/>
      <c r="D18" s="5"/>
      <c r="E18" s="5"/>
      <c r="F18" s="5"/>
      <c r="G18" s="5"/>
      <c r="H18" s="5"/>
      <c r="I18" s="5"/>
      <c r="J18" s="5"/>
    </row>
    <row r="19" spans="2:10" x14ac:dyDescent="0.2">
      <c r="B19" s="5"/>
      <c r="C19" s="5"/>
      <c r="D19" s="5"/>
      <c r="E19" s="5"/>
      <c r="F19" s="5"/>
      <c r="G19" s="5"/>
      <c r="H19" s="5"/>
      <c r="I19" s="5"/>
      <c r="J19" s="5"/>
    </row>
    <row r="20" spans="2:10" x14ac:dyDescent="0.2">
      <c r="B20" s="5"/>
      <c r="C20" s="5"/>
      <c r="D20" s="5"/>
      <c r="E20" s="5"/>
      <c r="F20" s="5"/>
      <c r="G20" s="5"/>
      <c r="H20" s="5"/>
      <c r="I20" s="5"/>
      <c r="J20" s="5"/>
    </row>
    <row r="21" spans="2:10" x14ac:dyDescent="0.2">
      <c r="B21" s="5"/>
      <c r="C21" s="5"/>
      <c r="D21" s="5"/>
      <c r="E21" s="5"/>
      <c r="F21" s="5"/>
      <c r="G21" s="5"/>
      <c r="H21" s="5"/>
      <c r="I21" s="5"/>
      <c r="J21" s="5"/>
    </row>
    <row r="22" spans="2:10" x14ac:dyDescent="0.2">
      <c r="B22" s="5"/>
      <c r="C22" s="5"/>
      <c r="D22" s="5"/>
      <c r="E22" s="5"/>
      <c r="F22" s="5"/>
      <c r="G22" s="5"/>
      <c r="H22" s="5"/>
      <c r="I22" s="25"/>
      <c r="J22" s="25"/>
    </row>
    <row r="23" spans="2:10" x14ac:dyDescent="0.2">
      <c r="B23" s="5"/>
      <c r="C23" s="5"/>
      <c r="D23" s="5"/>
      <c r="E23" s="5"/>
      <c r="F23" s="5"/>
      <c r="G23" s="5"/>
      <c r="H23" s="5"/>
      <c r="I23" s="5"/>
      <c r="J23" s="5"/>
    </row>
    <row r="24" spans="2:10" x14ac:dyDescent="0.2">
      <c r="B24" s="8" t="s">
        <v>37</v>
      </c>
      <c r="C24" s="5"/>
      <c r="D24" s="5"/>
      <c r="E24" s="5"/>
      <c r="F24" s="5"/>
      <c r="G24" s="5"/>
      <c r="H24" s="5"/>
      <c r="I24" s="5"/>
      <c r="J24" s="5"/>
    </row>
    <row r="25" spans="2:10" ht="30" customHeight="1" x14ac:dyDescent="0.2">
      <c r="B25" s="234" t="s">
        <v>38</v>
      </c>
      <c r="C25" s="234"/>
      <c r="D25" s="234"/>
      <c r="E25" s="234"/>
      <c r="F25" s="234"/>
      <c r="G25" s="234"/>
      <c r="H25" s="5"/>
      <c r="I25" s="5"/>
      <c r="J25" s="5"/>
    </row>
    <row r="26" spans="2:10" ht="30" customHeight="1" x14ac:dyDescent="0.2">
      <c r="B26" s="208" t="s">
        <v>78</v>
      </c>
      <c r="C26" s="208"/>
      <c r="D26" s="208"/>
      <c r="E26" s="208"/>
      <c r="F26" s="208"/>
      <c r="G26" s="208"/>
      <c r="H26" s="5"/>
      <c r="I26" s="5"/>
      <c r="J26" s="5"/>
    </row>
  </sheetData>
  <mergeCells count="2">
    <mergeCell ref="B25:G25"/>
    <mergeCell ref="B26:G2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Sommaire</vt:lpstr>
      <vt:lpstr>Figure 1</vt:lpstr>
      <vt:lpstr>Figure 2</vt:lpstr>
      <vt:lpstr>Figure 3</vt:lpstr>
      <vt:lpstr>Figure 4</vt:lpstr>
      <vt:lpstr>Figure 5</vt:lpstr>
      <vt:lpstr>Figure 6</vt:lpstr>
      <vt:lpstr>Figure 7</vt:lpstr>
      <vt:lpstr>Figure 8</vt:lpstr>
      <vt:lpstr>Figure 9</vt:lpstr>
      <vt:lpstr>Figure 10</vt:lpstr>
      <vt:lpstr>Figure 11</vt:lpstr>
      <vt:lpstr>Figure encadré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MASSIS Deborah</dc:creator>
  <cp:lastModifiedBy>MASSIS Deborah</cp:lastModifiedBy>
  <dcterms:created xsi:type="dcterms:W3CDTF">2023-05-22T14:49:04Z</dcterms:created>
  <dcterms:modified xsi:type="dcterms:W3CDTF">2026-10-26T13:06:02Z</dcterms:modified>
</cp:coreProperties>
</file>