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nm-dgafp-srv\dessi\Travaux B3 par thèmes\01 Emploi public\02 - Rapport annuel\RA 2025-2026\03 - Données complémentaires\2_Postes\4 - Final\"/>
    </mc:Choice>
  </mc:AlternateContent>
  <xr:revisionPtr revIDLastSave="0" documentId="13_ncr:1_{7D133E44-C593-47DF-A808-7CED6E12EAFB}" xr6:coauthVersionLast="47" xr6:coauthVersionMax="47" xr10:uidLastSave="{00000000-0000-0000-0000-000000000000}"/>
  <bookViews>
    <workbookView xWindow="-120" yWindow="-120" windowWidth="29040" windowHeight="15720" tabRatio="810" xr2:uid="{00000000-000D-0000-FFFF-FFFF00000000}"/>
  </bookViews>
  <sheets>
    <sheet name="SOMMAIRE" sheetId="6" r:id="rId1"/>
    <sheet name="AVERTISSEMENT" sheetId="22" r:id="rId2"/>
    <sheet name="Figure 1 statut" sheetId="28" r:id="rId3"/>
    <sheet name="Figure 2 statut" sheetId="21" r:id="rId4"/>
    <sheet name="Figure 1 catégorie" sheetId="7" r:id="rId5"/>
    <sheet name="Figure 2 catégorie" sheetId="1" r:id="rId6"/>
    <sheet name="Figure 3 catégorie" sheetId="20" r:id="rId7"/>
    <sheet name="Figure 4 catégorie" sheetId="24" r:id="rId8"/>
    <sheet name="Figure 1 loc" sheetId="12" r:id="rId9"/>
    <sheet name="Figure 2 loc" sheetId="15" r:id="rId10"/>
    <sheet name="Figure 3 loc" sheetId="26" r:id="rId11"/>
    <sheet name="Figure 4 loc" sheetId="19" r:id="rId12"/>
    <sheet name="Figure 5 loc" sheetId="13" r:id="rId13"/>
  </sheets>
  <definedNames>
    <definedName name="_bdd2" localSheetId="8" hidden="1">{TRUE;FALSE}</definedName>
    <definedName name="_bdd2" localSheetId="12" hidden="1">{TRUE;FALSE}</definedName>
    <definedName name="_bdd2" hidden="1">{TRUE;FALSE}</definedName>
    <definedName name="_bdd2_1" localSheetId="8" hidden="1">{TRUE;FALSE}</definedName>
    <definedName name="_bdd2_1" localSheetId="12" hidden="1">{TRUE;FALSE}</definedName>
    <definedName name="_bdd2_1" hidden="1">{TRUE;FALSE}</definedName>
    <definedName name="_bdd2_1_1" hidden="1">{TRUE;FALSE}</definedName>
    <definedName name="_bdd2_1_2" hidden="1">{TRUE;FALSE}</definedName>
    <definedName name="_bdd2_1_3" hidden="1">{TRUE;FALSE}</definedName>
    <definedName name="_bdd2_2" hidden="1">{TRUE;FALSE}</definedName>
    <definedName name="_bdd2_3" hidden="1">{TRUE;FALSE}</definedName>
    <definedName name="_bdd2_4" hidden="1">{TRUE;FALSE}</definedName>
    <definedName name="_xlnm._FilterDatabase" localSheetId="8" hidden="1">'Figure 1 loc'!$A$3:$I$120</definedName>
    <definedName name="bbb" localSheetId="8" hidden="1">{TRUE;FALSE}</definedName>
    <definedName name="bbb" localSheetId="12" hidden="1">{TRUE;FALSE}</definedName>
    <definedName name="bbb" localSheetId="0" hidden="1">{TRUE;FALSE}</definedName>
    <definedName name="bbb" hidden="1">{TRUE;FALSE}</definedName>
    <definedName name="bbb_1" localSheetId="8" hidden="1">{TRUE;FALSE}</definedName>
    <definedName name="bbb_1" localSheetId="12" hidden="1">{TRUE;FALSE}</definedName>
    <definedName name="bbb_1" hidden="1">{TRUE;FALSE}</definedName>
    <definedName name="bbb_1_1" hidden="1">{TRUE;FALSE}</definedName>
    <definedName name="bbb_1_2" hidden="1">{TRUE;FALSE}</definedName>
    <definedName name="bbb_1_3" hidden="1">{TRUE;FALSE}</definedName>
    <definedName name="bbb_2" hidden="1">{TRUE;FALSE}</definedName>
    <definedName name="bbb_3" hidden="1">{TRUE;FALSE}</definedName>
    <definedName name="bbb_4" hidden="1">{TRUE;FALSE}</definedName>
    <definedName name="bbbbbb" localSheetId="8" hidden="1">{"SELECT res_ens.sum_nb_ins, res_ens.sum_nb_vot, res_ens.pct_vot, res_ens.sum_nb_voi_x000D_
FROM c:\cap_dbf\res_ens res_ens"}</definedName>
    <definedName name="bbbbbb" localSheetId="12" hidden="1">{"SELECT res_ens.sum_nb_ins, res_ens.sum_nb_vot, res_ens.pct_vot, res_ens.sum_nb_voi_x000D_
FROM c:\cap_dbf\res_ens res_ens"}</definedName>
    <definedName name="bbbbbb" localSheetId="0" hidden="1">{"SELECT res_ens.sum_nb_ins, res_ens.sum_nb_vot, res_ens.pct_vot, res_ens.sum_nb_voi_x000D_
FROM c:\cap_dbf\res_ens res_ens"}</definedName>
    <definedName name="bbbbbb" hidden="1">{"SELECT res_ens.sum_nb_ins, res_ens.sum_nb_vot, res_ens.pct_vot, res_ens.sum_nb_voi_x000D_
FROM c:\cap_dbf\res_ens res_ens"}</definedName>
    <definedName name="bbbbbb_1" localSheetId="8" hidden="1">{"SELECT res_ens.sum_nb_ins, res_ens.sum_nb_vot, res_ens.pct_vot, res_ens.sum_nb_voi_x000D_
FROM c:\cap_dbf\res_ens res_ens"}</definedName>
    <definedName name="bbbbbb_1" localSheetId="12" hidden="1">{"SELECT res_ens.sum_nb_ins, res_ens.sum_nb_vot, res_ens.pct_vot, res_ens.sum_nb_voi_x000D_
FROM c:\cap_dbf\res_ens res_ens"}</definedName>
    <definedName name="bbbbbb_1" hidden="1">{"SELECT res_ens.sum_nb_ins, res_ens.sum_nb_vot, res_ens.pct_vot, res_ens.sum_nb_voi_x000D_
FROM c:\cap_dbf\res_ens res_ens"}</definedName>
    <definedName name="bbbbbb_1_1" hidden="1">{"SELECT res_ens.sum_nb_ins, res_ens.sum_nb_vot, res_ens.pct_vot, res_ens.sum_nb_voi_x000D_
FROM c:\cap_dbf\res_ens res_ens"}</definedName>
    <definedName name="bbbbbb_1_2" hidden="1">{"SELECT res_ens.sum_nb_ins, res_ens.sum_nb_vot, res_ens.pct_vot, res_ens.sum_nb_voi_x000D_
FROM c:\cap_dbf\res_ens res_ens"}</definedName>
    <definedName name="bbbbbb_1_3" hidden="1">{"SELECT res_ens.sum_nb_ins, res_ens.sum_nb_vot, res_ens.pct_vot, res_ens.sum_nb_voi_x000D_
FROM c:\cap_dbf\res_ens res_ens"}</definedName>
    <definedName name="bbbbbb_2" hidden="1">{"SELECT res_ens.sum_nb_ins, res_ens.sum_nb_vot, res_ens.pct_vot, res_ens.sum_nb_voi_x000D_
FROM c:\cap_dbf\res_ens res_ens"}</definedName>
    <definedName name="bbbbbb_3" hidden="1">{"SELECT res_ens.sum_nb_ins, res_ens.sum_nb_vot, res_ens.pct_vot, res_ens.sum_nb_voi_x000D_
FROM c:\cap_dbf\res_ens res_ens"}</definedName>
    <definedName name="bbbbbb_4" hidden="1">{"SELECT res_ens.sum_nb_ins, res_ens.sum_nb_vot, res_ens.pct_vot, res_ens.sum_nb_voi_x000D_
FROM c:\cap_dbf\res_ens res_ens"}</definedName>
    <definedName name="bis" localSheetId="8" hidden="1">{TRUE;FALSE}</definedName>
    <definedName name="bis" localSheetId="12" hidden="1">{TRUE;FALSE}</definedName>
    <definedName name="bis" localSheetId="0" hidden="1">{TRUE;FALSE}</definedName>
    <definedName name="bis" hidden="1">{TRUE;FALSE}</definedName>
    <definedName name="bis_1" localSheetId="8" hidden="1">{TRUE;FALSE}</definedName>
    <definedName name="bis_1" localSheetId="12" hidden="1">{TRUE;FALSE}</definedName>
    <definedName name="bis_1" hidden="1">{TRUE;FALSE}</definedName>
    <definedName name="bis_1_1" hidden="1">{TRUE;FALSE}</definedName>
    <definedName name="bis_1_2" hidden="1">{TRUE;FALSE}</definedName>
    <definedName name="bis_1_3" hidden="1">{TRUE;FALSE}</definedName>
    <definedName name="bis_2" hidden="1">{TRUE;FALSE}</definedName>
    <definedName name="bis_3" hidden="1">{TRUE;FALSE}</definedName>
    <definedName name="bis_4" hidden="1">{TRUE;FALSE}</definedName>
    <definedName name="ensemble" localSheetId="8" hidden="1">{"Visual FoxPro Tables"}</definedName>
    <definedName name="ensemble" localSheetId="12" hidden="1">{"Visual FoxPro Tables"}</definedName>
    <definedName name="ensemble" localSheetId="0" hidden="1">{"Visual FoxPro Tables"}</definedName>
    <definedName name="ensemble" hidden="1">{"Visual FoxPro Tables"}</definedName>
    <definedName name="ensemble_1" localSheetId="8" hidden="1">{"Visual FoxPro Tables"}</definedName>
    <definedName name="ensemble_1" localSheetId="12" hidden="1">{"Visual FoxPro Tables"}</definedName>
    <definedName name="ensemble_1" hidden="1">{"Visual FoxPro Tables"}</definedName>
    <definedName name="ensemble_1_1" hidden="1">{"Visual FoxPro Tables"}</definedName>
    <definedName name="ensemble_1_2" hidden="1">{"Visual FoxPro Tables"}</definedName>
    <definedName name="ensemble_1_3" hidden="1">{"Visual FoxPro Tables"}</definedName>
    <definedName name="ensemble_2" hidden="1">{"Visual FoxPro Tables"}</definedName>
    <definedName name="ensemble_3" hidden="1">{"Visual FoxPro Tables"}</definedName>
    <definedName name="ensemble_4" hidden="1">{"Visual FoxPro Tables"}</definedName>
    <definedName name="evolution" localSheetId="8" hidden="1">{"SELECT res_ens.sum_nb_ins, res_ens.sum_nb_vot, res_ens.pct_vot, res_ens.sum_nb_voi_x000D_
FROM c:\cap_dbf\res_ens res_ens"}</definedName>
    <definedName name="evolution" localSheetId="12" hidden="1">{"SELECT res_ens.sum_nb_ins, res_ens.sum_nb_vot, res_ens.pct_vot, res_ens.sum_nb_voi_x000D_
FROM c:\cap_dbf\res_ens res_ens"}</definedName>
    <definedName name="evolution" localSheetId="0" hidden="1">{"SELECT res_ens.sum_nb_ins, res_ens.sum_nb_vot, res_ens.pct_vot, res_ens.sum_nb_voi_x000D_
FROM c:\cap_dbf\res_ens res_ens"}</definedName>
    <definedName name="evolution" hidden="1">{"SELECT res_ens.sum_nb_ins, res_ens.sum_nb_vot, res_ens.pct_vot, res_ens.sum_nb_voi_x000D_
FROM c:\cap_dbf\res_ens res_ens"}</definedName>
    <definedName name="evolution_1" localSheetId="8" hidden="1">{"SELECT res_ens.sum_nb_ins, res_ens.sum_nb_vot, res_ens.pct_vot, res_ens.sum_nb_voi_x000D_
FROM c:\cap_dbf\res_ens res_ens"}</definedName>
    <definedName name="evolution_1" localSheetId="12" hidden="1">{"SELECT res_ens.sum_nb_ins, res_ens.sum_nb_vot, res_ens.pct_vot, res_ens.sum_nb_voi_x000D_
FROM c:\cap_dbf\res_ens res_ens"}</definedName>
    <definedName name="evolution_1" hidden="1">{"SELECT res_ens.sum_nb_ins, res_ens.sum_nb_vot, res_ens.pct_vot, res_ens.sum_nb_voi_x000D_
FROM c:\cap_dbf\res_ens res_ens"}</definedName>
    <definedName name="evolution_1_1" hidden="1">{"SELECT res_ens.sum_nb_ins, res_ens.sum_nb_vot, res_ens.pct_vot, res_ens.sum_nb_voi_x000D_
FROM c:\cap_dbf\res_ens res_ens"}</definedName>
    <definedName name="evolution_1_2" hidden="1">{"SELECT res_ens.sum_nb_ins, res_ens.sum_nb_vot, res_ens.pct_vot, res_ens.sum_nb_voi_x000D_
FROM c:\cap_dbf\res_ens res_ens"}</definedName>
    <definedName name="evolution_1_3" hidden="1">{"SELECT res_ens.sum_nb_ins, res_ens.sum_nb_vot, res_ens.pct_vot, res_ens.sum_nb_voi_x000D_
FROM c:\cap_dbf\res_ens res_ens"}</definedName>
    <definedName name="evolution_2" hidden="1">{"SELECT res_ens.sum_nb_ins, res_ens.sum_nb_vot, res_ens.pct_vot, res_ens.sum_nb_voi_x000D_
FROM c:\cap_dbf\res_ens res_ens"}</definedName>
    <definedName name="evolution_3" hidden="1">{"SELECT res_ens.sum_nb_ins, res_ens.sum_nb_vot, res_ens.pct_vot, res_ens.sum_nb_voi_x000D_
FROM c:\cap_dbf\res_ens res_ens"}</definedName>
    <definedName name="evolution_4" hidden="1">{"SELECT res_ens.sum_nb_ins, res_ens.sum_nb_vot, res_ens.pct_vot, res_ens.sum_nb_voi_x000D_
FROM c:\cap_dbf\res_ens res_ens"}</definedName>
    <definedName name="ll" localSheetId="8" hidden="1">{#N/A,#N/A,FALSE,"Feuil1"}</definedName>
    <definedName name="ll" localSheetId="12" hidden="1">{#N/A,#N/A,FALSE,"Feuil1"}</definedName>
    <definedName name="ll" localSheetId="0" hidden="1">{#N/A,#N/A,FALSE,"Feuil1"}</definedName>
    <definedName name="ll" hidden="1">{#N/A,#N/A,FALSE,"Feuil1"}</definedName>
    <definedName name="ll_1" localSheetId="8" hidden="1">{#N/A,#N/A,FALSE,"Feuil1"}</definedName>
    <definedName name="ll_1" localSheetId="12" hidden="1">{#N/A,#N/A,FALSE,"Feuil1"}</definedName>
    <definedName name="ll_1" hidden="1">{#N/A,#N/A,FALSE,"Feuil1"}</definedName>
    <definedName name="ll_1_1" hidden="1">{#N/A,#N/A,FALSE,"Feuil1"}</definedName>
    <definedName name="ll_1_2" hidden="1">{#N/A,#N/A,FALSE,"Feuil1"}</definedName>
    <definedName name="ll_1_3" hidden="1">{#N/A,#N/A,FALSE,"Feuil1"}</definedName>
    <definedName name="ll_2" hidden="1">{#N/A,#N/A,FALSE,"Feuil1"}</definedName>
    <definedName name="ll_3" hidden="1">{#N/A,#N/A,FALSE,"Feuil1"}</definedName>
    <definedName name="ll_4" hidden="1">{#N/A,#N/A,FALSE,"Feuil1"}</definedName>
    <definedName name="nnn" localSheetId="8" hidden="1">{TRUE;FALSE}</definedName>
    <definedName name="nnn" localSheetId="12" hidden="1">{TRUE;FALSE}</definedName>
    <definedName name="nnn" localSheetId="0" hidden="1">{TRUE;FALSE}</definedName>
    <definedName name="nnn" hidden="1">{TRUE;FALSE}</definedName>
    <definedName name="nnn_1" localSheetId="8" hidden="1">{TRUE;FALSE}</definedName>
    <definedName name="nnn_1" localSheetId="12" hidden="1">{TRUE;FALSE}</definedName>
    <definedName name="nnn_1" hidden="1">{TRUE;FALSE}</definedName>
    <definedName name="nnn_1_1" hidden="1">{TRUE;FALSE}</definedName>
    <definedName name="nnn_1_2" hidden="1">{TRUE;FALSE}</definedName>
    <definedName name="nnn_1_3" hidden="1">{TRUE;FALSE}</definedName>
    <definedName name="nnn_2" hidden="1">{TRUE;FALSE}</definedName>
    <definedName name="nnn_3" hidden="1">{TRUE;FALSE}</definedName>
    <definedName name="nnn_4" hidden="1">{TRUE;FALSE}</definedName>
    <definedName name="nouveau" localSheetId="8" hidden="1">{"SELECT res_ens.sum_nb_ins, res_ens.sum_nb_vot, res_ens.pct_vot, res_ens.sum_nb_voi_x000D_
FROM c:\cap_dbf\res_ens res_ens"}</definedName>
    <definedName name="nouveau" localSheetId="12" hidden="1">{"SELECT res_ens.sum_nb_ins, res_ens.sum_nb_vot, res_ens.pct_vot, res_ens.sum_nb_voi_x000D_
FROM c:\cap_dbf\res_ens res_ens"}</definedName>
    <definedName name="nouveau" localSheetId="0" hidden="1">{"SELECT res_ens.sum_nb_ins, res_ens.sum_nb_vot, res_ens.pct_vot, res_ens.sum_nb_voi_x000D_
FROM c:\cap_dbf\res_ens res_ens"}</definedName>
    <definedName name="nouveau" hidden="1">{"SELECT res_ens.sum_nb_ins, res_ens.sum_nb_vot, res_ens.pct_vot, res_ens.sum_nb_voi_x000D_
FROM c:\cap_dbf\res_ens res_ens"}</definedName>
    <definedName name="nouveau_1" localSheetId="8" hidden="1">{"SELECT res_ens.sum_nb_ins, res_ens.sum_nb_vot, res_ens.pct_vot, res_ens.sum_nb_voi_x000D_
FROM c:\cap_dbf\res_ens res_ens"}</definedName>
    <definedName name="nouveau_1" localSheetId="12" hidden="1">{"SELECT res_ens.sum_nb_ins, res_ens.sum_nb_vot, res_ens.pct_vot, res_ens.sum_nb_voi_x000D_
FROM c:\cap_dbf\res_ens res_ens"}</definedName>
    <definedName name="nouveau_1" hidden="1">{"SELECT res_ens.sum_nb_ins, res_ens.sum_nb_vot, res_ens.pct_vot, res_ens.sum_nb_voi_x000D_
FROM c:\cap_dbf\res_ens res_ens"}</definedName>
    <definedName name="nouveau_1_1" hidden="1">{"SELECT res_ens.sum_nb_ins, res_ens.sum_nb_vot, res_ens.pct_vot, res_ens.sum_nb_voi_x000D_
FROM c:\cap_dbf\res_ens res_ens"}</definedName>
    <definedName name="nouveau_1_2" hidden="1">{"SELECT res_ens.sum_nb_ins, res_ens.sum_nb_vot, res_ens.pct_vot, res_ens.sum_nb_voi_x000D_
FROM c:\cap_dbf\res_ens res_ens"}</definedName>
    <definedName name="nouveau_1_3" hidden="1">{"SELECT res_ens.sum_nb_ins, res_ens.sum_nb_vot, res_ens.pct_vot, res_ens.sum_nb_voi_x000D_
FROM c:\cap_dbf\res_ens res_ens"}</definedName>
    <definedName name="nouveau_2" hidden="1">{"SELECT res_ens.sum_nb_ins, res_ens.sum_nb_vot, res_ens.pct_vot, res_ens.sum_nb_voi_x000D_
FROM c:\cap_dbf\res_ens res_ens"}</definedName>
    <definedName name="nouveau_3" hidden="1">{"SELECT res_ens.sum_nb_ins, res_ens.sum_nb_vot, res_ens.pct_vot, res_ens.sum_nb_voi_x000D_
FROM c:\cap_dbf\res_ens res_ens"}</definedName>
    <definedName name="nouveau_4" hidden="1">{"SELECT res_ens.sum_nb_ins, res_ens.sum_nb_vot, res_ens.pct_vot, res_ens.sum_nb_voi_x000D_
FROM c:\cap_dbf\res_ens res_ens"}</definedName>
    <definedName name="T" localSheetId="8" hidden="1">{"SELECT res_ens.sum_nb_ins, res_ens.sum_nb_vot, res_ens.pct_vot, res_ens.sum_nb_voi_x000D_
FROM c:\cap_dbf\res_ens res_ens"}</definedName>
    <definedName name="T" localSheetId="12" hidden="1">{"SELECT res_ens.sum_nb_ins, res_ens.sum_nb_vot, res_ens.pct_vot, res_ens.sum_nb_voi_x000D_
FROM c:\cap_dbf\res_ens res_ens"}</definedName>
    <definedName name="T" localSheetId="0" hidden="1">{"SELECT res_ens.sum_nb_ins, res_ens.sum_nb_vot, res_ens.pct_vot, res_ens.sum_nb_voi_x000D_
FROM c:\cap_dbf\res_ens res_ens"}</definedName>
    <definedName name="T" hidden="1">{"SELECT res_ens.sum_nb_ins, res_ens.sum_nb_vot, res_ens.pct_vot, res_ens.sum_nb_voi_x000D_
FROM c:\cap_dbf\res_ens res_ens"}</definedName>
    <definedName name="T_1" localSheetId="8" hidden="1">{"SELECT res_ens.sum_nb_ins, res_ens.sum_nb_vot, res_ens.pct_vot, res_ens.sum_nb_voi_x000D_
FROM c:\cap_dbf\res_ens res_ens"}</definedName>
    <definedName name="T_1" localSheetId="12" hidden="1">{"SELECT res_ens.sum_nb_ins, res_ens.sum_nb_vot, res_ens.pct_vot, res_ens.sum_nb_voi_x000D_
FROM c:\cap_dbf\res_ens res_ens"}</definedName>
    <definedName name="T_1" hidden="1">{"SELECT res_ens.sum_nb_ins, res_ens.sum_nb_vot, res_ens.pct_vot, res_ens.sum_nb_voi_x000D_
FROM c:\cap_dbf\res_ens res_ens"}</definedName>
    <definedName name="T_1_1" hidden="1">{"SELECT res_ens.sum_nb_ins, res_ens.sum_nb_vot, res_ens.pct_vot, res_ens.sum_nb_voi_x000D_
FROM c:\cap_dbf\res_ens res_ens"}</definedName>
    <definedName name="T_1_2" hidden="1">{"SELECT res_ens.sum_nb_ins, res_ens.sum_nb_vot, res_ens.pct_vot, res_ens.sum_nb_voi_x000D_
FROM c:\cap_dbf\res_ens res_ens"}</definedName>
    <definedName name="T_1_3" hidden="1">{"SELECT res_ens.sum_nb_ins, res_ens.sum_nb_vot, res_ens.pct_vot, res_ens.sum_nb_voi_x000D_
FROM c:\cap_dbf\res_ens res_ens"}</definedName>
    <definedName name="T_2" hidden="1">{"SELECT res_ens.sum_nb_ins, res_ens.sum_nb_vot, res_ens.pct_vot, res_ens.sum_nb_voi_x000D_
FROM c:\cap_dbf\res_ens res_ens"}</definedName>
    <definedName name="T_3" hidden="1">{"SELECT res_ens.sum_nb_ins, res_ens.sum_nb_vot, res_ens.pct_vot, res_ens.sum_nb_voi_x000D_
FROM c:\cap_dbf\res_ens res_ens"}</definedName>
    <definedName name="T_4" hidden="1">{"SELECT res_ens.sum_nb_ins, res_ens.sum_nb_vot, res_ens.pct_vot, res_ens.sum_nb_voi_x000D_
FROM c:\cap_dbf\res_ens res_ens"}</definedName>
    <definedName name="tab" localSheetId="8" hidden="1">{"Visual FoxPro Tables"}</definedName>
    <definedName name="tab" localSheetId="12" hidden="1">{"Visual FoxPro Tables"}</definedName>
    <definedName name="tab" localSheetId="0" hidden="1">{"Visual FoxPro Tables"}</definedName>
    <definedName name="tab" hidden="1">{"Visual FoxPro Tables"}</definedName>
    <definedName name="tab_1" localSheetId="8" hidden="1">{"Visual FoxPro Tables"}</definedName>
    <definedName name="tab_1" localSheetId="12" hidden="1">{"Visual FoxPro Tables"}</definedName>
    <definedName name="tab_1" hidden="1">{"Visual FoxPro Tables"}</definedName>
    <definedName name="tab_1_1" hidden="1">{"Visual FoxPro Tables"}</definedName>
    <definedName name="tab_1_2" hidden="1">{"Visual FoxPro Tables"}</definedName>
    <definedName name="tab_1_3" hidden="1">{"Visual FoxPro Tables"}</definedName>
    <definedName name="tab_2" hidden="1">{"Visual FoxPro Tables"}</definedName>
    <definedName name="tab_3" hidden="1">{"Visual FoxPro Tables"}</definedName>
    <definedName name="tab_4" hidden="1">{"Visual FoxPro Tables"}</definedName>
    <definedName name="Tableau" localSheetId="8" hidden="1">{"Visual FoxPro Tables"}</definedName>
    <definedName name="Tableau" localSheetId="12" hidden="1">{"Visual FoxPro Tables"}</definedName>
    <definedName name="Tableau" localSheetId="0" hidden="1">{"Visual FoxPro Tables"}</definedName>
    <definedName name="Tableau" hidden="1">{"Visual FoxPro Tables"}</definedName>
    <definedName name="Tableau_1" localSheetId="8" hidden="1">{"Visual FoxPro Tables"}</definedName>
    <definedName name="Tableau_1" localSheetId="12" hidden="1">{"Visual FoxPro Tables"}</definedName>
    <definedName name="Tableau_1" hidden="1">{"Visual FoxPro Tables"}</definedName>
    <definedName name="Tableau_1_1" hidden="1">{"Visual FoxPro Tables"}</definedName>
    <definedName name="Tableau_1_2" hidden="1">{"Visual FoxPro Tables"}</definedName>
    <definedName name="Tableau_1_3" hidden="1">{"Visual FoxPro Tables"}</definedName>
    <definedName name="Tableau_2" hidden="1">{"Visual FoxPro Tables"}</definedName>
    <definedName name="Tableau_3" hidden="1">{"Visual FoxPro Tables"}</definedName>
    <definedName name="Tableau_4" hidden="1">{"Visual FoxPro Tables"}</definedName>
    <definedName name="ter" localSheetId="8" hidden="1">{TRUE;FALSE}</definedName>
    <definedName name="ter" localSheetId="12" hidden="1">{TRUE;FALSE}</definedName>
    <definedName name="ter" localSheetId="0" hidden="1">{TRUE;FALSE}</definedName>
    <definedName name="ter" hidden="1">{TRUE;FALSE}</definedName>
    <definedName name="ter_1" localSheetId="8" hidden="1">{TRUE;FALSE}</definedName>
    <definedName name="ter_1" localSheetId="12" hidden="1">{TRUE;FALSE}</definedName>
    <definedName name="ter_1" hidden="1">{TRUE;FALSE}</definedName>
    <definedName name="ter_1_1" hidden="1">{TRUE;FALSE}</definedName>
    <definedName name="ter_1_2" hidden="1">{TRUE;FALSE}</definedName>
    <definedName name="ter_1_3" hidden="1">{TRUE;FALSE}</definedName>
    <definedName name="ter_2" hidden="1">{TRUE;FALSE}</definedName>
    <definedName name="ter_3" hidden="1">{TRUE;FALSE}</definedName>
    <definedName name="ter_4" hidden="1">{TRUE;FALSE}</definedName>
    <definedName name="tera" localSheetId="8" hidden="1">{TRUE;FALSE}</definedName>
    <definedName name="tera" localSheetId="12" hidden="1">{TRUE;FALSE}</definedName>
    <definedName name="tera" localSheetId="0" hidden="1">{TRUE;FALSE}</definedName>
    <definedName name="tera" hidden="1">{TRUE;FALSE}</definedName>
    <definedName name="tera_1" localSheetId="8" hidden="1">{TRUE;FALSE}</definedName>
    <definedName name="tera_1" localSheetId="12" hidden="1">{TRUE;FALSE}</definedName>
    <definedName name="tera_1" hidden="1">{TRUE;FALSE}</definedName>
    <definedName name="tera_1_1" hidden="1">{TRUE;FALSE}</definedName>
    <definedName name="tera_1_2" hidden="1">{TRUE;FALSE}</definedName>
    <definedName name="tera_1_3" hidden="1">{TRUE;FALSE}</definedName>
    <definedName name="tera_2" hidden="1">{TRUE;FALSE}</definedName>
    <definedName name="tera_3" hidden="1">{TRUE;FALSE}</definedName>
    <definedName name="tera_4" hidden="1">{TRUE;FALSE}</definedName>
    <definedName name="TT" localSheetId="8" hidden="1">{"SELECT res_ens.sum_nb_ins, res_ens.sum_nb_vot, res_ens.pct_vot, res_ens.sum_nb_voi_x000D_
FROM c:\cap_dbf\res_ens res_ens"}</definedName>
    <definedName name="TT" localSheetId="12" hidden="1">{"SELECT res_ens.sum_nb_ins, res_ens.sum_nb_vot, res_ens.pct_vot, res_ens.sum_nb_voi_x000D_
FROM c:\cap_dbf\res_ens res_ens"}</definedName>
    <definedName name="TT" localSheetId="0" hidden="1">{"SELECT res_ens.sum_nb_ins, res_ens.sum_nb_vot, res_ens.pct_vot, res_ens.sum_nb_voi_x000D_
FROM c:\cap_dbf\res_ens res_ens"}</definedName>
    <definedName name="TT" hidden="1">{"SELECT res_ens.sum_nb_ins, res_ens.sum_nb_vot, res_ens.pct_vot, res_ens.sum_nb_voi_x000D_
FROM c:\cap_dbf\res_ens res_ens"}</definedName>
    <definedName name="TT_1" localSheetId="8" hidden="1">{"SELECT res_ens.sum_nb_ins, res_ens.sum_nb_vot, res_ens.pct_vot, res_ens.sum_nb_voi_x000D_
FROM c:\cap_dbf\res_ens res_ens"}</definedName>
    <definedName name="TT_1" localSheetId="12" hidden="1">{"SELECT res_ens.sum_nb_ins, res_ens.sum_nb_vot, res_ens.pct_vot, res_ens.sum_nb_voi_x000D_
FROM c:\cap_dbf\res_ens res_ens"}</definedName>
    <definedName name="TT_1" hidden="1">{"SELECT res_ens.sum_nb_ins, res_ens.sum_nb_vot, res_ens.pct_vot, res_ens.sum_nb_voi_x000D_
FROM c:\cap_dbf\res_ens res_ens"}</definedName>
    <definedName name="TT_1_1" hidden="1">{"SELECT res_ens.sum_nb_ins, res_ens.sum_nb_vot, res_ens.pct_vot, res_ens.sum_nb_voi_x000D_
FROM c:\cap_dbf\res_ens res_ens"}</definedName>
    <definedName name="TT_1_2" hidden="1">{"SELECT res_ens.sum_nb_ins, res_ens.sum_nb_vot, res_ens.pct_vot, res_ens.sum_nb_voi_x000D_
FROM c:\cap_dbf\res_ens res_ens"}</definedName>
    <definedName name="TT_1_3" hidden="1">{"SELECT res_ens.sum_nb_ins, res_ens.sum_nb_vot, res_ens.pct_vot, res_ens.sum_nb_voi_x000D_
FROM c:\cap_dbf\res_ens res_ens"}</definedName>
    <definedName name="TT_2" hidden="1">{"SELECT res_ens.sum_nb_ins, res_ens.sum_nb_vot, res_ens.pct_vot, res_ens.sum_nb_voi_x000D_
FROM c:\cap_dbf\res_ens res_ens"}</definedName>
    <definedName name="TT_3" hidden="1">{"SELECT res_ens.sum_nb_ins, res_ens.sum_nb_vot, res_ens.pct_vot, res_ens.sum_nb_voi_x000D_
FROM c:\cap_dbf\res_ens res_ens"}</definedName>
    <definedName name="TT_4" hidden="1">{"SELECT res_ens.sum_nb_ins, res_ens.sum_nb_vot, res_ens.pct_vot, res_ens.sum_nb_voi_x000D_
FROM c:\cap_dbf\res_ens res_ens"}</definedName>
    <definedName name="vp" localSheetId="8" hidden="1">{"SELECT res_ens.sum_nb_ins, res_ens.sum_nb_vot, res_ens.pct_vot, res_ens.sum_nb_voi_x000D_
FROM c:\cap_dbf\res_ens res_ens"}</definedName>
    <definedName name="vp" localSheetId="12" hidden="1">{"SELECT res_ens.sum_nb_ins, res_ens.sum_nb_vot, res_ens.pct_vot, res_ens.sum_nb_voi_x000D_
FROM c:\cap_dbf\res_ens res_ens"}</definedName>
    <definedName name="vp" localSheetId="0" hidden="1">{"SELECT res_ens.sum_nb_ins, res_ens.sum_nb_vot, res_ens.pct_vot, res_ens.sum_nb_voi_x000D_
FROM c:\cap_dbf\res_ens res_ens"}</definedName>
    <definedName name="vp" hidden="1">{"SELECT res_ens.sum_nb_ins, res_ens.sum_nb_vot, res_ens.pct_vot, res_ens.sum_nb_voi_x000D_
FROM c:\cap_dbf\res_ens res_ens"}</definedName>
    <definedName name="vp_1" localSheetId="8" hidden="1">{"SELECT res_ens.sum_nb_ins, res_ens.sum_nb_vot, res_ens.pct_vot, res_ens.sum_nb_voi_x000D_
FROM c:\cap_dbf\res_ens res_ens"}</definedName>
    <definedName name="vp_1" localSheetId="12" hidden="1">{"SELECT res_ens.sum_nb_ins, res_ens.sum_nb_vot, res_ens.pct_vot, res_ens.sum_nb_voi_x000D_
FROM c:\cap_dbf\res_ens res_ens"}</definedName>
    <definedName name="vp_1" hidden="1">{"SELECT res_ens.sum_nb_ins, res_ens.sum_nb_vot, res_ens.pct_vot, res_ens.sum_nb_voi_x000D_
FROM c:\cap_dbf\res_ens res_ens"}</definedName>
    <definedName name="vp_1_1" hidden="1">{"SELECT res_ens.sum_nb_ins, res_ens.sum_nb_vot, res_ens.pct_vot, res_ens.sum_nb_voi_x000D_
FROM c:\cap_dbf\res_ens res_ens"}</definedName>
    <definedName name="vp_1_2" hidden="1">{"SELECT res_ens.sum_nb_ins, res_ens.sum_nb_vot, res_ens.pct_vot, res_ens.sum_nb_voi_x000D_
FROM c:\cap_dbf\res_ens res_ens"}</definedName>
    <definedName name="vp_1_3" hidden="1">{"SELECT res_ens.sum_nb_ins, res_ens.sum_nb_vot, res_ens.pct_vot, res_ens.sum_nb_voi_x000D_
FROM c:\cap_dbf\res_ens res_ens"}</definedName>
    <definedName name="vp_2" hidden="1">{"SELECT res_ens.sum_nb_ins, res_ens.sum_nb_vot, res_ens.pct_vot, res_ens.sum_nb_voi_x000D_
FROM c:\cap_dbf\res_ens res_ens"}</definedName>
    <definedName name="vp_3" hidden="1">{"SELECT res_ens.sum_nb_ins, res_ens.sum_nb_vot, res_ens.pct_vot, res_ens.sum_nb_voi_x000D_
FROM c:\cap_dbf\res_ens res_ens"}</definedName>
    <definedName name="vp_4" hidden="1">{"SELECT res_ens.sum_nb_ins, res_ens.sum_nb_vot, res_ens.pct_vot, res_ens.sum_nb_voi_x000D_
FROM c:\cap_dbf\res_ens res_ens"}</definedName>
    <definedName name="vvvv" localSheetId="8" hidden="1">{TRUE;FALSE}</definedName>
    <definedName name="vvvv" localSheetId="12" hidden="1">{TRUE;FALSE}</definedName>
    <definedName name="vvvv" localSheetId="0" hidden="1">{TRUE;FALSE}</definedName>
    <definedName name="vvvv" hidden="1">{TRUE;FALSE}</definedName>
    <definedName name="vvvv_1" localSheetId="8" hidden="1">{TRUE;FALSE}</definedName>
    <definedName name="vvvv_1" localSheetId="12" hidden="1">{TRUE;FALSE}</definedName>
    <definedName name="vvvv_1" hidden="1">{TRUE;FALSE}</definedName>
    <definedName name="vvvv_1_1" hidden="1">{TRUE;FALSE}</definedName>
    <definedName name="vvvv_1_2" hidden="1">{TRUE;FALSE}</definedName>
    <definedName name="vvvv_1_3" hidden="1">{TRUE;FALSE}</definedName>
    <definedName name="vvvv_2" hidden="1">{TRUE;FALSE}</definedName>
    <definedName name="vvvv_3" hidden="1">{TRUE;FALSE}</definedName>
    <definedName name="vvvv_4" hidden="1">{TRUE;FALSE}</definedName>
    <definedName name="vvvvv" localSheetId="8" hidden="1">{"SELECT res_ens.sum_nb_ins, res_ens.sum_nb_vot, res_ens.pct_vot, res_ens.sum_nb_voi_x000D_
FROM c:\cap_dbf\res_ens res_ens"}</definedName>
    <definedName name="vvvvv" localSheetId="12" hidden="1">{"SELECT res_ens.sum_nb_ins, res_ens.sum_nb_vot, res_ens.pct_vot, res_ens.sum_nb_voi_x000D_
FROM c:\cap_dbf\res_ens res_ens"}</definedName>
    <definedName name="vvvvv" localSheetId="0" hidden="1">{"SELECT res_ens.sum_nb_ins, res_ens.sum_nb_vot, res_ens.pct_vot, res_ens.sum_nb_voi_x000D_
FROM c:\cap_dbf\res_ens res_ens"}</definedName>
    <definedName name="vvvvv" hidden="1">{"SELECT res_ens.sum_nb_ins, res_ens.sum_nb_vot, res_ens.pct_vot, res_ens.sum_nb_voi_x000D_
FROM c:\cap_dbf\res_ens res_ens"}</definedName>
    <definedName name="vvvvv_1" localSheetId="8" hidden="1">{"SELECT res_ens.sum_nb_ins, res_ens.sum_nb_vot, res_ens.pct_vot, res_ens.sum_nb_voi_x000D_
FROM c:\cap_dbf\res_ens res_ens"}</definedName>
    <definedName name="vvvvv_1" localSheetId="12" hidden="1">{"SELECT res_ens.sum_nb_ins, res_ens.sum_nb_vot, res_ens.pct_vot, res_ens.sum_nb_voi_x000D_
FROM c:\cap_dbf\res_ens res_ens"}</definedName>
    <definedName name="vvvvv_1" hidden="1">{"SELECT res_ens.sum_nb_ins, res_ens.sum_nb_vot, res_ens.pct_vot, res_ens.sum_nb_voi_x000D_
FROM c:\cap_dbf\res_ens res_ens"}</definedName>
    <definedName name="vvvvv_1_1" hidden="1">{"SELECT res_ens.sum_nb_ins, res_ens.sum_nb_vot, res_ens.pct_vot, res_ens.sum_nb_voi_x000D_
FROM c:\cap_dbf\res_ens res_ens"}</definedName>
    <definedName name="vvvvv_1_2" hidden="1">{"SELECT res_ens.sum_nb_ins, res_ens.sum_nb_vot, res_ens.pct_vot, res_ens.sum_nb_voi_x000D_
FROM c:\cap_dbf\res_ens res_ens"}</definedName>
    <definedName name="vvvvv_1_3" hidden="1">{"SELECT res_ens.sum_nb_ins, res_ens.sum_nb_vot, res_ens.pct_vot, res_ens.sum_nb_voi_x000D_
FROM c:\cap_dbf\res_ens res_ens"}</definedName>
    <definedName name="vvvvv_2" hidden="1">{"SELECT res_ens.sum_nb_ins, res_ens.sum_nb_vot, res_ens.pct_vot, res_ens.sum_nb_voi_x000D_
FROM c:\cap_dbf\res_ens res_ens"}</definedName>
    <definedName name="vvvvv_3" hidden="1">{"SELECT res_ens.sum_nb_ins, res_ens.sum_nb_vot, res_ens.pct_vot, res_ens.sum_nb_voi_x000D_
FROM c:\cap_dbf\res_ens res_ens"}</definedName>
    <definedName name="vvvvv_4" hidden="1">{"SELECT res_ens.sum_nb_ins, res_ens.sum_nb_vot, res_ens.pct_vot, res_ens.sum_nb_voi_x000D_
FROM c:\cap_dbf\res_ens res_ens"}</definedName>
    <definedName name="wrn.rap05" localSheetId="8" hidden="1">{#N/A,#N/A,FALSE,"Feuil1"}</definedName>
    <definedName name="wrn.rap05" localSheetId="12" hidden="1">{#N/A,#N/A,FALSE,"Feuil1"}</definedName>
    <definedName name="wrn.rap05" localSheetId="0" hidden="1">{#N/A,#N/A,FALSE,"Feuil1"}</definedName>
    <definedName name="wrn.rap05" hidden="1">{#N/A,#N/A,FALSE,"Feuil1"}</definedName>
    <definedName name="wrn.rap05_1" localSheetId="8" hidden="1">{#N/A,#N/A,FALSE,"Feuil1"}</definedName>
    <definedName name="wrn.rap05_1" localSheetId="12" hidden="1">{#N/A,#N/A,FALSE,"Feuil1"}</definedName>
    <definedName name="wrn.rap05_1" hidden="1">{#N/A,#N/A,FALSE,"Feuil1"}</definedName>
    <definedName name="wrn.rap05_1_1" hidden="1">{#N/A,#N/A,FALSE,"Feuil1"}</definedName>
    <definedName name="wrn.rap05_1_2" hidden="1">{#N/A,#N/A,FALSE,"Feuil1"}</definedName>
    <definedName name="wrn.rap05_1_3" hidden="1">{#N/A,#N/A,FALSE,"Feuil1"}</definedName>
    <definedName name="wrn.rap05_2" hidden="1">{#N/A,#N/A,FALSE,"Feuil1"}</definedName>
    <definedName name="wrn.rap05_3" hidden="1">{#N/A,#N/A,FALSE,"Feuil1"}</definedName>
    <definedName name="wrn.rap05_4" hidden="1">{#N/A,#N/A,FALSE,"Feuil1"}</definedName>
    <definedName name="wrn.rap95." localSheetId="4" hidden="1">{#N/A,#N/A,FALSE,"Feuil1"}</definedName>
    <definedName name="wrn.rap95." localSheetId="8" hidden="1">{#N/A,#N/A,FALSE,"Feuil1"}</definedName>
    <definedName name="wrn.rap95." localSheetId="6" hidden="1">{#N/A,#N/A,FALSE,"Feuil1"}</definedName>
    <definedName name="wrn.rap95." localSheetId="12" hidden="1">{#N/A,#N/A,FALSE,"Feuil1"}</definedName>
    <definedName name="wrn.rap95." localSheetId="0" hidden="1">{#N/A,#N/A,FALSE,"Feuil1"}</definedName>
    <definedName name="wrn.rap95." hidden="1">{#N/A,#N/A,FALSE,"Feuil1"}</definedName>
    <definedName name="wrn.rap95._1" localSheetId="8" hidden="1">{#N/A,#N/A,FALSE,"Feuil1"}</definedName>
    <definedName name="wrn.rap95._1" localSheetId="12" hidden="1">{#N/A,#N/A,FALSE,"Feuil1"}</definedName>
    <definedName name="wrn.rap95._1" hidden="1">{#N/A,#N/A,FALSE,"Feuil1"}</definedName>
    <definedName name="wrn.rap95._1_1" hidden="1">{#N/A,#N/A,FALSE,"Feuil1"}</definedName>
    <definedName name="wrn.rap95._1_2" hidden="1">{#N/A,#N/A,FALSE,"Feuil1"}</definedName>
    <definedName name="wrn.rap95._1_3" hidden="1">{#N/A,#N/A,FALSE,"Feuil1"}</definedName>
    <definedName name="wrn.rap95._2" hidden="1">{#N/A,#N/A,FALSE,"Feuil1"}</definedName>
    <definedName name="wrn.rap95._3" hidden="1">{#N/A,#N/A,FALSE,"Feuil1"}</definedName>
    <definedName name="wrn.rap95._4" hidden="1">{#N/A,#N/A,FALSE,"Feuil1"}</definedName>
    <definedName name="xxxxx" localSheetId="8" hidden="1">{#N/A,#N/A,FALSE,"Feuil1"}</definedName>
    <definedName name="xxxxx" localSheetId="12" hidden="1">{#N/A,#N/A,FALSE,"Feuil1"}</definedName>
    <definedName name="xxxxx" localSheetId="0" hidden="1">{#N/A,#N/A,FALSE,"Feuil1"}</definedName>
    <definedName name="xxxxx" hidden="1">{#N/A,#N/A,FALSE,"Feuil1"}</definedName>
    <definedName name="xxxxx_1" localSheetId="8" hidden="1">{#N/A,#N/A,FALSE,"Feuil1"}</definedName>
    <definedName name="xxxxx_1" localSheetId="12" hidden="1">{#N/A,#N/A,FALSE,"Feuil1"}</definedName>
    <definedName name="xxxxx_1" hidden="1">{#N/A,#N/A,FALSE,"Feuil1"}</definedName>
    <definedName name="xxxxx_1_1" hidden="1">{#N/A,#N/A,FALSE,"Feuil1"}</definedName>
    <definedName name="xxxxx_1_2" hidden="1">{#N/A,#N/A,FALSE,"Feuil1"}</definedName>
    <definedName name="xxxxx_1_3" hidden="1">{#N/A,#N/A,FALSE,"Feuil1"}</definedName>
    <definedName name="xxxxx_2" hidden="1">{#N/A,#N/A,FALSE,"Feuil1"}</definedName>
    <definedName name="xxxxx_3" hidden="1">{#N/A,#N/A,FALSE,"Feuil1"}</definedName>
    <definedName name="xxxxx_4" hidden="1">{#N/A,#N/A,FALSE,"Feuil1"}</definedName>
    <definedName name="xxxy" localSheetId="8" hidden="1">{TRUE;FALSE}</definedName>
    <definedName name="xxxy" localSheetId="12" hidden="1">{TRUE;FALSE}</definedName>
    <definedName name="xxxy" localSheetId="0" hidden="1">{TRUE;FALSE}</definedName>
    <definedName name="xxxy" hidden="1">{TRUE;FALSE}</definedName>
    <definedName name="xxxy_1" localSheetId="8" hidden="1">{TRUE;FALSE}</definedName>
    <definedName name="xxxy_1" localSheetId="12" hidden="1">{TRUE;FALSE}</definedName>
    <definedName name="xxxy_1" hidden="1">{TRUE;FALSE}</definedName>
    <definedName name="xxxy_1_1" hidden="1">{TRUE;FALSE}</definedName>
    <definedName name="xxxy_1_2" hidden="1">{TRUE;FALSE}</definedName>
    <definedName name="xxxy_1_3" hidden="1">{TRUE;FALSE}</definedName>
    <definedName name="xxxy_2" hidden="1">{TRUE;FALSE}</definedName>
    <definedName name="xxxy_3" hidden="1">{TRUE;FALSE}</definedName>
    <definedName name="xxxy_4" hidden="1">{TRUE;FALSE}</definedName>
    <definedName name="xxyz" localSheetId="8" hidden="1">{"Visual FoxPro Tables"}</definedName>
    <definedName name="xxyz" localSheetId="12" hidden="1">{"Visual FoxPro Tables"}</definedName>
    <definedName name="xxyz" localSheetId="0" hidden="1">{"Visual FoxPro Tables"}</definedName>
    <definedName name="xxyz" hidden="1">{"Visual FoxPro Tables"}</definedName>
    <definedName name="xxyz_1" localSheetId="8" hidden="1">{"Visual FoxPro Tables"}</definedName>
    <definedName name="xxyz_1" localSheetId="12" hidden="1">{"Visual FoxPro Tables"}</definedName>
    <definedName name="xxyz_1" hidden="1">{"Visual FoxPro Tables"}</definedName>
    <definedName name="xxyz_1_1" hidden="1">{"Visual FoxPro Tables"}</definedName>
    <definedName name="xxyz_1_2" hidden="1">{"Visual FoxPro Tables"}</definedName>
    <definedName name="xxyz_1_3" hidden="1">{"Visual FoxPro Tables"}</definedName>
    <definedName name="xxyz_2" hidden="1">{"Visual FoxPro Tables"}</definedName>
    <definedName name="xxyz_3" hidden="1">{"Visual FoxPro Tables"}</definedName>
    <definedName name="xxyz_4" hidden="1">{"Visual FoxPro Tables"}</definedName>
    <definedName name="xyza9" localSheetId="8" hidden="1">{"SELECT res_ens.sum_nb_ins, res_ens.sum_nb_vot, res_ens.pct_vot, res_ens.sum_nb_voi_x000D_
FROM c:\cap_dbf\res_ens res_ens"}</definedName>
    <definedName name="xyza9" localSheetId="12" hidden="1">{"SELECT res_ens.sum_nb_ins, res_ens.sum_nb_vot, res_ens.pct_vot, res_ens.sum_nb_voi_x000D_
FROM c:\cap_dbf\res_ens res_ens"}</definedName>
    <definedName name="xyza9" localSheetId="0" hidden="1">{"SELECT res_ens.sum_nb_ins, res_ens.sum_nb_vot, res_ens.pct_vot, res_ens.sum_nb_voi_x000D_
FROM c:\cap_dbf\res_ens res_ens"}</definedName>
    <definedName name="xyza9" hidden="1">{"SELECT res_ens.sum_nb_ins, res_ens.sum_nb_vot, res_ens.pct_vot, res_ens.sum_nb_voi_x000D_
FROM c:\cap_dbf\res_ens res_ens"}</definedName>
    <definedName name="xyza9_1" localSheetId="8" hidden="1">{"SELECT res_ens.sum_nb_ins, res_ens.sum_nb_vot, res_ens.pct_vot, res_ens.sum_nb_voi_x000D_
FROM c:\cap_dbf\res_ens res_ens"}</definedName>
    <definedName name="xyza9_1" localSheetId="12" hidden="1">{"SELECT res_ens.sum_nb_ins, res_ens.sum_nb_vot, res_ens.pct_vot, res_ens.sum_nb_voi_x000D_
FROM c:\cap_dbf\res_ens res_ens"}</definedName>
    <definedName name="xyza9_1" hidden="1">{"SELECT res_ens.sum_nb_ins, res_ens.sum_nb_vot, res_ens.pct_vot, res_ens.sum_nb_voi_x000D_
FROM c:\cap_dbf\res_ens res_ens"}</definedName>
    <definedName name="xyza9_1_1" hidden="1">{"SELECT res_ens.sum_nb_ins, res_ens.sum_nb_vot, res_ens.pct_vot, res_ens.sum_nb_voi_x000D_
FROM c:\cap_dbf\res_ens res_ens"}</definedName>
    <definedName name="xyza9_1_2" hidden="1">{"SELECT res_ens.sum_nb_ins, res_ens.sum_nb_vot, res_ens.pct_vot, res_ens.sum_nb_voi_x000D_
FROM c:\cap_dbf\res_ens res_ens"}</definedName>
    <definedName name="xyza9_1_3" hidden="1">{"SELECT res_ens.sum_nb_ins, res_ens.sum_nb_vot, res_ens.pct_vot, res_ens.sum_nb_voi_x000D_
FROM c:\cap_dbf\res_ens res_ens"}</definedName>
    <definedName name="xyza9_2" hidden="1">{"SELECT res_ens.sum_nb_ins, res_ens.sum_nb_vot, res_ens.pct_vot, res_ens.sum_nb_voi_x000D_
FROM c:\cap_dbf\res_ens res_ens"}</definedName>
    <definedName name="xyza9_3" hidden="1">{"SELECT res_ens.sum_nb_ins, res_ens.sum_nb_vot, res_ens.pct_vot, res_ens.sum_nb_voi_x000D_
FROM c:\cap_dbf\res_ens res_ens"}</definedName>
    <definedName name="xyza9_4" hidden="1">{"SELECT res_ens.sum_nb_ins, res_ens.sum_nb_vot, res_ens.pct_vot, res_ens.sum_nb_voi_x000D_
FROM c:\cap_dbf\res_ens res_ens"}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4" i="26" l="1"/>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5" i="26"/>
  <c r="E116" i="26"/>
  <c r="E117" i="26"/>
  <c r="E4" i="26"/>
  <c r="Q20" i="20" l="1"/>
  <c r="P20" i="20"/>
  <c r="O20" i="20" l="1"/>
  <c r="N20" i="20"/>
  <c r="O19" i="20"/>
  <c r="N19" i="20"/>
  <c r="M20" i="20" l="1"/>
  <c r="M19" i="20"/>
  <c r="L20" i="20"/>
  <c r="L19" i="20"/>
  <c r="E24" i="15"/>
  <c r="E103" i="15"/>
  <c r="E107" i="15"/>
  <c r="E117" i="15" l="1"/>
  <c r="E94" i="15"/>
  <c r="E90" i="15"/>
  <c r="E82" i="15"/>
  <c r="E74" i="15"/>
  <c r="E110" i="15"/>
  <c r="E104" i="15"/>
  <c r="E100" i="15"/>
  <c r="E51" i="15"/>
  <c r="E35" i="15"/>
  <c r="E109" i="15"/>
  <c r="E56" i="15"/>
  <c r="E40" i="15"/>
  <c r="E7" i="15"/>
  <c r="E4" i="15"/>
  <c r="E99" i="15"/>
  <c r="E91" i="15"/>
  <c r="E66" i="15"/>
  <c r="E53" i="15"/>
  <c r="E36" i="15"/>
  <c r="E92" i="15"/>
  <c r="E45" i="15"/>
  <c r="E41" i="15"/>
  <c r="E111" i="15"/>
  <c r="E102" i="15"/>
  <c r="E97" i="15"/>
  <c r="E115" i="15"/>
  <c r="E76" i="15"/>
  <c r="E46" i="15"/>
  <c r="E42" i="15"/>
  <c r="E29" i="15"/>
  <c r="E25" i="15"/>
  <c r="E8" i="15"/>
  <c r="E39" i="15"/>
  <c r="E30" i="15"/>
  <c r="E26" i="15"/>
  <c r="E13" i="15"/>
  <c r="E9" i="15"/>
  <c r="E23" i="15"/>
  <c r="E14" i="15"/>
  <c r="E10" i="15"/>
  <c r="E19" i="15"/>
  <c r="E20" i="15"/>
  <c r="E113" i="15"/>
  <c r="E105" i="15"/>
  <c r="E95" i="15"/>
  <c r="E83" i="15"/>
  <c r="E68" i="15"/>
  <c r="E58" i="15"/>
  <c r="E48" i="15"/>
  <c r="E43" i="15"/>
  <c r="E38" i="15"/>
  <c r="E32" i="15"/>
  <c r="E27" i="15"/>
  <c r="E22" i="15"/>
  <c r="E16" i="15"/>
  <c r="E11" i="15"/>
  <c r="E6" i="15"/>
  <c r="E114" i="15"/>
  <c r="E106" i="15"/>
  <c r="E96" i="15"/>
  <c r="E59" i="15"/>
  <c r="E54" i="15"/>
  <c r="E49" i="15"/>
  <c r="E44" i="15"/>
  <c r="E33" i="15"/>
  <c r="E28" i="15"/>
  <c r="E17" i="15"/>
  <c r="E12" i="15"/>
  <c r="E116" i="15"/>
  <c r="E108" i="15"/>
  <c r="E98" i="15"/>
  <c r="E75" i="15"/>
  <c r="E55" i="15"/>
  <c r="E50" i="15"/>
  <c r="E34" i="15"/>
  <c r="E18" i="15"/>
  <c r="E112" i="15"/>
  <c r="E101" i="15"/>
  <c r="E93" i="15"/>
  <c r="E67" i="15"/>
  <c r="E52" i="15"/>
  <c r="E47" i="15"/>
  <c r="E37" i="15"/>
  <c r="E31" i="15"/>
  <c r="E21" i="15"/>
  <c r="E15" i="15"/>
  <c r="E5" i="15"/>
  <c r="E70" i="15"/>
  <c r="E87" i="15"/>
  <c r="E79" i="15"/>
  <c r="E71" i="15"/>
  <c r="E63" i="15"/>
  <c r="E78" i="15"/>
  <c r="E62" i="15"/>
  <c r="E88" i="15"/>
  <c r="E80" i="15"/>
  <c r="E72" i="15"/>
  <c r="E64" i="15"/>
  <c r="E86" i="15"/>
  <c r="E89" i="15"/>
  <c r="E81" i="15"/>
  <c r="E73" i="15"/>
  <c r="E65" i="15"/>
  <c r="E57" i="15"/>
  <c r="E84" i="15"/>
  <c r="E60" i="15"/>
  <c r="E85" i="15"/>
  <c r="E77" i="15"/>
  <c r="E69" i="15"/>
  <c r="E61" i="15"/>
</calcChain>
</file>

<file path=xl/sharedStrings.xml><?xml version="1.0" encoding="utf-8"?>
<sst xmlns="http://schemas.openxmlformats.org/spreadsheetml/2006/main" count="826" uniqueCount="295">
  <si>
    <t>Catégorie A 
(en %)</t>
  </si>
  <si>
    <t>Catégorie B
 (en %)</t>
  </si>
  <si>
    <t>Catégorie C
 (en %)</t>
  </si>
  <si>
    <t>Total</t>
  </si>
  <si>
    <t>Total agents civils</t>
  </si>
  <si>
    <t>dont enseignants</t>
  </si>
  <si>
    <t>dont non-enseignants</t>
  </si>
  <si>
    <t>A</t>
  </si>
  <si>
    <t>B</t>
  </si>
  <si>
    <t>C</t>
  </si>
  <si>
    <t>Fonctionnaires</t>
  </si>
  <si>
    <t>Contractuels</t>
  </si>
  <si>
    <t>Source : Siasp, Insee. Traitement DGAFP - SDessi.</t>
  </si>
  <si>
    <t>Champ : Emplois principaux, tous statuts, situés en France (hors Mayotte). Hors bénéficiaires de contrats aidés.</t>
  </si>
  <si>
    <r>
      <t>Autres catégories et statuts</t>
    </r>
    <r>
      <rPr>
        <vertAlign val="superscript"/>
        <sz val="10"/>
        <rFont val="Arial"/>
        <family val="2"/>
      </rPr>
      <t>(1)</t>
    </r>
  </si>
  <si>
    <r>
      <t>Fonctionnaires</t>
    </r>
    <r>
      <rPr>
        <vertAlign val="superscript"/>
        <sz val="10"/>
        <rFont val="Arial"/>
        <family val="2"/>
      </rPr>
      <t>(2)</t>
    </r>
  </si>
  <si>
    <r>
      <t>Contractuels</t>
    </r>
    <r>
      <rPr>
        <vertAlign val="superscript"/>
        <sz val="10"/>
        <rFont val="Arial"/>
        <family val="2"/>
      </rPr>
      <t>(2)</t>
    </r>
  </si>
  <si>
    <t/>
  </si>
  <si>
    <t>FPE</t>
  </si>
  <si>
    <t>dont A+</t>
  </si>
  <si>
    <t>FPT</t>
  </si>
  <si>
    <t>FPH</t>
  </si>
  <si>
    <t>Ensemble FP</t>
  </si>
  <si>
    <r>
      <t>2017</t>
    </r>
    <r>
      <rPr>
        <b/>
        <vertAlign val="superscript"/>
        <sz val="10"/>
        <color indexed="8"/>
        <rFont val="Arial"/>
        <family val="2"/>
      </rPr>
      <t>(1)</t>
    </r>
  </si>
  <si>
    <t>Effectifs physiques par catégorie hiérarchique dans les trois versants de la fonction publique au 31 décembre</t>
  </si>
  <si>
    <t>Militaires</t>
  </si>
  <si>
    <t>en milliers</t>
  </si>
  <si>
    <t>(1) Depuis 2005, les élèves de l'École polytechnique apparaissent dans le champ des EPA de la fonction publique de l'État.</t>
  </si>
  <si>
    <t xml:space="preserve">Champ : Emplois principaux, tous statuts, situés en France (hors Mayotte). Hors bénéficiaires de contrats aidés. </t>
  </si>
  <si>
    <t>Sources : FGE, Colter, DADS, Siasp,Insee ; enquêtes SAE, Drees. Traitement DGAFP - SDessi.</t>
  </si>
  <si>
    <r>
      <t>Autres catégories et statuts</t>
    </r>
    <r>
      <rPr>
        <vertAlign val="superscript"/>
        <sz val="10"/>
        <rFont val="Arial"/>
        <family val="2"/>
      </rPr>
      <t>(3)</t>
    </r>
  </si>
  <si>
    <r>
      <t>FPH</t>
    </r>
    <r>
      <rPr>
        <b/>
        <vertAlign val="superscript"/>
        <sz val="10"/>
        <rFont val="Arial"/>
        <family val="2"/>
      </rPr>
      <t>(6)</t>
    </r>
  </si>
  <si>
    <r>
      <t>Fonctionnaires</t>
    </r>
    <r>
      <rPr>
        <vertAlign val="superscript"/>
        <sz val="10"/>
        <rFont val="Arial"/>
        <family val="2"/>
      </rPr>
      <t>(4)</t>
    </r>
  </si>
  <si>
    <r>
      <t>Militaires</t>
    </r>
    <r>
      <rPr>
        <vertAlign val="superscript"/>
        <sz val="10"/>
        <rFont val="Arial"/>
        <family val="2"/>
      </rPr>
      <t>(2)</t>
    </r>
  </si>
  <si>
    <r>
      <t>2005</t>
    </r>
    <r>
      <rPr>
        <vertAlign val="superscript"/>
        <sz val="10"/>
        <rFont val="Arial"/>
        <family val="2"/>
      </rPr>
      <t>(1)</t>
    </r>
  </si>
  <si>
    <t>(1) Les effectifs des militaires ne sont pas localisables.</t>
  </si>
  <si>
    <r>
      <t>Total France entière, agents civils</t>
    </r>
    <r>
      <rPr>
        <b/>
        <vertAlign val="superscript"/>
        <sz val="10"/>
        <color indexed="8"/>
        <rFont val="Arial"/>
        <family val="2"/>
      </rPr>
      <t>(1)</t>
    </r>
  </si>
  <si>
    <t>La Réunion</t>
  </si>
  <si>
    <t>Guyane</t>
  </si>
  <si>
    <t>Martinique</t>
  </si>
  <si>
    <t>Guadeloupe</t>
  </si>
  <si>
    <t>DOM</t>
  </si>
  <si>
    <t>Total métropole</t>
  </si>
  <si>
    <t>Vaucluse</t>
  </si>
  <si>
    <t>Var</t>
  </si>
  <si>
    <t>Hautes-Alpes</t>
  </si>
  <si>
    <t>Bouches-du-Rhône</t>
  </si>
  <si>
    <t>Alpes-Maritimes</t>
  </si>
  <si>
    <t>Alpes-de-Haute-Provence</t>
  </si>
  <si>
    <t>Provence-Alpes-Côte d'Azur</t>
  </si>
  <si>
    <t>Vendée</t>
  </si>
  <si>
    <t>Sarthe</t>
  </si>
  <si>
    <t>Mayenne</t>
  </si>
  <si>
    <t>Maine-et-Loire</t>
  </si>
  <si>
    <t>Loire-Atlantique</t>
  </si>
  <si>
    <t>Pays de la Loire</t>
  </si>
  <si>
    <t>Tarn-et-Garonne</t>
  </si>
  <si>
    <t>Tarn</t>
  </si>
  <si>
    <t>Lot</t>
  </si>
  <si>
    <t>Hautes-Pyrénées</t>
  </si>
  <si>
    <t>Haute-Garonne</t>
  </si>
  <si>
    <t>Gers</t>
  </si>
  <si>
    <t>Aveyron</t>
  </si>
  <si>
    <t>Ariège</t>
  </si>
  <si>
    <t>Pyrénées-Orientales</t>
  </si>
  <si>
    <t>Lozère</t>
  </si>
  <si>
    <t>Hérault</t>
  </si>
  <si>
    <t>Gard</t>
  </si>
  <si>
    <t>Aude</t>
  </si>
  <si>
    <t>Occitanie</t>
  </si>
  <si>
    <t>Vienne</t>
  </si>
  <si>
    <t>Deux-Sèvres</t>
  </si>
  <si>
    <t>Charente-Maritime</t>
  </si>
  <si>
    <t>Charente</t>
  </si>
  <si>
    <t>Haute-Vienne</t>
  </si>
  <si>
    <t>Creuse</t>
  </si>
  <si>
    <t>Corrèze</t>
  </si>
  <si>
    <t>Pyrénées-Atlantiques</t>
  </si>
  <si>
    <t>Lot-et-Garonne</t>
  </si>
  <si>
    <t>Landes</t>
  </si>
  <si>
    <t>Gironde</t>
  </si>
  <si>
    <t>Dordogne</t>
  </si>
  <si>
    <t>Nouvelle-Aquitaine</t>
  </si>
  <si>
    <t>Seine-Maritime</t>
  </si>
  <si>
    <t>Eure</t>
  </si>
  <si>
    <t>Orne</t>
  </si>
  <si>
    <t>Manche</t>
  </si>
  <si>
    <t>Calvados</t>
  </si>
  <si>
    <t>Normandie</t>
  </si>
  <si>
    <t>Yvelines</t>
  </si>
  <si>
    <t>Val-d'Oise</t>
  </si>
  <si>
    <t>Val-de-Marne</t>
  </si>
  <si>
    <t>Seine-Saint-Denis</t>
  </si>
  <si>
    <t>Seine-et-Marne</t>
  </si>
  <si>
    <t>Paris</t>
  </si>
  <si>
    <t>Hauts-de-Seine</t>
  </si>
  <si>
    <t>Essonne</t>
  </si>
  <si>
    <t>Île-de-France</t>
  </si>
  <si>
    <t>Somme</t>
  </si>
  <si>
    <t>Oise</t>
  </si>
  <si>
    <t>Aisne</t>
  </si>
  <si>
    <t>Pas-de-Calais</t>
  </si>
  <si>
    <t>Nord</t>
  </si>
  <si>
    <t>Hauts-de-France</t>
  </si>
  <si>
    <t>Vosges</t>
  </si>
  <si>
    <t>Moselle</t>
  </si>
  <si>
    <t>Meuse</t>
  </si>
  <si>
    <t>Meurthe-et-Moselle</t>
  </si>
  <si>
    <t>Marne</t>
  </si>
  <si>
    <t>Haute-Marne</t>
  </si>
  <si>
    <t>Aube</t>
  </si>
  <si>
    <t>Ardennes</t>
  </si>
  <si>
    <t>Haut-Rhin</t>
  </si>
  <si>
    <t>Bas-Rhin</t>
  </si>
  <si>
    <t>Grand-Est</t>
  </si>
  <si>
    <t>Haute-Corse</t>
  </si>
  <si>
    <t>Corse-du-Sud</t>
  </si>
  <si>
    <t>Corse</t>
  </si>
  <si>
    <t>Loir-et-Cher</t>
  </si>
  <si>
    <t>Loiret</t>
  </si>
  <si>
    <t>Indre-et-Loire</t>
  </si>
  <si>
    <t>Indre</t>
  </si>
  <si>
    <t>Eure-et-Loir</t>
  </si>
  <si>
    <t>Cher</t>
  </si>
  <si>
    <t>Centre-Val de Loire</t>
  </si>
  <si>
    <t>Morbihan</t>
  </si>
  <si>
    <t>Ille-et-Vilaine</t>
  </si>
  <si>
    <t>Finistère</t>
  </si>
  <si>
    <t>Côtes-d'Armor</t>
  </si>
  <si>
    <t>Bretagne</t>
  </si>
  <si>
    <t>Territoire de Belfort</t>
  </si>
  <si>
    <t>Jura</t>
  </si>
  <si>
    <t>Haute-Saône</t>
  </si>
  <si>
    <t>Doubs</t>
  </si>
  <si>
    <t>Yonne</t>
  </si>
  <si>
    <t>Saône-et-Loire</t>
  </si>
  <si>
    <t>Nièvre</t>
  </si>
  <si>
    <t>Côte-d'Or</t>
  </si>
  <si>
    <t>Bourgogne-Franche-Comté</t>
  </si>
  <si>
    <t>Savoie</t>
  </si>
  <si>
    <t>Rhône</t>
  </si>
  <si>
    <t>Loire</t>
  </si>
  <si>
    <t>Isère</t>
  </si>
  <si>
    <t>Haute-Savoie</t>
  </si>
  <si>
    <t>Drôme</t>
  </si>
  <si>
    <t>Ardèche</t>
  </si>
  <si>
    <t>Ain</t>
  </si>
  <si>
    <t>Puy-de-Dôme</t>
  </si>
  <si>
    <t>Haute-Loire</t>
  </si>
  <si>
    <t>Cantal</t>
  </si>
  <si>
    <t>Allier</t>
  </si>
  <si>
    <t>Auvergne-Rhône-Alpes</t>
  </si>
  <si>
    <t>Champ : Personnes âgées de 15-64 ans.</t>
  </si>
  <si>
    <t>FPT+FPH</t>
  </si>
  <si>
    <t>Indéterminée</t>
  </si>
  <si>
    <t>Employés‚ ouvriers</t>
  </si>
  <si>
    <t>Professions intermédiaires</t>
  </si>
  <si>
    <t>Cadres et professions intellectuelles supérieures</t>
  </si>
  <si>
    <t>Ensemble</t>
  </si>
  <si>
    <t>Professions Intermédiaires</t>
  </si>
  <si>
    <r>
      <t>Fonction publique de l'État, civils</t>
    </r>
    <r>
      <rPr>
        <vertAlign val="superscript"/>
        <sz val="10"/>
        <rFont val="Arial"/>
        <family val="2"/>
      </rPr>
      <t>(1)</t>
    </r>
  </si>
  <si>
    <r>
      <t>Fonction publique territoriale</t>
    </r>
    <r>
      <rPr>
        <vertAlign val="superscript"/>
        <sz val="10"/>
        <rFont val="Arial"/>
        <family val="2"/>
      </rPr>
      <t>(2)</t>
    </r>
  </si>
  <si>
    <t>Fonction publique hospitalière</t>
  </si>
  <si>
    <r>
      <t>Total fonction publique, civils</t>
    </r>
    <r>
      <rPr>
        <vertAlign val="superscript"/>
        <sz val="10"/>
        <rFont val="Arial"/>
        <family val="2"/>
      </rPr>
      <t>(1)</t>
    </r>
  </si>
  <si>
    <t>Total fonction publique</t>
  </si>
  <si>
    <t>Figure 1 catégorie</t>
  </si>
  <si>
    <t>Figure 2 catégorie</t>
  </si>
  <si>
    <t>Figure 1 statut</t>
  </si>
  <si>
    <t>Figure 2 statut</t>
  </si>
  <si>
    <t>Figure 1 loc</t>
  </si>
  <si>
    <t>Figure 2 loc</t>
  </si>
  <si>
    <t>Figure 3 loc</t>
  </si>
  <si>
    <t>Figure 4 loc</t>
  </si>
  <si>
    <t>Figure 5 loc</t>
  </si>
  <si>
    <t>Catégorie A+ de la FPE</t>
  </si>
  <si>
    <t>Encadrement supérieur et emplois de direction de la FPE</t>
  </si>
  <si>
    <t>Inspection, contrôle et expertise</t>
  </si>
  <si>
    <t>Enseignement supérieur, recherche et assimilés</t>
  </si>
  <si>
    <t>Catégorie A+ de la FPT</t>
  </si>
  <si>
    <t>Encadrement supérieur et emplois de direction de la FPT</t>
  </si>
  <si>
    <t>Encadrement supérieur de la FPT</t>
  </si>
  <si>
    <t>Médecins territoriaux</t>
  </si>
  <si>
    <t>Catégorie A+ de la FPH</t>
  </si>
  <si>
    <t>Encadrement supérieur et emplois de direction de la FPH</t>
  </si>
  <si>
    <t>Encadrement supérieur de la FPH</t>
  </si>
  <si>
    <t>Total A+</t>
  </si>
  <si>
    <t>Total Encadrement supérieur et emplois de direction</t>
  </si>
  <si>
    <t>Figure 4 catégorie</t>
  </si>
  <si>
    <t>Effectifs physiques dans les emplois et corps de catégorie A+ dans les trois versants de la fonction publique au 31 décembre</t>
  </si>
  <si>
    <r>
      <t>2016</t>
    </r>
    <r>
      <rPr>
        <b/>
        <vertAlign val="superscript"/>
        <sz val="10"/>
        <rFont val="Arial"/>
        <family val="2"/>
      </rPr>
      <t>(1)</t>
    </r>
  </si>
  <si>
    <r>
      <t>2017</t>
    </r>
    <r>
      <rPr>
        <b/>
        <vertAlign val="superscript"/>
        <sz val="10"/>
        <rFont val="Arial"/>
        <family val="2"/>
      </rPr>
      <t>(2)</t>
    </r>
  </si>
  <si>
    <r>
      <t>2018</t>
    </r>
    <r>
      <rPr>
        <b/>
        <vertAlign val="superscript"/>
        <sz val="10"/>
        <rFont val="Arial"/>
        <family val="2"/>
      </rPr>
      <t>(3)</t>
    </r>
  </si>
  <si>
    <r>
      <t>Emplois de directions de la FPT</t>
    </r>
    <r>
      <rPr>
        <vertAlign val="superscript"/>
        <sz val="10"/>
        <rFont val="Arial"/>
        <family val="2"/>
      </rPr>
      <t>(4)</t>
    </r>
  </si>
  <si>
    <t>Catégories</t>
  </si>
  <si>
    <t>Statut</t>
  </si>
  <si>
    <t>Localisation</t>
  </si>
  <si>
    <t>Effectifs physiques au 31 décembre des apprentis dans les trois versants de la fonction publique</t>
  </si>
  <si>
    <r>
      <t>2018</t>
    </r>
    <r>
      <rPr>
        <b/>
        <vertAlign val="superscript"/>
        <sz val="10"/>
        <rFont val="Arial"/>
        <family val="2"/>
      </rPr>
      <t>(1)</t>
    </r>
  </si>
  <si>
    <t xml:space="preserve">Ministères </t>
  </si>
  <si>
    <r>
      <t xml:space="preserve">dont </t>
    </r>
    <r>
      <rPr>
        <sz val="10"/>
        <color theme="1"/>
        <rFont val="Arial"/>
        <family val="2"/>
      </rPr>
      <t>É</t>
    </r>
    <r>
      <rPr>
        <i/>
        <sz val="10"/>
        <color theme="1"/>
        <rFont val="Arial"/>
        <family val="2"/>
      </rPr>
      <t>ducation nationale, Enseignement supérieur, Recherche et Innovation</t>
    </r>
  </si>
  <si>
    <t>dont Armées</t>
  </si>
  <si>
    <t>dont Intérieur</t>
  </si>
  <si>
    <t xml:space="preserve">EPA </t>
  </si>
  <si>
    <t>Collectivités territoriales</t>
  </si>
  <si>
    <t>dont Communes</t>
  </si>
  <si>
    <t>Établissements publics locaux</t>
  </si>
  <si>
    <t>Source : Siasp, Insee. Traitement DGAFP-SDessi.</t>
  </si>
  <si>
    <t xml:space="preserve">Champ : Emplois principaux, apprentis, situés en métropole et DOM (Hors Mayotte), hors COM et étranger. </t>
  </si>
  <si>
    <t>(1) Sur 2018, suite à un changement de méthode, certains postes d'apprentis deviennent "non annexe" et rentrent dans le champ de ce tableau, ce qui cause une rupture de série par rapport au RA précédent.</t>
  </si>
  <si>
    <t>Total 
(en milliers)</t>
  </si>
  <si>
    <t>Nom de l'onglet</t>
  </si>
  <si>
    <t>Figure 3 catégorie</t>
  </si>
  <si>
    <r>
      <t xml:space="preserve">(1) Les données de l'année 2017, sur la catégorie A+, ont été révisées par rapport à ce qui a été publié dans le rapport annuel sur l'état de la fonction publique 2019. La liste des corps de catégorie A+ a été révisée. En particulier, les corps nécessitant un doctorat mais </t>
    </r>
    <r>
      <rPr>
        <sz val="8"/>
        <rFont val="Arial"/>
        <family val="2"/>
      </rPr>
      <t>dont la grille indiciaire n'atteint pas au moins la hors échelle B</t>
    </r>
    <r>
      <rPr>
        <sz val="8"/>
        <color theme="1"/>
        <rFont val="Arial"/>
        <family val="2"/>
      </rPr>
      <t xml:space="preserve"> ne sont désormais plus considérés comme A+. </t>
    </r>
  </si>
  <si>
    <t xml:space="preserve">Contient des données sur l'égalité professionnelle entre les femmes et les hommes </t>
  </si>
  <si>
    <t>Caractéristique des postes sur l'ensemble de la fonction publique</t>
  </si>
  <si>
    <t>Emplois de direction de la FPH</t>
  </si>
  <si>
    <t>(2) Les militaires volontaires sont comptabilisés dans les effectifs de l'État à partir de 2004.</t>
  </si>
  <si>
    <t xml:space="preserve">Avertissement </t>
  </si>
  <si>
    <r>
      <t>Champ : Emplois principaux, tous statuts, en France (hors Mayotte). Hors bénéficiaires de contrats aidés.</t>
    </r>
    <r>
      <rPr>
        <i/>
        <sz val="8"/>
        <color rgb="FFFF0000"/>
        <rFont val="Arial"/>
        <family val="2"/>
      </rPr>
      <t xml:space="preserve"> </t>
    </r>
  </si>
  <si>
    <t>Catégorie indéterminée (en %)</t>
  </si>
  <si>
    <t>En ETP pour 1000 habitants</t>
  </si>
  <si>
    <t>Effectifs physiques par catégorie socioprofessionnelle (PCS-Insee) dans les trois versants au 31 décembre</t>
  </si>
  <si>
    <t>Champ : Emplois principaux, agents civils, situés en France (hors Mayotte). Hors bénéficiaires de contrats aidés. Hors emplois non localisés.</t>
  </si>
  <si>
    <t>Taux d'administration civile par département de fonction dans les trois versants de la fonction publique au 31 décembre</t>
  </si>
  <si>
    <t>Effectifs physiques civils par département de fonction dans les trois versants de la fonction publique au 31 décembre</t>
  </si>
  <si>
    <t>Note : Les effectifs des militaires ne sont pas localisables.</t>
  </si>
  <si>
    <t>Effectifs physiques de la fonction publique par statut au 31 décembre</t>
  </si>
  <si>
    <t>(1) En 2016, environ 1000 ingénieurs territoriaux en chef ont été déclarés sur des cadres d'emplois inappropriés suite à l'introduction de nouveaux cadres d'emploi. A partir de 2016, une correction sur les grades codés en PCS conduit à repérer davantage de chercheurs (2 700 en 2016).</t>
  </si>
  <si>
    <t>Corps et emplois à la décision du gouvernement : décret de 1985 et assimilés</t>
  </si>
  <si>
    <t xml:space="preserve">Contient des données rétropolées </t>
  </si>
  <si>
    <t>2021 Classique</t>
  </si>
  <si>
    <t>2021 Moderne</t>
  </si>
  <si>
    <t>2022 millésime 2022</t>
  </si>
  <si>
    <t>2022 millésime 2023</t>
  </si>
  <si>
    <r>
      <t>2021 Moderne</t>
    </r>
    <r>
      <rPr>
        <b/>
        <vertAlign val="superscript"/>
        <sz val="10"/>
        <rFont val="Arial"/>
        <family val="2"/>
      </rPr>
      <t>(2)</t>
    </r>
  </si>
  <si>
    <t>(3) La catégorie "Autres catégories et statuts" recouvre principalement les enseignants et documentalistes des établissements privés sous contrat et les ouvriers d'État dans la FPE, les assistants maternels et familiaux dans la FPT, les médecins dans la FPH et les apprentis dans les trois versants.</t>
  </si>
  <si>
    <t>(4) Pour respecter le secret statistique, dans la FPT, les militaires (sapeurs-pompiers de Marseille) sont regroupés avec les fonctionnaires.</t>
  </si>
  <si>
    <t>Enseignants : Professeurs de l'enseignement supérieur, professeurs agrégés, certifiés et assimilés, enseignants en coopération, professeurs des collèges et maîtres auxiliaires, instituteurs et assimilés, élèves enseignants. Hors chercheurs, directeurs d'établissement, inspecteurs, personnels d'orientation et de surveillance.</t>
  </si>
  <si>
    <t>(1) La catégorie "Autres catégories et statuts" recouvre principalement les enseignants des établissements privés sous contrat et les ouvriers d'État dans la FPE, les assistants maternels et familiaux dans la FPT, les médecins dans la FPH et les apprentis dans les trois versants.</t>
  </si>
  <si>
    <t>(2) Pour respecter le secret statistique, dans la FPT, les militaires sont regroupés avec les fonctionnaires, et les militaires volontaires avec les contractuels.</t>
  </si>
  <si>
    <t>(2) La mesure du volume de travail a été particulièrement impactée par le passage de la DSN. Des expertises sont toujours en cours pour finaliser la nouvelle méthodologie.</t>
  </si>
  <si>
    <t>(1) La catégorie "Autres catégories et statuts" recouvre principalement les enseignants et documentalistes des établissements privés sous contrat et les ouvriers d'État dans la FPE, les assistants maternels et familiaux dans la FPT, les médecins dans la FPH et les apprentis dans les trois versants.</t>
  </si>
  <si>
    <t>oui</t>
  </si>
  <si>
    <t>(2) Les adjoints techniques territoriaux des établissements d'enseignement peuvent être mal localisés dans leur département de fonction. Ils représentent 3 % des agents territoriaux.</t>
  </si>
  <si>
    <t>Lecture : En 2024, Mayotte compte 22 000 agents de la fonction publique, dont 12 000 au sein de la FPE.</t>
  </si>
  <si>
    <t>Autres corps de direction et encadrement supérieur de la FPE</t>
  </si>
  <si>
    <r>
      <t>2023</t>
    </r>
    <r>
      <rPr>
        <b/>
        <vertAlign val="superscript"/>
        <sz val="10"/>
        <color theme="1"/>
        <rFont val="Arial"/>
        <family val="2"/>
      </rPr>
      <t>(1)</t>
    </r>
  </si>
  <si>
    <r>
      <t>2024</t>
    </r>
    <r>
      <rPr>
        <b/>
        <vertAlign val="superscript"/>
        <sz val="10"/>
        <color theme="1"/>
        <rFont val="Arial"/>
        <family val="2"/>
      </rPr>
      <t>(2)</t>
    </r>
  </si>
  <si>
    <t>(1) La collecte de l’enquête emploi à Mayotte en 2023 à souffert du climat social en lien avec les opérations Wambushu et que malgré des redressements spécifiques les données sont certainement de moindre qualité que les années précédentes.</t>
  </si>
  <si>
    <t xml:space="preserve">(3) À partir de 2022 millésime 2023, ajout des conservateurs territoriaux du patrimoine à la catégorie des A+ de la FPT. </t>
  </si>
  <si>
    <t>Sources : Insee, enquêtes Emploi Mayotte</t>
  </si>
  <si>
    <t xml:space="preserve">Emploi public à Mayotte </t>
  </si>
  <si>
    <t xml:space="preserve">(2) Les données de l'année 2017 ont été révisées par rapport à ce qui a été publié dans le rapport annuel sur l'état de la fonction publique 2019. La liste des corps de catégorie A+ a été révisée. En particulier les corps nécessitant un doctorat, mais dont la grille indiciaire n'atteint pas au moins la hors échelle B, ne sont désormais plus considérés comme A+ de la FPE, catégorie "enseignement supérieur, recherche, ... ". Dans la FPT, la liste des cadres d'emplois pris en compte dans la catégorie A+ a été modifiée par rapport aux données publiées jusqu'au rapport annuel 2018, induisant une rupture de série. Sont désormais pris en compte l'ensemble des administrateurs (y c. stagiaires), les cadres d'emplois de conception et de direction des sapeurs-pompiers et les médecins-pharmaciens de la filière incendie-secours. </t>
  </si>
  <si>
    <t xml:space="preserve">(3) A compter de 2018, dans l'encadrement supérieur de la FPH, seuls les ingénieurs hospitaliers généraux sont considérés comme A+. </t>
  </si>
  <si>
    <r>
      <t>2021 Moderne</t>
    </r>
    <r>
      <rPr>
        <b/>
        <vertAlign val="superscript"/>
        <sz val="10"/>
        <rFont val="Arial"/>
        <family val="2"/>
      </rPr>
      <t>(4)</t>
    </r>
  </si>
  <si>
    <t xml:space="preserve">(5) À partir de 2022 millésime 2023, ajout des conservateurs territoriaux du patrimoine à la catégorie "encadrement supérieur de la FPT". </t>
  </si>
  <si>
    <r>
      <t>2022 millésime 2023</t>
    </r>
    <r>
      <rPr>
        <b/>
        <vertAlign val="superscript"/>
        <sz val="10"/>
        <rFont val="Arial"/>
        <family val="2"/>
      </rPr>
      <t>(5)</t>
    </r>
  </si>
  <si>
    <t>Emploi public à Mayotte</t>
  </si>
  <si>
    <t>(2) En 2024, l’enquête Emploi à Mayotte a été rénovée en profondeur. L’enquête est désormais identique à celle menée dans les autres départements français. En particulier, la collecte a lieu en continu, tout au long de l’année (et non plus uniquement au second trimestre) et le questionnaire a fait l’objet d’une rénovation. De fait, les résultats ne sont pas comparables à ceux diffusés antérieurement.</t>
  </si>
  <si>
    <r>
      <t>2022 millésime 2023</t>
    </r>
    <r>
      <rPr>
        <b/>
        <vertAlign val="superscript"/>
        <sz val="10"/>
        <rFont val="Arial"/>
        <family val="2"/>
      </rPr>
      <t>(3)</t>
    </r>
  </si>
  <si>
    <t>Les séries rétropolées sont indiquées dans l’onglet « Sommaire ». La rétropolation consiste à recalculer les effectifs (en "niveau") à partir des évolutions calculées chaque année à méthodologie constante.</t>
  </si>
  <si>
    <t>2023 millésime 2023</t>
  </si>
  <si>
    <t>2023 millésime 2024</t>
  </si>
  <si>
    <t>en % (base 100 = 2011)</t>
  </si>
  <si>
    <t>Lecture : En 2024, il y a 3 745 800 fonctionnaires et 1 407 700 contractuels au sein de la fonction publique.</t>
  </si>
  <si>
    <t>Lecture : En 2024, 7 600 apprentis sont présents au sein des ministères, dont 1 800 au sein du ministère de l'Intérieur.</t>
  </si>
  <si>
    <t>Lecture : Fin 2024, 69 % des agents fonctionnaires de la FPE sont des agents de catégorie A.</t>
  </si>
  <si>
    <t>Répartition par statut et catégorie hiérarchique dans la fonction publique au 31 décembre 2024</t>
  </si>
  <si>
    <t>Lecture :  En 2024, il y a 857 500 cadres dans la FPE.</t>
  </si>
  <si>
    <t>Lecture : En 2024, 431 300 agents sont présents en Provence-Alpes-Côte d'Azur, dont 186 300 dans les Bouches-du-Rhône.</t>
  </si>
  <si>
    <t>Effectifs physiques civils dans les trois versants de la fonction publique par région et département au 31 décembre 2024</t>
  </si>
  <si>
    <t>Effectifs physiques de la fonction publique civile par statut et par région et département au 31 décembre 2024</t>
  </si>
  <si>
    <t>Lecture : En 2024, la FPE compte 175 800 agents en Provence-Alpes-Côte d'Azur.</t>
  </si>
  <si>
    <t>Lecture : En 2024, la fonction publique compte 307 300 fonctionnaires et 96 900 contractuels en Provence-Alpes-Côte d'Azur.</t>
  </si>
  <si>
    <r>
      <t>2022</t>
    </r>
    <r>
      <rPr>
        <b/>
        <vertAlign val="superscript"/>
        <sz val="10"/>
        <color rgb="FF000000"/>
        <rFont val="Arial"/>
        <family val="2"/>
      </rPr>
      <t>(2)</t>
    </r>
  </si>
  <si>
    <r>
      <t>2023</t>
    </r>
    <r>
      <rPr>
        <b/>
        <vertAlign val="superscript"/>
        <sz val="10"/>
        <color rgb="FF000000"/>
        <rFont val="Arial"/>
        <family val="2"/>
      </rPr>
      <t>(2)</t>
    </r>
  </si>
  <si>
    <t>Lecture : En 2024, la région Provence-Alpes-Côte d'Azur compte 79 ETP dans la fonction publique pour 1 000 habitants.</t>
  </si>
  <si>
    <t>Note : Les corps et les cadres d’emploi composant la catégorie A+ sont détaillés dans le fichier Caracteristiques_postes_donnees_comp_Liste_Aplus mis à disposition avec le rapport annuel sur l’état de la fonction publique, avec les fichiers de données associées à la vue Caractéristiques et localisation des postes de la fonction publique en 2024.</t>
  </si>
  <si>
    <t>Lecture : En 2024, il y a 108 800 agents de catégorie A+ au sein de la fonction publique.</t>
  </si>
  <si>
    <r>
      <t>2024</t>
    </r>
    <r>
      <rPr>
        <b/>
        <vertAlign val="superscript"/>
        <sz val="10"/>
        <color rgb="FF000000"/>
        <rFont val="Arial"/>
        <family val="2"/>
      </rPr>
      <t>(2)</t>
    </r>
  </si>
  <si>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</si>
  <si>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</si>
  <si>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</si>
  <si>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</si>
  <si>
    <t>Lecture : Fin 2024, la FPE compte 91 800 agents de catégorie A+.</t>
  </si>
  <si>
    <r>
      <t>2024</t>
    </r>
    <r>
      <rPr>
        <b/>
        <vertAlign val="superscript"/>
        <sz val="10"/>
        <color rgb="FF000000"/>
        <rFont val="Arial"/>
        <family val="2"/>
      </rPr>
      <t>(5)</t>
    </r>
  </si>
  <si>
    <t xml:space="preserve">(2) À partir de 2021 Moderne, les professeurs d’université-praticiens hospitaliers sont classés dans la FPH (et pas dans la FPE comme en 2021 Classique), leur poste le plus rémunérateur appartenant le plus souvent à la FPH. Ils ne sont donc plus considérés comme appartenant à la catégorie A+ car les médecins de la FPH n'en font pas partie. Toutefois, à partir de 2023 millésime 2024, cette règle est assouplie et ceux parmi les professeurs et maîtres de conférence des universités praticiens hospitaliers dont le poste le plus rémunérateur appartient à la FPE sont considérés comme A+. Par ailleurs le passage à la DSN a entrainé une dégradation assez sensible de l'identification de la catégorie hiérarchique dans la FPE. </t>
  </si>
  <si>
    <t xml:space="preserve">(4) À partir de 2023 millésime 2024, ajout à la catégorie des A+ de la FPE, des professeurs de chaires supérieures, des maîtres de conférence des écoles supérieures d'architecture, des professeurs des écoles nationales supérieures d'art et des directeurs des services pénitentiaires. </t>
  </si>
  <si>
    <t xml:space="preserve">(5) À partir de 2024, ajout des ingénieurs en chef de la FPH. </t>
  </si>
  <si>
    <r>
      <t>2023 millésime 2024</t>
    </r>
    <r>
      <rPr>
        <b/>
        <vertAlign val="superscript"/>
        <sz val="10"/>
        <rFont val="Arial"/>
        <family val="2"/>
      </rPr>
      <t>(4)</t>
    </r>
  </si>
  <si>
    <r>
      <t>2023 millésime 2024</t>
    </r>
    <r>
      <rPr>
        <b/>
        <vertAlign val="superscript"/>
        <sz val="10"/>
        <rFont val="Arial"/>
        <family val="2"/>
      </rPr>
      <t>(6)</t>
    </r>
  </si>
  <si>
    <r>
      <t>2024</t>
    </r>
    <r>
      <rPr>
        <b/>
        <vertAlign val="superscript"/>
        <sz val="10"/>
        <rFont val="Arial"/>
        <family val="2"/>
      </rPr>
      <t>(7)</t>
    </r>
  </si>
  <si>
    <t xml:space="preserve">(7) À partir de 2024, ajout des ingénieurs en chef à la catégorie "encadrement supérieur de la FPH". </t>
  </si>
  <si>
    <t xml:space="preserve">(4) À partir de 2021 Moderne, les professeurs d’université-praticiens hospitaliers sont classés dans la FPH (et pas dans la catégorie "enseignement supérieur, recherche..." de la FPE comme en 2021 Classique), leur poste le plus rémunérateur appartenant le plus souvent à la FPH. Ils ne sont donc plus considérés comme appartenant à la catégorie A+ car les médecins de la FPH n'en font pas partie. Toutefois, à partir de 2023 millésime 2024, cette règle est assouplie et ceux parmi les professeurs et maîtres de conférence des universités praticiens hospitaliers dont le poste le plus rémunérateur appartient à la FPE sont considérés comme A+. </t>
  </si>
  <si>
    <t>(6) À partir de 2023 millésime 2024, ajout des professeurs de chaires supérieures, des maîtres de conférence des écoles supérieures d'architecture et des professeurs des écoles nationales supérieures d'art à la catégorie "enseignement supérieur, recherche et assimilés" de la FPE et des directeurs des services pénitentiaires à la catégorie "autres corps de direction et encadrement supérieur de la FPE". Par ailleurs la mise en place de la réforme de la haute fonction publique a permis d’affiner les contours de la typologie des A+ ce  qui s’est notamment traduit par une hausse des A+ relevant de l’inspection, contrôle et expertise qui étaient anciennement classés par défaut en "autres corps de direction et encadrement supérieur de la FPE".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</si>
</sst>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43" formatCode="_-* #,##0.00_-;\-* #,##0.00_-;_-* &quot;-&quot;??_-;_-@_-"/>
    <numFmt numFmtId="164" formatCode="_-* #,##0.00\ _€_-;\-* #,##0.00\ _€_-;_-* &quot;-&quot;??\ _€_-;_-@_-"/>
    <numFmt numFmtId="165" formatCode="0.0"/>
    <numFmt numFmtId="166" formatCode="#,##0.0"/>
    <numFmt numFmtId="167" formatCode="_-* #,##0.00\ _F_-;\-* #,##0.00\ _F_-;_-* &quot;-&quot;??\ _F_-;_-@_-"/>
    <numFmt numFmtId="168" formatCode="_-* #,##0\ _€_-;\-* #,##0\ _€_-;_-* &quot;-&quot;??\ _€_-;_-@_-"/>
    <numFmt numFmtId="169" formatCode="#,##0.00\ [$€-407];[Red]\-#,##0.00\ [$€-407]"/>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8"/>
      <name val="Arial"/>
      <family val="2"/>
    </font>
    <font>
      <i/>
      <sz val="10"/>
      <name val="Arial"/>
      <family val="2"/>
    </font>
    <font>
      <sz val="8"/>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u/>
      <sz val="10"/>
      <name val="Arial"/>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9"/>
      <name val="Arial"/>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b/>
      <i/>
      <sz val="10"/>
      <name val="Arial"/>
      <family val="2"/>
    </font>
    <font>
      <b/>
      <sz val="10"/>
      <color indexed="8"/>
      <name val="Arial"/>
      <family val="2"/>
    </font>
    <font>
      <u/>
      <sz val="10"/>
      <color theme="10"/>
      <name val="Arial"/>
      <family val="2"/>
    </font>
    <font>
      <sz val="10"/>
      <color theme="1"/>
      <name val="Arial"/>
      <family val="2"/>
    </font>
    <font>
      <vertAlign val="superscript"/>
      <sz val="10"/>
      <name val="Arial"/>
      <family val="2"/>
    </font>
    <font>
      <sz val="10"/>
      <color indexed="8"/>
      <name val="Arial"/>
      <family val="2"/>
    </font>
    <font>
      <i/>
      <sz val="10"/>
      <color indexed="8"/>
      <name val="Arial"/>
      <family val="2"/>
    </font>
    <font>
      <b/>
      <vertAlign val="superscript"/>
      <sz val="10"/>
      <name val="Arial"/>
      <family val="2"/>
    </font>
    <font>
      <b/>
      <sz val="10"/>
      <color theme="1"/>
      <name val="Arial"/>
      <family val="2"/>
    </font>
    <font>
      <b/>
      <vertAlign val="superscript"/>
      <sz val="10"/>
      <color indexed="8"/>
      <name val="Arial"/>
      <family val="2"/>
    </font>
    <font>
      <sz val="10"/>
      <color rgb="FF000000"/>
      <name val="Arial"/>
      <family val="2"/>
    </font>
    <font>
      <i/>
      <sz val="10"/>
      <color theme="1"/>
      <name val="Arial"/>
      <family val="2"/>
    </font>
    <font>
      <b/>
      <vertAlign val="superscript"/>
      <sz val="10"/>
      <color theme="1"/>
      <name val="Arial"/>
      <family val="2"/>
    </font>
    <font>
      <i/>
      <sz val="8"/>
      <color indexed="8"/>
      <name val="Arial"/>
      <family val="2"/>
    </font>
    <font>
      <sz val="8"/>
      <color theme="1"/>
      <name val="Arial"/>
      <family val="2"/>
    </font>
    <font>
      <sz val="8"/>
      <color indexed="8"/>
      <name val="Arial"/>
      <family val="2"/>
    </font>
    <font>
      <i/>
      <sz val="8"/>
      <name val="Arial"/>
      <family val="2"/>
    </font>
    <font>
      <i/>
      <sz val="8"/>
      <color theme="1"/>
      <name val="Arial"/>
      <family val="2"/>
    </font>
    <font>
      <sz val="10"/>
      <color rgb="FFFF0000"/>
      <name val="Arial"/>
      <family val="2"/>
    </font>
    <font>
      <sz val="11"/>
      <color rgb="FF333333"/>
      <name val="Arial"/>
      <family val="2"/>
      <charset val="1"/>
    </font>
    <font>
      <sz val="11"/>
      <color rgb="FF333333"/>
      <name val="Calibri"/>
      <family val="2"/>
      <charset val="1"/>
    </font>
    <font>
      <u/>
      <sz val="11"/>
      <color theme="10"/>
      <name val="Arial"/>
      <family val="2"/>
      <charset val="1"/>
    </font>
    <font>
      <i/>
      <sz val="11"/>
      <color rgb="FF808080"/>
      <name val="Calibri"/>
      <family val="2"/>
      <charset val="1"/>
    </font>
    <font>
      <i/>
      <sz val="8"/>
      <color rgb="FFFF0000"/>
      <name val="Arial"/>
      <family val="2"/>
    </font>
    <font>
      <b/>
      <vertAlign val="superscript"/>
      <sz val="10"/>
      <color rgb="FF000000"/>
      <name val="Arial"/>
      <family val="2"/>
    </font>
    <font>
      <i/>
      <sz val="8"/>
      <color rgb="FF000000"/>
      <name val="Arial"/>
      <family val="2"/>
    </font>
    <font>
      <sz val="8"/>
      <color rgb="FF000000"/>
      <name val="Arial"/>
      <family val="2"/>
    </font>
    <font>
      <b/>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name val="Tms Rmn"/>
    </font>
    <font>
      <sz val="10"/>
      <name val="Times New Roman"/>
      <family val="1"/>
    </font>
    <font>
      <sz val="6"/>
      <name val="Tms Rmn"/>
    </font>
    <font>
      <i/>
      <sz val="8"/>
      <name val="Tms Rmn"/>
    </font>
    <font>
      <sz val="8"/>
      <name val="Tms Rmn"/>
    </font>
    <font>
      <b/>
      <sz val="10"/>
      <name val="Times New Roman"/>
      <family val="1"/>
    </font>
    <font>
      <u/>
      <sz val="11"/>
      <color theme="10"/>
      <name val="Calibri"/>
      <family val="2"/>
    </font>
    <font>
      <sz val="10"/>
      <name val="Arial"/>
      <family val="2"/>
      <charset val="1"/>
    </font>
    <font>
      <b/>
      <i/>
      <sz val="16"/>
      <name val="Arial"/>
      <family val="2"/>
      <charset val="1"/>
    </font>
    <font>
      <b/>
      <i/>
      <u/>
      <sz val="10"/>
      <name val="Arial"/>
      <family val="2"/>
      <charset val="1"/>
    </font>
    <font>
      <sz val="10"/>
      <color rgb="FFFF0000"/>
      <name val="Arial"/>
      <family val="2"/>
      <charset val="1"/>
    </font>
    <font>
      <b/>
      <sz val="10"/>
      <color rgb="FFFF0000"/>
      <name val="Arial"/>
      <family val="2"/>
    </font>
    <font>
      <b/>
      <sz val="10"/>
      <color theme="3"/>
      <name val="Arial"/>
      <family val="2"/>
    </font>
    <font>
      <sz val="11"/>
      <color theme="1"/>
      <name val="Calibri"/>
      <family val="2"/>
    </font>
    <font>
      <b/>
      <sz val="14"/>
      <color indexed="8"/>
      <name val="Calibri"/>
      <family val="2"/>
    </font>
  </fonts>
  <fills count="6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gray0625"/>
    </fill>
    <fill>
      <patternFill patternType="solid">
        <fgColor indexed="55"/>
      </patternFill>
    </fill>
    <fill>
      <patternFill patternType="solid">
        <fgColor theme="0"/>
        <bgColor indexed="64"/>
      </patternFill>
    </fill>
    <fill>
      <patternFill patternType="solid">
        <fgColor indexed="9"/>
        <bgColor indexed="64"/>
      </patternFill>
    </fill>
    <fill>
      <patternFill patternType="solid">
        <fgColor rgb="FFFFFFF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7D7"/>
        <bgColor rgb="FFFFFFCC"/>
      </patternFill>
    </fill>
  </fills>
  <borders count="81">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medium">
        <color indexed="64"/>
      </top>
      <bottom style="medium">
        <color indexed="64"/>
      </bottom>
      <diagonal/>
    </border>
    <border>
      <left/>
      <right/>
      <top style="thin">
        <color indexed="62"/>
      </top>
      <bottom style="double">
        <color indexed="62"/>
      </bottom>
      <diagonal/>
    </border>
    <border>
      <left style="thin">
        <color indexed="64"/>
      </left>
      <right style="double">
        <color indexed="64"/>
      </right>
      <top style="medium">
        <color indexed="64"/>
      </top>
      <bottom/>
      <diagonal/>
    </border>
    <border>
      <left style="double">
        <color indexed="63"/>
      </left>
      <right style="double">
        <color indexed="63"/>
      </right>
      <top style="double">
        <color indexed="63"/>
      </top>
      <bottom style="double">
        <color indexed="63"/>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9"/>
      </top>
      <bottom style="thin">
        <color indexed="9"/>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indexed="64"/>
      </left>
      <right/>
      <top style="thin">
        <color indexed="9"/>
      </top>
      <bottom style="thin">
        <color indexed="64"/>
      </bottom>
      <diagonal/>
    </border>
    <border>
      <left style="thin">
        <color indexed="64"/>
      </left>
      <right/>
      <top style="thin">
        <color indexed="9"/>
      </top>
      <bottom style="thin">
        <color indexed="9"/>
      </bottom>
      <diagonal/>
    </border>
    <border>
      <left style="thin">
        <color indexed="64"/>
      </left>
      <right/>
      <top/>
      <bottom style="thin">
        <color indexed="9"/>
      </bottom>
      <diagonal/>
    </border>
    <border>
      <left style="thin">
        <color indexed="64"/>
      </left>
      <right/>
      <top style="thin">
        <color indexed="64"/>
      </top>
      <bottom style="thin">
        <color indexed="9"/>
      </bottom>
      <diagonal/>
    </border>
    <border>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indexed="64"/>
      </left>
      <right style="thin">
        <color indexed="64"/>
      </right>
      <top/>
      <bottom style="thin">
        <color rgb="FFFFFFFF"/>
      </bottom>
      <diagonal/>
    </border>
    <border>
      <left style="thin">
        <color indexed="64"/>
      </left>
      <right style="thin">
        <color indexed="64"/>
      </right>
      <top style="thin">
        <color rgb="FFFFFFFF"/>
      </top>
      <bottom style="thin">
        <color rgb="FFFFFFFF"/>
      </bottom>
      <diagonal/>
    </border>
    <border>
      <left style="thin">
        <color indexed="64"/>
      </left>
      <right style="thin">
        <color indexed="64"/>
      </right>
      <top style="thin">
        <color rgb="FFFFFFFF"/>
      </top>
      <bottom/>
      <diagonal/>
    </border>
    <border>
      <left style="thin">
        <color indexed="64"/>
      </left>
      <right style="thin">
        <color indexed="64"/>
      </right>
      <top style="thin">
        <color indexed="64"/>
      </top>
      <bottom style="thin">
        <color rgb="FFFFFFFF"/>
      </bottom>
      <diagonal/>
    </border>
    <border>
      <left style="thin">
        <color indexed="64"/>
      </left>
      <right style="thin">
        <color indexed="64"/>
      </right>
      <top style="thin">
        <color rgb="FFFFFFFF"/>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9"/>
      </top>
      <bottom style="thin">
        <color indexed="9"/>
      </bottom>
      <diagonal/>
    </border>
    <border>
      <left style="thin">
        <color indexed="64"/>
      </left>
      <right/>
      <top style="thin">
        <color indexed="9"/>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hair">
        <color indexed="64"/>
      </top>
      <bottom/>
      <diagonal/>
    </border>
    <border>
      <left/>
      <right/>
      <top style="hair">
        <color indexed="64"/>
      </top>
      <bottom style="hair">
        <color indexed="64"/>
      </bottom>
      <diagonal/>
    </border>
    <border>
      <left style="thin">
        <color indexed="64"/>
      </left>
      <right/>
      <top style="thin">
        <color indexed="64"/>
      </top>
      <bottom style="thin">
        <color indexed="9"/>
      </bottom>
      <diagonal/>
    </border>
    <border>
      <left style="thin">
        <color auto="1"/>
      </left>
      <right style="thin">
        <color auto="1"/>
      </right>
      <top style="thin">
        <color auto="1"/>
      </top>
      <bottom/>
      <diagonal/>
    </border>
    <border>
      <left/>
      <right/>
      <top style="thin">
        <color indexed="64"/>
      </top>
      <bottom style="thin">
        <color indexed="64"/>
      </bottom>
      <diagonal/>
    </border>
  </borders>
  <cellStyleXfs count="189">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0" borderId="0" applyNumberFormat="0" applyFill="0" applyBorder="0" applyAlignment="0" applyProtection="0"/>
    <xf numFmtId="0" fontId="14" fillId="20" borderId="1" applyNumberFormat="0" applyAlignment="0" applyProtection="0"/>
    <xf numFmtId="0" fontId="15" fillId="0" borderId="2" applyNumberFormat="0" applyFill="0" applyAlignment="0" applyProtection="0"/>
    <xf numFmtId="0" fontId="5" fillId="21" borderId="3" applyNumberFormat="0" applyFont="0" applyAlignment="0" applyProtection="0"/>
    <xf numFmtId="3" fontId="16" fillId="0" borderId="0">
      <alignment vertical="center"/>
    </xf>
    <xf numFmtId="0" fontId="17" fillId="7" borderId="1" applyNumberFormat="0" applyAlignment="0" applyProtection="0"/>
    <xf numFmtId="44" fontId="5" fillId="0" borderId="0" applyFont="0" applyFill="0" applyBorder="0" applyAlignment="0" applyProtection="0"/>
    <xf numFmtId="0" fontId="18" fillId="3" borderId="0" applyNumberFormat="0" applyBorder="0" applyAlignment="0" applyProtection="0"/>
    <xf numFmtId="3" fontId="10" fillId="1" borderId="4">
      <alignment horizontal="centerContinuous" vertical="center"/>
    </xf>
    <xf numFmtId="0" fontId="19" fillId="22" borderId="0" applyNumberFormat="0" applyBorder="0" applyAlignment="0" applyProtection="0"/>
    <xf numFmtId="0" fontId="10" fillId="0" borderId="5"/>
    <xf numFmtId="0" fontId="8" fillId="23" borderId="6">
      <alignment horizontal="centerContinuous" vertical="center"/>
    </xf>
    <xf numFmtId="0" fontId="20" fillId="4" borderId="0" applyNumberFormat="0" applyBorder="0" applyAlignment="0" applyProtection="0"/>
    <xf numFmtId="3" fontId="21" fillId="0" borderId="7">
      <alignment horizontal="center" vertical="center"/>
    </xf>
    <xf numFmtId="0" fontId="22" fillId="20" borderId="8" applyNumberFormat="0" applyAlignment="0" applyProtection="0"/>
    <xf numFmtId="3" fontId="8" fillId="23" borderId="9"/>
    <xf numFmtId="0" fontId="23" fillId="0" borderId="0" applyNumberFormat="0" applyFill="0" applyBorder="0" applyAlignment="0" applyProtection="0"/>
    <xf numFmtId="0" fontId="24" fillId="0" borderId="0" applyNumberFormat="0" applyFill="0" applyBorder="0" applyAlignment="0" applyProtection="0"/>
    <xf numFmtId="0" fontId="25" fillId="0" borderId="10" applyNumberFormat="0" applyFill="0" applyAlignment="0" applyProtection="0"/>
    <xf numFmtId="0" fontId="26" fillId="0" borderId="11" applyNumberFormat="0" applyFill="0" applyAlignment="0" applyProtection="0"/>
    <xf numFmtId="0" fontId="27" fillId="0" borderId="12" applyNumberFormat="0" applyFill="0" applyAlignment="0" applyProtection="0"/>
    <xf numFmtId="0" fontId="27" fillId="0" borderId="0" applyNumberFormat="0" applyFill="0" applyBorder="0" applyAlignment="0" applyProtection="0"/>
    <xf numFmtId="0" fontId="28" fillId="0" borderId="14" applyNumberFormat="0" applyFill="0" applyAlignment="0" applyProtection="0"/>
    <xf numFmtId="3" fontId="7" fillId="1" borderId="13">
      <alignment vertical="center"/>
    </xf>
    <xf numFmtId="3" fontId="7" fillId="0" borderId="15" applyFont="0" applyFill="0" applyBorder="0" applyAlignment="0" applyProtection="0"/>
    <xf numFmtId="0" fontId="29" fillId="24" borderId="16" applyNumberFormat="0" applyAlignment="0" applyProtection="0"/>
    <xf numFmtId="0" fontId="5" fillId="0" borderId="17"/>
    <xf numFmtId="3" fontId="10" fillId="0" borderId="9"/>
    <xf numFmtId="3" fontId="6" fillId="0" borderId="9"/>
    <xf numFmtId="9" fontId="5" fillId="0" borderId="0" applyFont="0" applyFill="0" applyBorder="0" applyAlignment="0" applyProtection="0"/>
    <xf numFmtId="0" fontId="32" fillId="0" borderId="0" applyNumberFormat="0" applyFill="0" applyBorder="0" applyAlignment="0" applyProtection="0"/>
    <xf numFmtId="0" fontId="4" fillId="0" borderId="0"/>
    <xf numFmtId="0" fontId="5" fillId="0" borderId="0" applyNumberFormat="0" applyFill="0" applyBorder="0" applyProtection="0"/>
    <xf numFmtId="0" fontId="11" fillId="0" borderId="0"/>
    <xf numFmtId="0" fontId="3" fillId="0" borderId="0"/>
    <xf numFmtId="9" fontId="3" fillId="0" borderId="0" applyFont="0" applyFill="0" applyBorder="0" applyAlignment="0" applyProtection="0"/>
    <xf numFmtId="164" fontId="3" fillId="0" borderId="0" applyFont="0" applyFill="0" applyBorder="0" applyAlignment="0" applyProtection="0"/>
    <xf numFmtId="0" fontId="5" fillId="0" borderId="0"/>
    <xf numFmtId="0" fontId="5" fillId="0" borderId="0"/>
    <xf numFmtId="167" fontId="5" fillId="0" borderId="0" applyFont="0" applyFill="0" applyBorder="0" applyAlignment="0" applyProtection="0"/>
    <xf numFmtId="0" fontId="6" fillId="0" borderId="0"/>
    <xf numFmtId="0" fontId="5" fillId="0" borderId="0"/>
    <xf numFmtId="0" fontId="5" fillId="0" borderId="0"/>
    <xf numFmtId="0" fontId="2" fillId="0" borderId="0"/>
    <xf numFmtId="164" fontId="2" fillId="0" borderId="0" applyFont="0" applyFill="0" applyBorder="0" applyAlignment="0" applyProtection="0"/>
    <xf numFmtId="0" fontId="49" fillId="0" borderId="0"/>
    <xf numFmtId="0" fontId="51" fillId="0" borderId="0" applyBorder="0" applyProtection="0"/>
    <xf numFmtId="0" fontId="50" fillId="0" borderId="0"/>
    <xf numFmtId="0" fontId="5" fillId="0" borderId="0"/>
    <xf numFmtId="0" fontId="52" fillId="0" borderId="0" applyBorder="0" applyProtection="0"/>
    <xf numFmtId="0" fontId="58" fillId="0" borderId="0" applyNumberFormat="0" applyFill="0" applyBorder="0" applyAlignment="0" applyProtection="0"/>
    <xf numFmtId="0" fontId="59" fillId="0" borderId="67" applyNumberFormat="0" applyFill="0" applyAlignment="0" applyProtection="0"/>
    <xf numFmtId="0" fontId="60" fillId="0" borderId="68" applyNumberFormat="0" applyFill="0" applyAlignment="0" applyProtection="0"/>
    <xf numFmtId="0" fontId="61" fillId="0" borderId="69" applyNumberFormat="0" applyFill="0" applyAlignment="0" applyProtection="0"/>
    <xf numFmtId="0" fontId="61" fillId="0" borderId="0" applyNumberFormat="0" applyFill="0" applyBorder="0" applyAlignment="0" applyProtection="0"/>
    <xf numFmtId="0" fontId="62" fillId="28" borderId="0" applyNumberFormat="0" applyBorder="0" applyAlignment="0" applyProtection="0"/>
    <xf numFmtId="0" fontId="63" fillId="29" borderId="0" applyNumberFormat="0" applyBorder="0" applyAlignment="0" applyProtection="0"/>
    <xf numFmtId="0" fontId="64" fillId="30" borderId="0" applyNumberFormat="0" applyBorder="0" applyAlignment="0" applyProtection="0"/>
    <xf numFmtId="0" fontId="65" fillId="31" borderId="70" applyNumberFormat="0" applyAlignment="0" applyProtection="0"/>
    <xf numFmtId="0" fontId="66" fillId="32" borderId="71" applyNumberFormat="0" applyAlignment="0" applyProtection="0"/>
    <xf numFmtId="0" fontId="67" fillId="32" borderId="70" applyNumberFormat="0" applyAlignment="0" applyProtection="0"/>
    <xf numFmtId="0" fontId="68" fillId="0" borderId="72" applyNumberFormat="0" applyFill="0" applyAlignment="0" applyProtection="0"/>
    <xf numFmtId="0" fontId="69" fillId="33" borderId="73" applyNumberFormat="0" applyAlignment="0" applyProtection="0"/>
    <xf numFmtId="0" fontId="70" fillId="0" borderId="0" applyNumberFormat="0" applyFill="0" applyBorder="0" applyAlignment="0" applyProtection="0"/>
    <xf numFmtId="0" fontId="1" fillId="34" borderId="74" applyNumberFormat="0" applyFont="0" applyAlignment="0" applyProtection="0"/>
    <xf numFmtId="0" fontId="71" fillId="0" borderId="0" applyNumberFormat="0" applyFill="0" applyBorder="0" applyAlignment="0" applyProtection="0"/>
    <xf numFmtId="0" fontId="72" fillId="0" borderId="75" applyNumberFormat="0" applyFill="0" applyAlignment="0" applyProtection="0"/>
    <xf numFmtId="0" fontId="73"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73" fillId="38" borderId="0" applyNumberFormat="0" applyBorder="0" applyAlignment="0" applyProtection="0"/>
    <xf numFmtId="0" fontId="73"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73" fillId="42" borderId="0" applyNumberFormat="0" applyBorder="0" applyAlignment="0" applyProtection="0"/>
    <xf numFmtId="0" fontId="73"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73" fillId="46" borderId="0" applyNumberFormat="0" applyBorder="0" applyAlignment="0" applyProtection="0"/>
    <xf numFmtId="0" fontId="73"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73" fillId="50" borderId="0" applyNumberFormat="0" applyBorder="0" applyAlignment="0" applyProtection="0"/>
    <xf numFmtId="0" fontId="73"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73" fillId="54" borderId="0" applyNumberFormat="0" applyBorder="0" applyAlignment="0" applyProtection="0"/>
    <xf numFmtId="0" fontId="73"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73" fillId="58" borderId="0" applyNumberFormat="0" applyBorder="0" applyAlignment="0" applyProtection="0"/>
    <xf numFmtId="0" fontId="74" fillId="0" borderId="0"/>
    <xf numFmtId="44" fontId="5" fillId="0" borderId="0" applyFont="0" applyFill="0" applyBorder="0" applyAlignment="0" applyProtection="0"/>
    <xf numFmtId="0" fontId="75" fillId="0" borderId="76"/>
    <xf numFmtId="1" fontId="75" fillId="0" borderId="0"/>
    <xf numFmtId="0" fontId="76" fillId="0" borderId="0">
      <alignment horizontal="left"/>
    </xf>
    <xf numFmtId="0" fontId="74" fillId="0" borderId="0"/>
    <xf numFmtId="0" fontId="77" fillId="0" borderId="0">
      <alignment horizontal="left"/>
    </xf>
    <xf numFmtId="0" fontId="78" fillId="0" borderId="77">
      <alignment horizontal="right"/>
    </xf>
    <xf numFmtId="3" fontId="78" fillId="0" borderId="0">
      <alignment horizontal="right"/>
    </xf>
    <xf numFmtId="0" fontId="78" fillId="0" borderId="77">
      <alignment horizontal="center" vertical="center" wrapText="1"/>
    </xf>
    <xf numFmtId="0" fontId="78" fillId="0" borderId="77">
      <alignment horizontal="left" vertical="center"/>
    </xf>
    <xf numFmtId="0" fontId="78" fillId="0" borderId="0">
      <alignment horizontal="left"/>
    </xf>
    <xf numFmtId="0" fontId="79" fillId="0" borderId="0">
      <alignment horizontal="left"/>
    </xf>
    <xf numFmtId="3" fontId="78" fillId="0" borderId="77">
      <alignment horizontal="right" vertical="center"/>
    </xf>
    <xf numFmtId="0" fontId="78" fillId="0" borderId="77">
      <alignment horizontal="left" vertical="center"/>
    </xf>
    <xf numFmtId="0" fontId="78" fillId="0" borderId="0">
      <alignment horizontal="right"/>
    </xf>
    <xf numFmtId="0" fontId="1" fillId="0" borderId="0"/>
    <xf numFmtId="0" fontId="1" fillId="34" borderId="74" applyNumberFormat="0" applyFont="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1" fillId="0" borderId="0" applyFont="0" applyFill="0" applyBorder="0" applyAlignment="0" applyProtection="0"/>
    <xf numFmtId="0" fontId="80" fillId="0" borderId="0" applyNumberFormat="0" applyFill="0" applyBorder="0" applyAlignment="0" applyProtection="0"/>
    <xf numFmtId="0" fontId="1" fillId="34" borderId="74" applyNumberFormat="0" applyFont="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44" fontId="5" fillId="0" borderId="0" applyFont="0" applyFill="0" applyBorder="0" applyAlignment="0" applyProtection="0"/>
    <xf numFmtId="0" fontId="1" fillId="0" borderId="0"/>
    <xf numFmtId="0" fontId="1" fillId="34" borderId="74" applyNumberFormat="0" applyFont="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5" fillId="0" borderId="0"/>
    <xf numFmtId="167" fontId="5" fillId="0" borderId="0" applyFont="0" applyFill="0" applyBorder="0" applyAlignment="0" applyProtection="0"/>
    <xf numFmtId="0" fontId="1" fillId="0" borderId="0"/>
    <xf numFmtId="0" fontId="81" fillId="0" borderId="0"/>
    <xf numFmtId="0" fontId="82" fillId="0" borderId="0" applyBorder="0" applyProtection="0">
      <alignment horizontal="center"/>
    </xf>
    <xf numFmtId="169" fontId="83" fillId="0" borderId="0" applyBorder="0" applyProtection="0"/>
    <xf numFmtId="0" fontId="84" fillId="59" borderId="0" applyBorder="0" applyProtection="0"/>
    <xf numFmtId="0" fontId="82" fillId="0" borderId="0" applyBorder="0" applyProtection="0">
      <alignment horizontal="center" textRotation="90"/>
    </xf>
    <xf numFmtId="43" fontId="11" fillId="0" borderId="0" applyFont="0" applyFill="0" applyBorder="0" applyAlignment="0" applyProtection="0"/>
  </cellStyleXfs>
  <cellXfs count="475">
    <xf numFmtId="0" fontId="0" fillId="0" borderId="0" xfId="0"/>
    <xf numFmtId="0" fontId="7" fillId="25" borderId="0" xfId="0" applyFont="1" applyFill="1"/>
    <xf numFmtId="0" fontId="9" fillId="25" borderId="0" xfId="0" applyFont="1" applyFill="1"/>
    <xf numFmtId="0" fontId="30" fillId="25" borderId="0" xfId="0" applyFont="1" applyFill="1"/>
    <xf numFmtId="0" fontId="7" fillId="25" borderId="0" xfId="0" applyFont="1" applyFill="1" applyAlignment="1">
      <alignment wrapText="1"/>
    </xf>
    <xf numFmtId="0" fontId="5" fillId="25" borderId="0" xfId="0" applyFont="1" applyFill="1"/>
    <xf numFmtId="165" fontId="5" fillId="25" borderId="0" xfId="0" applyNumberFormat="1" applyFont="1" applyFill="1"/>
    <xf numFmtId="0" fontId="7" fillId="25" borderId="0" xfId="0" applyFont="1" applyFill="1" applyBorder="1" applyAlignment="1">
      <alignment horizontal="center" vertical="center" wrapText="1"/>
    </xf>
    <xf numFmtId="1" fontId="5" fillId="25" borderId="19" xfId="0" applyNumberFormat="1" applyFont="1" applyFill="1" applyBorder="1" applyAlignment="1" applyProtection="1">
      <alignment horizontal="right" vertical="center" wrapText="1" indent="2"/>
    </xf>
    <xf numFmtId="1" fontId="7" fillId="25" borderId="19" xfId="0" applyNumberFormat="1" applyFont="1" applyFill="1" applyBorder="1" applyAlignment="1" applyProtection="1">
      <alignment horizontal="right" vertical="center" wrapText="1" indent="2"/>
    </xf>
    <xf numFmtId="1" fontId="9" fillId="25" borderId="19" xfId="0" applyNumberFormat="1" applyFont="1" applyFill="1" applyBorder="1" applyAlignment="1" applyProtection="1">
      <alignment horizontal="right" vertical="center" wrapText="1" indent="2"/>
    </xf>
    <xf numFmtId="0" fontId="7" fillId="25" borderId="18" xfId="0" applyNumberFormat="1" applyFont="1" applyFill="1" applyBorder="1" applyAlignment="1" applyProtection="1">
      <alignment horizontal="left" wrapText="1"/>
    </xf>
    <xf numFmtId="1" fontId="7" fillId="25" borderId="18" xfId="0" applyNumberFormat="1" applyFont="1" applyFill="1" applyBorder="1" applyAlignment="1" applyProtection="1">
      <alignment horizontal="right" vertical="center" wrapText="1" indent="2"/>
    </xf>
    <xf numFmtId="0" fontId="7" fillId="25" borderId="0" xfId="0" applyFont="1" applyFill="1" applyAlignment="1"/>
    <xf numFmtId="0" fontId="31" fillId="0" borderId="0" xfId="56" applyNumberFormat="1" applyFont="1" applyFill="1" applyBorder="1" applyAlignment="1" applyProtection="1">
      <alignment vertical="center"/>
    </xf>
    <xf numFmtId="0" fontId="33" fillId="0" borderId="0" xfId="56" applyNumberFormat="1" applyFont="1" applyFill="1" applyBorder="1" applyAlignment="1" applyProtection="1"/>
    <xf numFmtId="0" fontId="35" fillId="0" borderId="22" xfId="56" applyNumberFormat="1" applyFont="1" applyFill="1" applyBorder="1" applyAlignment="1" applyProtection="1">
      <alignment horizontal="left" vertical="top" wrapText="1"/>
    </xf>
    <xf numFmtId="0" fontId="36" fillId="0" borderId="22" xfId="56" applyNumberFormat="1" applyFont="1" applyFill="1" applyBorder="1" applyAlignment="1" applyProtection="1">
      <alignment horizontal="left" vertical="top" wrapText="1"/>
    </xf>
    <xf numFmtId="0" fontId="31" fillId="0" borderId="24" xfId="56" applyNumberFormat="1" applyFont="1" applyFill="1" applyBorder="1" applyAlignment="1" applyProtection="1">
      <alignment horizontal="left" vertical="top" wrapText="1"/>
    </xf>
    <xf numFmtId="0" fontId="38" fillId="0" borderId="0" xfId="56" applyNumberFormat="1" applyFont="1" applyFill="1" applyBorder="1" applyAlignment="1" applyProtection="1"/>
    <xf numFmtId="0" fontId="35" fillId="0" borderId="21" xfId="56" applyNumberFormat="1" applyFont="1" applyFill="1" applyBorder="1" applyAlignment="1" applyProtection="1">
      <alignment horizontal="left" vertical="top" wrapText="1"/>
    </xf>
    <xf numFmtId="0" fontId="38" fillId="0" borderId="0" xfId="0" applyFont="1"/>
    <xf numFmtId="0" fontId="33" fillId="0" borderId="0" xfId="0" applyFont="1"/>
    <xf numFmtId="0" fontId="33" fillId="0" borderId="0" xfId="0" applyFont="1" applyAlignment="1">
      <alignment wrapText="1"/>
    </xf>
    <xf numFmtId="0" fontId="32" fillId="0" borderId="18" xfId="55" applyBorder="1"/>
    <xf numFmtId="0" fontId="33" fillId="0" borderId="0" xfId="0" applyFont="1" applyAlignment="1">
      <alignment horizontal="center" vertical="center"/>
    </xf>
    <xf numFmtId="0" fontId="0" fillId="0" borderId="0" xfId="0" applyAlignment="1">
      <alignment horizontal="center" vertical="center"/>
    </xf>
    <xf numFmtId="0" fontId="7" fillId="25" borderId="23" xfId="0" applyFont="1" applyFill="1" applyBorder="1" applyAlignment="1">
      <alignment horizontal="center" vertical="center" wrapText="1"/>
    </xf>
    <xf numFmtId="0" fontId="7" fillId="25" borderId="20" xfId="0" applyFont="1" applyFill="1" applyBorder="1" applyAlignment="1">
      <alignment horizontal="center" vertical="center" wrapText="1"/>
    </xf>
    <xf numFmtId="0" fontId="5" fillId="25" borderId="19" xfId="0" applyNumberFormat="1" applyFont="1" applyFill="1" applyBorder="1" applyAlignment="1" applyProtection="1">
      <alignment horizontal="left" wrapText="1"/>
    </xf>
    <xf numFmtId="0" fontId="7" fillId="25" borderId="19" xfId="0" applyNumberFormat="1" applyFont="1" applyFill="1" applyBorder="1" applyAlignment="1" applyProtection="1">
      <alignment horizontal="left" wrapText="1"/>
    </xf>
    <xf numFmtId="0" fontId="9" fillId="25" borderId="19" xfId="0" applyNumberFormat="1" applyFont="1" applyFill="1" applyBorder="1" applyAlignment="1" applyProtection="1">
      <alignment horizontal="left" wrapText="1" indent="1"/>
    </xf>
    <xf numFmtId="0" fontId="5" fillId="25" borderId="19" xfId="0" applyNumberFormat="1" applyFont="1" applyFill="1" applyBorder="1" applyAlignment="1" applyProtection="1">
      <alignment horizontal="left" vertical="center" wrapText="1"/>
    </xf>
    <xf numFmtId="0" fontId="5" fillId="25" borderId="26" xfId="0" applyNumberFormat="1" applyFont="1" applyFill="1" applyBorder="1" applyAlignment="1" applyProtection="1">
      <alignment horizontal="left" vertical="center" wrapText="1"/>
    </xf>
    <xf numFmtId="166" fontId="35" fillId="0" borderId="22" xfId="56" applyNumberFormat="1" applyFont="1" applyFill="1" applyBorder="1" applyAlignment="1" applyProtection="1">
      <alignment horizontal="right" wrapText="1"/>
    </xf>
    <xf numFmtId="166" fontId="36" fillId="0" borderId="22" xfId="56" applyNumberFormat="1" applyFont="1" applyFill="1" applyBorder="1" applyAlignment="1" applyProtection="1">
      <alignment horizontal="right" wrapText="1"/>
    </xf>
    <xf numFmtId="166" fontId="31" fillId="0" borderId="24" xfId="56" applyNumberFormat="1" applyFont="1" applyFill="1" applyBorder="1" applyAlignment="1" applyProtection="1">
      <alignment horizontal="right" wrapText="1"/>
    </xf>
    <xf numFmtId="0" fontId="33" fillId="0" borderId="0" xfId="59" applyNumberFormat="1" applyFont="1" applyFill="1" applyBorder="1" applyAlignment="1" applyProtection="1"/>
    <xf numFmtId="0" fontId="35" fillId="0" borderId="0" xfId="59" applyNumberFormat="1" applyFont="1" applyFill="1" applyBorder="1" applyAlignment="1" applyProtection="1">
      <alignment vertical="top"/>
    </xf>
    <xf numFmtId="0" fontId="40" fillId="0" borderId="0" xfId="59" applyFont="1" applyBorder="1" applyAlignment="1">
      <alignment vertical="top" wrapText="1"/>
    </xf>
    <xf numFmtId="0" fontId="38" fillId="0" borderId="0" xfId="59" applyNumberFormat="1" applyFont="1" applyFill="1" applyBorder="1" applyAlignment="1" applyProtection="1"/>
    <xf numFmtId="0" fontId="31" fillId="0" borderId="21" xfId="59" applyNumberFormat="1" applyFont="1" applyFill="1" applyBorder="1" applyAlignment="1" applyProtection="1">
      <alignment horizontal="left" vertical="top" wrapText="1"/>
    </xf>
    <xf numFmtId="0" fontId="35" fillId="0" borderId="24" xfId="59" applyNumberFormat="1" applyFont="1" applyFill="1" applyBorder="1" applyAlignment="1" applyProtection="1">
      <alignment horizontal="left" vertical="top" wrapText="1"/>
    </xf>
    <xf numFmtId="0" fontId="35" fillId="0" borderId="22" xfId="59" applyNumberFormat="1" applyFont="1" applyFill="1" applyBorder="1" applyAlignment="1" applyProtection="1">
      <alignment horizontal="left" vertical="top" wrapText="1"/>
    </xf>
    <xf numFmtId="0" fontId="31" fillId="0" borderId="37" xfId="59" applyNumberFormat="1" applyFont="1" applyFill="1" applyBorder="1" applyAlignment="1" applyProtection="1">
      <alignment horizontal="center" wrapText="1"/>
    </xf>
    <xf numFmtId="0" fontId="31" fillId="0" borderId="0" xfId="59" applyNumberFormat="1" applyFont="1" applyFill="1" applyBorder="1" applyAlignment="1" applyProtection="1">
      <alignment vertical="top"/>
    </xf>
    <xf numFmtId="0" fontId="33" fillId="0" borderId="0" xfId="59" applyFont="1"/>
    <xf numFmtId="9" fontId="5" fillId="0" borderId="0" xfId="60" applyFont="1"/>
    <xf numFmtId="0" fontId="38" fillId="0" borderId="38" xfId="59" applyFont="1" applyBorder="1"/>
    <xf numFmtId="0" fontId="33" fillId="0" borderId="38" xfId="59" applyFont="1" applyBorder="1"/>
    <xf numFmtId="0" fontId="33" fillId="0" borderId="39" xfId="59" applyFont="1" applyBorder="1"/>
    <xf numFmtId="0" fontId="38" fillId="0" borderId="0" xfId="59" applyFont="1"/>
    <xf numFmtId="166" fontId="31" fillId="0" borderId="20" xfId="59" applyNumberFormat="1" applyFont="1" applyFill="1" applyBorder="1" applyAlignment="1" applyProtection="1">
      <alignment horizontal="right" wrapText="1"/>
    </xf>
    <xf numFmtId="166" fontId="31" fillId="0" borderId="23" xfId="59" applyNumberFormat="1" applyFont="1" applyFill="1" applyBorder="1" applyAlignment="1" applyProtection="1">
      <alignment horizontal="right" wrapText="1"/>
    </xf>
    <xf numFmtId="166" fontId="31" fillId="0" borderId="21" xfId="59" applyNumberFormat="1" applyFont="1" applyFill="1" applyBorder="1" applyAlignment="1" applyProtection="1">
      <alignment horizontal="right" wrapText="1"/>
    </xf>
    <xf numFmtId="166" fontId="35" fillId="0" borderId="35" xfId="59" applyNumberFormat="1" applyFont="1" applyFill="1" applyBorder="1" applyAlignment="1" applyProtection="1">
      <alignment horizontal="right" wrapText="1"/>
    </xf>
    <xf numFmtId="166" fontId="35" fillId="0" borderId="19" xfId="59" applyNumberFormat="1" applyFont="1" applyFill="1" applyBorder="1" applyAlignment="1" applyProtection="1">
      <alignment horizontal="right" wrapText="1"/>
    </xf>
    <xf numFmtId="166" fontId="35" fillId="0" borderId="22" xfId="59" applyNumberFormat="1" applyFont="1" applyFill="1" applyBorder="1" applyAlignment="1" applyProtection="1">
      <alignment horizontal="right" wrapText="1"/>
    </xf>
    <xf numFmtId="166" fontId="35" fillId="0" borderId="25" xfId="59" applyNumberFormat="1" applyFont="1" applyFill="1" applyBorder="1" applyAlignment="1" applyProtection="1">
      <alignment horizontal="right" wrapText="1"/>
    </xf>
    <xf numFmtId="166" fontId="35" fillId="0" borderId="34" xfId="59" applyNumberFormat="1" applyFont="1" applyFill="1" applyBorder="1" applyAlignment="1" applyProtection="1">
      <alignment horizontal="right" wrapText="1"/>
    </xf>
    <xf numFmtId="166" fontId="35" fillId="0" borderId="24" xfId="59" applyNumberFormat="1" applyFont="1" applyFill="1" applyBorder="1" applyAlignment="1" applyProtection="1">
      <alignment horizontal="right" wrapText="1"/>
    </xf>
    <xf numFmtId="0" fontId="7" fillId="25" borderId="0" xfId="65" applyFont="1" applyFill="1" applyBorder="1" applyAlignment="1"/>
    <xf numFmtId="0" fontId="7" fillId="25" borderId="46" xfId="58" applyNumberFormat="1" applyFont="1" applyFill="1" applyBorder="1" applyAlignment="1" applyProtection="1">
      <alignment horizontal="left" wrapText="1"/>
    </xf>
    <xf numFmtId="0" fontId="5" fillId="25" borderId="19" xfId="58" applyNumberFormat="1" applyFont="1" applyFill="1" applyBorder="1" applyAlignment="1" applyProtection="1">
      <alignment horizontal="left" wrapText="1"/>
    </xf>
    <xf numFmtId="0" fontId="5" fillId="25" borderId="34" xfId="58" applyNumberFormat="1" applyFont="1" applyFill="1" applyBorder="1" applyAlignment="1" applyProtection="1">
      <alignment horizontal="left" wrapText="1"/>
    </xf>
    <xf numFmtId="0" fontId="7" fillId="25" borderId="51" xfId="58" applyNumberFormat="1" applyFont="1" applyFill="1" applyBorder="1" applyAlignment="1" applyProtection="1">
      <alignment horizontal="left" wrapText="1"/>
    </xf>
    <xf numFmtId="0" fontId="5" fillId="25" borderId="52" xfId="58" applyNumberFormat="1" applyFont="1" applyFill="1" applyBorder="1" applyAlignment="1" applyProtection="1">
      <alignment horizontal="left" wrapText="1"/>
    </xf>
    <xf numFmtId="0" fontId="5" fillId="25" borderId="53" xfId="58" applyNumberFormat="1" applyFont="1" applyFill="1" applyBorder="1" applyAlignment="1" applyProtection="1">
      <alignment horizontal="left" wrapText="1"/>
    </xf>
    <xf numFmtId="0" fontId="7" fillId="25" borderId="54" xfId="58" applyNumberFormat="1" applyFont="1" applyFill="1" applyBorder="1" applyAlignment="1" applyProtection="1">
      <alignment horizontal="left" wrapText="1"/>
    </xf>
    <xf numFmtId="0" fontId="5" fillId="25" borderId="55" xfId="58" applyNumberFormat="1" applyFont="1" applyFill="1" applyBorder="1" applyAlignment="1" applyProtection="1">
      <alignment horizontal="left" wrapText="1"/>
    </xf>
    <xf numFmtId="0" fontId="5" fillId="25" borderId="51" xfId="58" applyNumberFormat="1" applyFont="1" applyFill="1" applyBorder="1" applyAlignment="1" applyProtection="1">
      <alignment horizontal="left" wrapText="1"/>
    </xf>
    <xf numFmtId="0" fontId="35" fillId="25" borderId="0" xfId="58" applyFont="1" applyFill="1"/>
    <xf numFmtId="0" fontId="5" fillId="25" borderId="0" xfId="58" applyFont="1" applyFill="1" applyAlignment="1"/>
    <xf numFmtId="0" fontId="5" fillId="25" borderId="0" xfId="65" applyFont="1" applyFill="1" applyAlignment="1"/>
    <xf numFmtId="0" fontId="5" fillId="25" borderId="0" xfId="58" applyNumberFormat="1" applyFont="1" applyFill="1" applyBorder="1" applyAlignment="1" applyProtection="1">
      <alignment vertical="top"/>
    </xf>
    <xf numFmtId="0" fontId="0" fillId="25" borderId="0" xfId="0" applyFill="1"/>
    <xf numFmtId="0" fontId="38" fillId="25" borderId="0" xfId="59" applyNumberFormat="1" applyFont="1" applyFill="1" applyBorder="1" applyAlignment="1" applyProtection="1"/>
    <xf numFmtId="0" fontId="33" fillId="25" borderId="0" xfId="59" applyNumberFormat="1" applyFont="1" applyFill="1" applyBorder="1" applyAlignment="1" applyProtection="1"/>
    <xf numFmtId="0" fontId="31" fillId="25" borderId="47" xfId="59" applyNumberFormat="1" applyFont="1" applyFill="1" applyBorder="1" applyAlignment="1" applyProtection="1">
      <alignment horizontal="center" wrapText="1"/>
    </xf>
    <xf numFmtId="0" fontId="31" fillId="25" borderId="49" xfId="59" applyNumberFormat="1" applyFont="1" applyFill="1" applyBorder="1" applyAlignment="1" applyProtection="1">
      <alignment horizontal="left" vertical="top" wrapText="1"/>
    </xf>
    <xf numFmtId="0" fontId="35" fillId="25" borderId="22" xfId="59" applyNumberFormat="1" applyFont="1" applyFill="1" applyBorder="1" applyAlignment="1" applyProtection="1">
      <alignment horizontal="left" vertical="top" wrapText="1"/>
    </xf>
    <xf numFmtId="3" fontId="35" fillId="25" borderId="35" xfId="59" applyNumberFormat="1" applyFont="1" applyFill="1" applyBorder="1" applyAlignment="1" applyProtection="1">
      <alignment horizontal="right" wrapText="1"/>
    </xf>
    <xf numFmtId="3" fontId="35" fillId="25" borderId="0" xfId="59" applyNumberFormat="1" applyFont="1" applyFill="1" applyBorder="1" applyAlignment="1" applyProtection="1">
      <alignment horizontal="right" wrapText="1"/>
    </xf>
    <xf numFmtId="3" fontId="35" fillId="25" borderId="45" xfId="59" applyNumberFormat="1" applyFont="1" applyFill="1" applyBorder="1" applyAlignment="1" applyProtection="1">
      <alignment horizontal="right" wrapText="1"/>
    </xf>
    <xf numFmtId="3" fontId="31" fillId="25" borderId="0" xfId="59" applyNumberFormat="1" applyFont="1" applyFill="1" applyBorder="1" applyAlignment="1" applyProtection="1">
      <alignment horizontal="right" wrapText="1"/>
    </xf>
    <xf numFmtId="0" fontId="35" fillId="25" borderId="24" xfId="59" applyNumberFormat="1" applyFont="1" applyFill="1" applyBorder="1" applyAlignment="1" applyProtection="1">
      <alignment horizontal="left" vertical="top" wrapText="1"/>
    </xf>
    <xf numFmtId="0" fontId="31" fillId="25" borderId="29" xfId="59" applyNumberFormat="1" applyFont="1" applyFill="1" applyBorder="1" applyAlignment="1" applyProtection="1">
      <alignment horizontal="left" vertical="top" wrapText="1"/>
    </xf>
    <xf numFmtId="0" fontId="31" fillId="25" borderId="30" xfId="59" applyNumberFormat="1" applyFont="1" applyFill="1" applyBorder="1" applyAlignment="1" applyProtection="1">
      <alignment horizontal="left" vertical="top" wrapText="1"/>
    </xf>
    <xf numFmtId="0" fontId="36" fillId="25" borderId="0" xfId="59" applyNumberFormat="1" applyFont="1" applyFill="1" applyBorder="1" applyAlignment="1" applyProtection="1">
      <alignment vertical="top"/>
    </xf>
    <xf numFmtId="0" fontId="35" fillId="25" borderId="0" xfId="59" applyNumberFormat="1" applyFont="1" applyFill="1" applyBorder="1" applyAlignment="1" applyProtection="1">
      <alignment vertical="top"/>
    </xf>
    <xf numFmtId="3" fontId="35" fillId="25" borderId="19" xfId="59" applyNumberFormat="1" applyFont="1" applyFill="1" applyBorder="1" applyAlignment="1" applyProtection="1">
      <alignment horizontal="right" wrapText="1"/>
    </xf>
    <xf numFmtId="3" fontId="35" fillId="25" borderId="34" xfId="59" applyNumberFormat="1" applyFont="1" applyFill="1" applyBorder="1" applyAlignment="1" applyProtection="1">
      <alignment horizontal="right" wrapText="1"/>
    </xf>
    <xf numFmtId="3" fontId="31" fillId="25" borderId="19" xfId="59" applyNumberFormat="1" applyFont="1" applyFill="1" applyBorder="1" applyAlignment="1" applyProtection="1">
      <alignment horizontal="right" wrapText="1"/>
    </xf>
    <xf numFmtId="0" fontId="32" fillId="0" borderId="56" xfId="55" applyBorder="1"/>
    <xf numFmtId="0" fontId="5" fillId="0" borderId="18" xfId="0" applyFont="1" applyBorder="1" applyAlignment="1">
      <alignment horizontal="center" vertical="center"/>
    </xf>
    <xf numFmtId="0" fontId="5" fillId="0" borderId="0" xfId="66"/>
    <xf numFmtId="0" fontId="7" fillId="25" borderId="0" xfId="66" applyFont="1" applyFill="1" applyBorder="1" applyAlignment="1">
      <alignment horizontal="left" vertical="center" wrapText="1"/>
    </xf>
    <xf numFmtId="0" fontId="33" fillId="0" borderId="56" xfId="59" applyFont="1" applyBorder="1"/>
    <xf numFmtId="0" fontId="38" fillId="0" borderId="56" xfId="59" applyFont="1" applyBorder="1" applyAlignment="1">
      <alignment horizontal="center" vertical="center"/>
    </xf>
    <xf numFmtId="0" fontId="0" fillId="0" borderId="56" xfId="0" applyBorder="1" applyAlignment="1">
      <alignment horizontal="center" vertical="center"/>
    </xf>
    <xf numFmtId="0" fontId="5" fillId="0" borderId="56" xfId="0" applyFont="1" applyBorder="1" applyAlignment="1">
      <alignment horizontal="center" vertical="center"/>
    </xf>
    <xf numFmtId="0" fontId="7" fillId="25" borderId="0" xfId="66" applyFont="1" applyFill="1" applyBorder="1" applyAlignment="1">
      <alignment vertical="center"/>
    </xf>
    <xf numFmtId="0" fontId="35" fillId="0" borderId="0" xfId="56" applyNumberFormat="1" applyFont="1" applyFill="1" applyBorder="1" applyAlignment="1" applyProtection="1">
      <alignment vertical="center"/>
    </xf>
    <xf numFmtId="0" fontId="5" fillId="0" borderId="0" xfId="66" applyFont="1"/>
    <xf numFmtId="0" fontId="7" fillId="26" borderId="49" xfId="66" applyNumberFormat="1" applyFont="1" applyFill="1" applyBorder="1" applyAlignment="1" applyProtection="1">
      <alignment horizontal="left" vertical="center" wrapText="1"/>
    </xf>
    <xf numFmtId="165" fontId="7" fillId="25" borderId="46" xfId="66" applyNumberFormat="1" applyFont="1" applyFill="1" applyBorder="1" applyAlignment="1" applyProtection="1">
      <alignment horizontal="center" vertical="center" wrapText="1"/>
    </xf>
    <xf numFmtId="0" fontId="7" fillId="26" borderId="22" xfId="66" applyNumberFormat="1" applyFont="1" applyFill="1" applyBorder="1" applyAlignment="1" applyProtection="1">
      <alignment horizontal="left" vertical="center" wrapText="1"/>
    </xf>
    <xf numFmtId="165" fontId="7" fillId="25" borderId="19" xfId="66" applyNumberFormat="1" applyFont="1" applyFill="1" applyBorder="1" applyAlignment="1" applyProtection="1">
      <alignment horizontal="center" vertical="center" wrapText="1"/>
    </xf>
    <xf numFmtId="0" fontId="5" fillId="26" borderId="22" xfId="66" applyNumberFormat="1" applyFont="1" applyFill="1" applyBorder="1" applyAlignment="1" applyProtection="1">
      <alignment horizontal="left" vertical="center" wrapText="1" indent="1"/>
    </xf>
    <xf numFmtId="165" fontId="5" fillId="25" borderId="19" xfId="66" applyNumberFormat="1" applyFont="1" applyFill="1" applyBorder="1" applyAlignment="1" applyProtection="1">
      <alignment horizontal="center" vertical="center" wrapText="1"/>
    </xf>
    <xf numFmtId="0" fontId="5" fillId="25" borderId="19" xfId="66" applyNumberFormat="1" applyFont="1" applyFill="1" applyBorder="1" applyAlignment="1" applyProtection="1">
      <alignment horizontal="left" vertical="center" wrapText="1" indent="1"/>
    </xf>
    <xf numFmtId="0" fontId="7" fillId="26" borderId="56" xfId="66" applyNumberFormat="1" applyFont="1" applyFill="1" applyBorder="1" applyAlignment="1" applyProtection="1">
      <alignment horizontal="left" vertical="center" wrapText="1"/>
    </xf>
    <xf numFmtId="165" fontId="7" fillId="25" borderId="56" xfId="66" applyNumberFormat="1" applyFont="1" applyFill="1" applyBorder="1" applyAlignment="1" applyProtection="1">
      <alignment horizontal="center" vertical="center" wrapText="1"/>
    </xf>
    <xf numFmtId="0" fontId="5" fillId="0" borderId="0" xfId="66" applyFont="1" applyBorder="1" applyAlignment="1">
      <alignment horizontal="left" vertical="center" wrapText="1"/>
    </xf>
    <xf numFmtId="0" fontId="7" fillId="0" borderId="0" xfId="66" applyFont="1" applyBorder="1" applyAlignment="1">
      <alignment horizontal="left" vertical="center" wrapText="1"/>
    </xf>
    <xf numFmtId="165" fontId="7" fillId="0" borderId="0" xfId="66" applyNumberFormat="1" applyFont="1" applyBorder="1" applyAlignment="1">
      <alignment horizontal="left" vertical="center" wrapText="1"/>
    </xf>
    <xf numFmtId="0" fontId="5" fillId="0" borderId="46" xfId="66" applyFont="1" applyBorder="1" applyAlignment="1">
      <alignment horizontal="center"/>
    </xf>
    <xf numFmtId="0" fontId="7" fillId="26" borderId="56" xfId="66" applyNumberFormat="1" applyFont="1" applyFill="1" applyBorder="1" applyAlignment="1" applyProtection="1">
      <alignment horizontal="left" vertical="center" wrapText="1" indent="1"/>
    </xf>
    <xf numFmtId="165" fontId="7" fillId="25" borderId="34" xfId="66" applyNumberFormat="1" applyFont="1" applyFill="1" applyBorder="1" applyAlignment="1" applyProtection="1">
      <alignment horizontal="center" vertical="center" wrapText="1"/>
    </xf>
    <xf numFmtId="0" fontId="5" fillId="25" borderId="0" xfId="65" applyFont="1" applyFill="1" applyBorder="1" applyAlignment="1"/>
    <xf numFmtId="0" fontId="32" fillId="0" borderId="0" xfId="55" applyBorder="1"/>
    <xf numFmtId="0" fontId="5" fillId="0" borderId="0" xfId="0" applyFont="1" applyBorder="1" applyAlignment="1">
      <alignment horizontal="center" vertical="center"/>
    </xf>
    <xf numFmtId="0" fontId="5" fillId="0" borderId="0" xfId="0" applyFont="1" applyBorder="1" applyAlignment="1">
      <alignment horizontal="center"/>
    </xf>
    <xf numFmtId="0" fontId="31" fillId="25" borderId="0" xfId="68" applyNumberFormat="1" applyFont="1" applyFill="1" applyBorder="1" applyAlignment="1" applyProtection="1">
      <alignment vertical="center"/>
    </xf>
    <xf numFmtId="0" fontId="33" fillId="25" borderId="0" xfId="68" applyFont="1" applyFill="1"/>
    <xf numFmtId="0" fontId="33" fillId="25" borderId="49" xfId="68" applyFont="1" applyFill="1" applyBorder="1"/>
    <xf numFmtId="0" fontId="33" fillId="25" borderId="50" xfId="68" applyFont="1" applyFill="1" applyBorder="1"/>
    <xf numFmtId="168" fontId="33" fillId="25" borderId="46" xfId="69" applyNumberFormat="1" applyFont="1" applyFill="1" applyBorder="1" applyAlignment="1">
      <alignment horizontal="center" vertical="center"/>
    </xf>
    <xf numFmtId="0" fontId="41" fillId="25" borderId="35" xfId="68" applyFont="1" applyFill="1" applyBorder="1" applyAlignment="1">
      <alignment horizontal="left" wrapText="1" indent="1"/>
    </xf>
    <xf numFmtId="168" fontId="41" fillId="25" borderId="19" xfId="69" applyNumberFormat="1" applyFont="1" applyFill="1" applyBorder="1" applyAlignment="1">
      <alignment horizontal="center" vertical="center"/>
    </xf>
    <xf numFmtId="0" fontId="41" fillId="25" borderId="35" xfId="68" applyFont="1" applyFill="1" applyBorder="1" applyAlignment="1">
      <alignment horizontal="left" indent="1"/>
    </xf>
    <xf numFmtId="0" fontId="33" fillId="25" borderId="35" xfId="68" applyFont="1" applyFill="1" applyBorder="1"/>
    <xf numFmtId="168" fontId="33" fillId="25" borderId="19" xfId="69" applyNumberFormat="1" applyFont="1" applyFill="1" applyBorder="1" applyAlignment="1">
      <alignment horizontal="center" vertical="center"/>
    </xf>
    <xf numFmtId="0" fontId="38" fillId="25" borderId="39" xfId="68" applyFont="1" applyFill="1" applyBorder="1"/>
    <xf numFmtId="168" fontId="38" fillId="25" borderId="34" xfId="69" applyNumberFormat="1" applyFont="1" applyFill="1" applyBorder="1" applyAlignment="1">
      <alignment horizontal="center" vertical="center"/>
    </xf>
    <xf numFmtId="0" fontId="33" fillId="25" borderId="50" xfId="68" applyFont="1" applyFill="1" applyBorder="1" applyAlignment="1">
      <alignment horizontal="left"/>
    </xf>
    <xf numFmtId="0" fontId="38" fillId="25" borderId="48" xfId="68" applyFont="1" applyFill="1" applyBorder="1"/>
    <xf numFmtId="168" fontId="38" fillId="25" borderId="56" xfId="69" applyNumberFormat="1" applyFont="1" applyFill="1" applyBorder="1" applyAlignment="1">
      <alignment horizontal="center" vertical="center"/>
    </xf>
    <xf numFmtId="168" fontId="33" fillId="25" borderId="0" xfId="68" applyNumberFormat="1" applyFont="1" applyFill="1"/>
    <xf numFmtId="0" fontId="38" fillId="0" borderId="56" xfId="59" applyFont="1" applyBorder="1"/>
    <xf numFmtId="0" fontId="6" fillId="25" borderId="0" xfId="67" applyFont="1" applyFill="1" applyAlignment="1">
      <alignment horizontal="left" vertical="center"/>
    </xf>
    <xf numFmtId="0" fontId="6" fillId="0" borderId="0" xfId="66" applyFont="1" applyAlignment="1">
      <alignment horizontal="left" vertical="center"/>
    </xf>
    <xf numFmtId="0" fontId="46" fillId="0" borderId="0" xfId="66" applyFont="1" applyBorder="1" applyAlignment="1">
      <alignment horizontal="left" vertical="center"/>
    </xf>
    <xf numFmtId="0" fontId="46" fillId="0" borderId="0" xfId="66" applyFont="1" applyAlignment="1">
      <alignment horizontal="left" vertical="center"/>
    </xf>
    <xf numFmtId="0" fontId="46" fillId="25" borderId="0" xfId="66" applyFont="1" applyFill="1" applyAlignment="1">
      <alignment horizontal="left" vertical="center"/>
    </xf>
    <xf numFmtId="0" fontId="6" fillId="0" borderId="0" xfId="66" applyFont="1" applyAlignment="1">
      <alignment vertical="center"/>
    </xf>
    <xf numFmtId="0" fontId="5" fillId="0" borderId="0" xfId="66" applyAlignment="1">
      <alignment vertical="center"/>
    </xf>
    <xf numFmtId="0" fontId="6" fillId="0" borderId="0" xfId="66" applyFont="1" applyBorder="1" applyAlignment="1">
      <alignment vertical="center"/>
    </xf>
    <xf numFmtId="0" fontId="46" fillId="25" borderId="0" xfId="0" applyFont="1" applyFill="1" applyBorder="1" applyAlignment="1">
      <alignment vertical="center"/>
    </xf>
    <xf numFmtId="0" fontId="9" fillId="25" borderId="0" xfId="0" applyFont="1" applyFill="1" applyBorder="1" applyAlignment="1">
      <alignment horizontal="left" vertical="center" wrapText="1"/>
    </xf>
    <xf numFmtId="0" fontId="5" fillId="25" borderId="0" xfId="0" applyFont="1" applyFill="1" applyAlignment="1">
      <alignment vertical="center"/>
    </xf>
    <xf numFmtId="0" fontId="5" fillId="25" borderId="0" xfId="0" applyFont="1" applyFill="1" applyAlignment="1">
      <alignment horizontal="left" vertical="center" wrapText="1"/>
    </xf>
    <xf numFmtId="0" fontId="5" fillId="25" borderId="0" xfId="0" applyFont="1" applyFill="1" applyAlignment="1">
      <alignment horizontal="justify" vertical="center" wrapText="1"/>
    </xf>
    <xf numFmtId="0" fontId="5" fillId="25" borderId="0" xfId="0" applyFont="1" applyFill="1" applyBorder="1" applyAlignment="1">
      <alignment horizontal="left" vertical="center" wrapText="1"/>
    </xf>
    <xf numFmtId="0" fontId="43" fillId="0" borderId="0" xfId="56" applyNumberFormat="1" applyFont="1" applyFill="1" applyBorder="1" applyAlignment="1" applyProtection="1">
      <alignment vertical="center"/>
    </xf>
    <xf numFmtId="0" fontId="44" fillId="0" borderId="0" xfId="56" applyNumberFormat="1" applyFont="1" applyFill="1" applyBorder="1" applyAlignment="1" applyProtection="1">
      <alignment vertical="center"/>
    </xf>
    <xf numFmtId="0" fontId="33" fillId="0" borderId="0" xfId="56" applyNumberFormat="1" applyFont="1" applyFill="1" applyBorder="1" applyAlignment="1" applyProtection="1">
      <alignment vertical="center"/>
    </xf>
    <xf numFmtId="0" fontId="45" fillId="0" borderId="0" xfId="56" applyNumberFormat="1" applyFont="1" applyFill="1" applyBorder="1" applyAlignment="1" applyProtection="1">
      <alignment vertical="center"/>
    </xf>
    <xf numFmtId="0" fontId="47" fillId="25" borderId="0" xfId="68" applyFont="1" applyFill="1" applyAlignment="1">
      <alignment vertical="center"/>
    </xf>
    <xf numFmtId="0" fontId="45" fillId="0" borderId="0" xfId="59" applyNumberFormat="1" applyFont="1" applyFill="1" applyBorder="1" applyAlignment="1" applyProtection="1">
      <alignment vertical="center"/>
    </xf>
    <xf numFmtId="0" fontId="44" fillId="0" borderId="0" xfId="59" applyNumberFormat="1" applyFont="1" applyFill="1" applyBorder="1" applyAlignment="1" applyProtection="1">
      <alignment vertical="center"/>
    </xf>
    <xf numFmtId="0" fontId="46" fillId="25" borderId="0" xfId="58" applyFont="1" applyFill="1" applyAlignment="1">
      <alignment horizontal="left"/>
    </xf>
    <xf numFmtId="0" fontId="46" fillId="25" borderId="0" xfId="58" applyFont="1" applyFill="1" applyAlignment="1">
      <alignment horizontal="left" vertical="center"/>
    </xf>
    <xf numFmtId="0" fontId="43" fillId="25" borderId="0" xfId="59" applyNumberFormat="1" applyFont="1" applyFill="1" applyBorder="1" applyAlignment="1" applyProtection="1">
      <alignment vertical="center"/>
    </xf>
    <xf numFmtId="0" fontId="47" fillId="0" borderId="0" xfId="59" applyFont="1" applyAlignment="1">
      <alignment vertical="center"/>
    </xf>
    <xf numFmtId="0" fontId="33" fillId="0" borderId="46" xfId="0" applyFont="1" applyBorder="1" applyAlignment="1">
      <alignment horizontal="center" vertical="top" wrapText="1"/>
    </xf>
    <xf numFmtId="0" fontId="33" fillId="0" borderId="23" xfId="0" applyFont="1" applyBorder="1" applyAlignment="1">
      <alignment horizontal="center" vertical="top" wrapText="1"/>
    </xf>
    <xf numFmtId="0" fontId="38" fillId="0" borderId="0" xfId="0" applyFont="1" applyAlignment="1">
      <alignment horizontal="center"/>
    </xf>
    <xf numFmtId="0" fontId="6" fillId="25" borderId="0" xfId="0" applyFont="1" applyFill="1" applyAlignment="1">
      <alignment vertical="center"/>
    </xf>
    <xf numFmtId="0" fontId="38" fillId="25" borderId="58" xfId="68" applyFont="1" applyFill="1" applyBorder="1" applyAlignment="1">
      <alignment horizontal="center"/>
    </xf>
    <xf numFmtId="0" fontId="38" fillId="25" borderId="58" xfId="68" applyFont="1" applyFill="1" applyBorder="1" applyAlignment="1">
      <alignment vertical="center"/>
    </xf>
    <xf numFmtId="166" fontId="35" fillId="0" borderId="19" xfId="56" applyNumberFormat="1" applyFont="1" applyFill="1" applyBorder="1" applyAlignment="1" applyProtection="1">
      <alignment horizontal="right" wrapText="1"/>
    </xf>
    <xf numFmtId="166" fontId="36" fillId="0" borderId="19" xfId="56" applyNumberFormat="1" applyFont="1" applyFill="1" applyBorder="1" applyAlignment="1" applyProtection="1">
      <alignment horizontal="right" wrapText="1"/>
    </xf>
    <xf numFmtId="166" fontId="31" fillId="0" borderId="34" xfId="56" applyNumberFormat="1" applyFont="1" applyFill="1" applyBorder="1" applyAlignment="1" applyProtection="1">
      <alignment horizontal="right" wrapText="1"/>
    </xf>
    <xf numFmtId="165" fontId="7" fillId="25" borderId="46" xfId="66" applyNumberFormat="1" applyFont="1" applyFill="1" applyBorder="1" applyAlignment="1" applyProtection="1">
      <alignment horizontal="right" vertical="center" wrapText="1" indent="2"/>
    </xf>
    <xf numFmtId="165" fontId="7" fillId="0" borderId="50" xfId="66" applyNumberFormat="1" applyFont="1" applyFill="1" applyBorder="1" applyAlignment="1" applyProtection="1">
      <alignment horizontal="right" vertical="center" wrapText="1" indent="2"/>
    </xf>
    <xf numFmtId="165" fontId="7" fillId="25" borderId="19" xfId="66" applyNumberFormat="1" applyFont="1" applyFill="1" applyBorder="1" applyAlignment="1" applyProtection="1">
      <alignment horizontal="right" vertical="center" wrapText="1" indent="2"/>
    </xf>
    <xf numFmtId="165" fontId="7" fillId="0" borderId="35" xfId="66" applyNumberFormat="1" applyFont="1" applyFill="1" applyBorder="1" applyAlignment="1" applyProtection="1">
      <alignment horizontal="right" vertical="center" wrapText="1" indent="2"/>
    </xf>
    <xf numFmtId="165" fontId="7" fillId="25" borderId="35" xfId="66" applyNumberFormat="1" applyFont="1" applyFill="1" applyBorder="1" applyAlignment="1" applyProtection="1">
      <alignment horizontal="right" vertical="center" wrapText="1" indent="2"/>
    </xf>
    <xf numFmtId="165" fontId="5" fillId="25" borderId="19" xfId="66" applyNumberFormat="1" applyFont="1" applyFill="1" applyBorder="1" applyAlignment="1" applyProtection="1">
      <alignment horizontal="right" vertical="center" wrapText="1" indent="2"/>
    </xf>
    <xf numFmtId="165" fontId="5" fillId="0" borderId="35" xfId="66" applyNumberFormat="1" applyFont="1" applyFill="1" applyBorder="1" applyAlignment="1" applyProtection="1">
      <alignment horizontal="right" vertical="center" wrapText="1" indent="2"/>
    </xf>
    <xf numFmtId="165" fontId="5" fillId="25" borderId="35" xfId="66" applyNumberFormat="1" applyFont="1" applyFill="1" applyBorder="1" applyAlignment="1" applyProtection="1">
      <alignment horizontal="right" vertical="center" wrapText="1" indent="2"/>
    </xf>
    <xf numFmtId="165" fontId="7" fillId="25" borderId="34" xfId="66" applyNumberFormat="1" applyFont="1" applyFill="1" applyBorder="1" applyAlignment="1" applyProtection="1">
      <alignment horizontal="right" vertical="center" wrapText="1" indent="2"/>
    </xf>
    <xf numFmtId="165" fontId="7" fillId="0" borderId="44" xfId="66" applyNumberFormat="1" applyFont="1" applyFill="1" applyBorder="1" applyAlignment="1" applyProtection="1">
      <alignment horizontal="right" vertical="center" wrapText="1" indent="2"/>
    </xf>
    <xf numFmtId="165" fontId="7" fillId="25" borderId="44" xfId="66" applyNumberFormat="1" applyFont="1" applyFill="1" applyBorder="1" applyAlignment="1" applyProtection="1">
      <alignment horizontal="right" vertical="center" wrapText="1" indent="2"/>
    </xf>
    <xf numFmtId="165" fontId="7" fillId="25" borderId="56" xfId="66" applyNumberFormat="1" applyFont="1" applyFill="1" applyBorder="1" applyAlignment="1" applyProtection="1">
      <alignment horizontal="right" vertical="center" wrapText="1" indent="2"/>
    </xf>
    <xf numFmtId="165" fontId="7" fillId="0" borderId="48" xfId="66" applyNumberFormat="1" applyFont="1" applyFill="1" applyBorder="1" applyAlignment="1" applyProtection="1">
      <alignment horizontal="right" vertical="center" wrapText="1" indent="2"/>
    </xf>
    <xf numFmtId="166" fontId="31" fillId="0" borderId="57" xfId="59" applyNumberFormat="1" applyFont="1" applyFill="1" applyBorder="1" applyAlignment="1" applyProtection="1">
      <alignment horizontal="right" wrapText="1"/>
    </xf>
    <xf numFmtId="3" fontId="31" fillId="25" borderId="57" xfId="59" applyNumberFormat="1" applyFont="1" applyFill="1" applyBorder="1" applyAlignment="1" applyProtection="1">
      <alignment horizontal="right" wrapText="1"/>
    </xf>
    <xf numFmtId="3" fontId="31" fillId="25" borderId="58" xfId="59" applyNumberFormat="1" applyFont="1" applyFill="1" applyBorder="1" applyAlignment="1" applyProtection="1">
      <alignment horizontal="right" wrapText="1"/>
    </xf>
    <xf numFmtId="165" fontId="38" fillId="0" borderId="56" xfId="59" applyNumberFormat="1" applyFont="1" applyBorder="1"/>
    <xf numFmtId="166" fontId="7" fillId="0" borderId="57" xfId="59" applyNumberFormat="1" applyFont="1" applyFill="1" applyBorder="1" applyAlignment="1" applyProtection="1">
      <alignment horizontal="right" wrapText="1"/>
    </xf>
    <xf numFmtId="166" fontId="7" fillId="0" borderId="21" xfId="59" applyNumberFormat="1" applyFont="1" applyFill="1" applyBorder="1" applyAlignment="1" applyProtection="1">
      <alignment horizontal="right" wrapText="1"/>
    </xf>
    <xf numFmtId="0" fontId="46" fillId="0" borderId="0" xfId="66" applyFont="1" applyBorder="1" applyAlignment="1">
      <alignment vertical="center"/>
    </xf>
    <xf numFmtId="0" fontId="46" fillId="25" borderId="0" xfId="58" applyFont="1" applyFill="1" applyAlignment="1">
      <alignment vertical="center"/>
    </xf>
    <xf numFmtId="0" fontId="46" fillId="25" borderId="0" xfId="58" applyFont="1" applyFill="1" applyAlignment="1"/>
    <xf numFmtId="0" fontId="43" fillId="0" borderId="0" xfId="59" applyNumberFormat="1" applyFont="1" applyFill="1" applyBorder="1" applyAlignment="1" applyProtection="1">
      <alignment vertical="center"/>
    </xf>
    <xf numFmtId="0" fontId="46" fillId="25" borderId="0" xfId="0" applyFont="1" applyFill="1" applyAlignment="1">
      <alignment vertical="center"/>
    </xf>
    <xf numFmtId="0" fontId="48" fillId="25" borderId="0" xfId="0" applyFont="1" applyFill="1"/>
    <xf numFmtId="166" fontId="33" fillId="0" borderId="0" xfId="59" applyNumberFormat="1" applyFont="1" applyFill="1" applyBorder="1" applyAlignment="1" applyProtection="1"/>
    <xf numFmtId="0" fontId="5" fillId="25" borderId="46" xfId="58" applyNumberFormat="1" applyFont="1" applyFill="1" applyBorder="1" applyAlignment="1" applyProtection="1">
      <alignment horizontal="center" wrapText="1"/>
    </xf>
    <xf numFmtId="0" fontId="5" fillId="25" borderId="47" xfId="58" applyNumberFormat="1" applyFont="1" applyFill="1" applyBorder="1" applyAlignment="1" applyProtection="1">
      <alignment horizontal="center" vertical="center" wrapText="1"/>
    </xf>
    <xf numFmtId="166" fontId="5" fillId="0" borderId="19" xfId="56" applyNumberFormat="1" applyFont="1" applyFill="1" applyBorder="1" applyAlignment="1" applyProtection="1">
      <alignment horizontal="right" wrapText="1"/>
    </xf>
    <xf numFmtId="166" fontId="5" fillId="0" borderId="22" xfId="56" applyNumberFormat="1" applyFont="1" applyFill="1" applyBorder="1" applyAlignment="1" applyProtection="1">
      <alignment horizontal="right" wrapText="1"/>
    </xf>
    <xf numFmtId="166" fontId="9" fillId="0" borderId="19" xfId="56" applyNumberFormat="1" applyFont="1" applyFill="1" applyBorder="1" applyAlignment="1" applyProtection="1">
      <alignment horizontal="right" wrapText="1"/>
    </xf>
    <xf numFmtId="0" fontId="0" fillId="25" borderId="22" xfId="0" applyFill="1" applyBorder="1"/>
    <xf numFmtId="0" fontId="5" fillId="25" borderId="0" xfId="59" applyNumberFormat="1" applyFont="1" applyFill="1" applyBorder="1" applyAlignment="1" applyProtection="1"/>
    <xf numFmtId="166" fontId="5" fillId="0" borderId="19" xfId="59" applyNumberFormat="1" applyFont="1" applyFill="1" applyBorder="1" applyAlignment="1" applyProtection="1">
      <alignment horizontal="right" wrapText="1"/>
    </xf>
    <xf numFmtId="166" fontId="5" fillId="0" borderId="22" xfId="59" applyNumberFormat="1" applyFont="1" applyFill="1" applyBorder="1" applyAlignment="1" applyProtection="1">
      <alignment horizontal="right" wrapText="1"/>
    </xf>
    <xf numFmtId="3" fontId="5" fillId="25" borderId="19" xfId="59" applyNumberFormat="1" applyFont="1" applyFill="1" applyBorder="1" applyAlignment="1" applyProtection="1">
      <alignment horizontal="right" wrapText="1"/>
    </xf>
    <xf numFmtId="166" fontId="7" fillId="25" borderId="42" xfId="0" applyNumberFormat="1" applyFont="1" applyFill="1" applyBorder="1" applyAlignment="1" applyProtection="1">
      <alignment horizontal="right" vertical="top" wrapText="1" indent="1"/>
    </xf>
    <xf numFmtId="166" fontId="7" fillId="25" borderId="62" xfId="0" applyNumberFormat="1" applyFont="1" applyFill="1" applyBorder="1" applyAlignment="1" applyProtection="1">
      <alignment horizontal="right" vertical="top" wrapText="1" indent="1"/>
    </xf>
    <xf numFmtId="166" fontId="7" fillId="25" borderId="63" xfId="0" applyNumberFormat="1" applyFont="1" applyFill="1" applyBorder="1" applyAlignment="1" applyProtection="1">
      <alignment horizontal="right" vertical="top" wrapText="1" indent="1"/>
    </xf>
    <xf numFmtId="166" fontId="7" fillId="25" borderId="49" xfId="58" applyNumberFormat="1" applyFont="1" applyFill="1" applyBorder="1" applyAlignment="1">
      <alignment horizontal="right" vertical="center" indent="2"/>
    </xf>
    <xf numFmtId="166" fontId="5" fillId="25" borderId="22" xfId="58" applyNumberFormat="1" applyFont="1" applyFill="1" applyBorder="1" applyAlignment="1">
      <alignment horizontal="right" vertical="center" indent="2"/>
    </xf>
    <xf numFmtId="166" fontId="5" fillId="25" borderId="19" xfId="58" applyNumberFormat="1" applyFont="1" applyFill="1" applyBorder="1" applyAlignment="1">
      <alignment horizontal="right" vertical="center" indent="2"/>
    </xf>
    <xf numFmtId="166" fontId="5" fillId="25" borderId="24" xfId="58" applyNumberFormat="1" applyFont="1" applyFill="1" applyBorder="1" applyAlignment="1">
      <alignment horizontal="right" vertical="center" indent="2"/>
    </xf>
    <xf numFmtId="166" fontId="5" fillId="25" borderId="34" xfId="58" applyNumberFormat="1" applyFont="1" applyFill="1" applyBorder="1" applyAlignment="1">
      <alignment horizontal="right" vertical="center" indent="2"/>
    </xf>
    <xf numFmtId="166" fontId="7" fillId="25" borderId="60" xfId="58" applyNumberFormat="1" applyFont="1" applyFill="1" applyBorder="1" applyAlignment="1">
      <alignment horizontal="right" vertical="center" indent="2"/>
    </xf>
    <xf numFmtId="166" fontId="7" fillId="25" borderId="50" xfId="58" applyNumberFormat="1" applyFont="1" applyFill="1" applyBorder="1" applyAlignment="1">
      <alignment horizontal="right" vertical="center" indent="2"/>
    </xf>
    <xf numFmtId="166" fontId="5" fillId="25" borderId="35" xfId="58" applyNumberFormat="1" applyFont="1" applyFill="1" applyBorder="1" applyAlignment="1">
      <alignment horizontal="right" vertical="center" indent="2"/>
    </xf>
    <xf numFmtId="166" fontId="5" fillId="25" borderId="44" xfId="58" applyNumberFormat="1" applyFont="1" applyFill="1" applyBorder="1" applyAlignment="1">
      <alignment horizontal="right" vertical="center" indent="2"/>
    </xf>
    <xf numFmtId="166" fontId="7" fillId="25" borderId="22" xfId="58" applyNumberFormat="1" applyFont="1" applyFill="1" applyBorder="1" applyAlignment="1">
      <alignment horizontal="right" vertical="center" indent="2"/>
    </xf>
    <xf numFmtId="0" fontId="7" fillId="25" borderId="60" xfId="58" applyNumberFormat="1" applyFont="1" applyFill="1" applyBorder="1" applyAlignment="1" applyProtection="1">
      <alignment horizontal="left" wrapText="1"/>
    </xf>
    <xf numFmtId="166" fontId="5" fillId="25" borderId="22" xfId="0" applyNumberFormat="1" applyFont="1" applyFill="1" applyBorder="1" applyAlignment="1" applyProtection="1">
      <alignment horizontal="right" vertical="top" wrapText="1" indent="1"/>
    </xf>
    <xf numFmtId="166" fontId="5" fillId="25" borderId="24" xfId="0" applyNumberFormat="1" applyFont="1" applyFill="1" applyBorder="1" applyAlignment="1" applyProtection="1">
      <alignment horizontal="right" vertical="top" wrapText="1" indent="1"/>
    </xf>
    <xf numFmtId="166" fontId="5" fillId="25" borderId="42" xfId="0" applyNumberFormat="1" applyFont="1" applyFill="1" applyBorder="1" applyAlignment="1" applyProtection="1">
      <alignment horizontal="right" vertical="top" wrapText="1" indent="1"/>
    </xf>
    <xf numFmtId="0" fontId="5" fillId="25" borderId="60" xfId="58" applyNumberFormat="1" applyFont="1" applyFill="1" applyBorder="1" applyAlignment="1" applyProtection="1">
      <alignment horizontal="center" wrapText="1"/>
    </xf>
    <xf numFmtId="0" fontId="5" fillId="25" borderId="65" xfId="58" applyNumberFormat="1" applyFont="1" applyFill="1" applyBorder="1" applyAlignment="1" applyProtection="1">
      <alignment horizontal="center" vertical="center" wrapText="1"/>
    </xf>
    <xf numFmtId="0" fontId="7" fillId="27" borderId="0" xfId="58" applyFont="1" applyFill="1"/>
    <xf numFmtId="0" fontId="40" fillId="27" borderId="0" xfId="58" applyFont="1" applyFill="1"/>
    <xf numFmtId="0" fontId="5" fillId="27" borderId="59" xfId="58" applyFont="1" applyFill="1" applyBorder="1"/>
    <xf numFmtId="0" fontId="5" fillId="27" borderId="61" xfId="58" applyFont="1" applyFill="1" applyBorder="1"/>
    <xf numFmtId="0" fontId="5" fillId="27" borderId="60" xfId="58" applyFont="1" applyFill="1" applyBorder="1" applyAlignment="1">
      <alignment horizontal="center" vertical="center" wrapText="1"/>
    </xf>
    <xf numFmtId="0" fontId="5" fillId="27" borderId="66" xfId="58" applyFont="1" applyFill="1" applyBorder="1" applyAlignment="1">
      <alignment horizontal="center" vertical="center" wrapText="1"/>
    </xf>
    <xf numFmtId="0" fontId="5" fillId="27" borderId="61" xfId="58" applyFont="1" applyFill="1" applyBorder="1" applyAlignment="1">
      <alignment horizontal="center" vertical="center" wrapText="1"/>
    </xf>
    <xf numFmtId="0" fontId="5" fillId="27" borderId="59" xfId="58" applyFont="1" applyFill="1" applyBorder="1" applyAlignment="1">
      <alignment horizontal="center" vertical="center" wrapText="1"/>
    </xf>
    <xf numFmtId="0" fontId="7" fillId="27" borderId="59" xfId="58" applyFont="1" applyFill="1" applyBorder="1"/>
    <xf numFmtId="0" fontId="5" fillId="27" borderId="60" xfId="58" applyFont="1" applyFill="1" applyBorder="1" applyAlignment="1">
      <alignment horizontal="left" wrapText="1"/>
    </xf>
    <xf numFmtId="166" fontId="5" fillId="27" borderId="66" xfId="58" applyNumberFormat="1" applyFont="1" applyFill="1" applyBorder="1" applyAlignment="1">
      <alignment horizontal="right" indent="1"/>
    </xf>
    <xf numFmtId="166" fontId="5" fillId="27" borderId="60" xfId="58" applyNumberFormat="1" applyFont="1" applyFill="1" applyBorder="1" applyAlignment="1">
      <alignment horizontal="right" indent="1"/>
    </xf>
    <xf numFmtId="0" fontId="5" fillId="27" borderId="22" xfId="58" applyFont="1" applyFill="1" applyBorder="1"/>
    <xf numFmtId="0" fontId="5" fillId="27" borderId="19" xfId="58" applyFont="1" applyFill="1" applyBorder="1" applyAlignment="1">
      <alignment horizontal="left" wrapText="1"/>
    </xf>
    <xf numFmtId="166" fontId="5" fillId="27" borderId="35" xfId="58" applyNumberFormat="1" applyFont="1" applyFill="1" applyBorder="1" applyAlignment="1">
      <alignment horizontal="right" indent="1"/>
    </xf>
    <xf numFmtId="166" fontId="5" fillId="27" borderId="19" xfId="58" applyNumberFormat="1" applyFont="1" applyFill="1" applyBorder="1" applyAlignment="1">
      <alignment horizontal="right" indent="1"/>
    </xf>
    <xf numFmtId="0" fontId="5" fillId="27" borderId="24" xfId="58" applyFont="1" applyFill="1" applyBorder="1"/>
    <xf numFmtId="0" fontId="7" fillId="27" borderId="34" xfId="58" applyFont="1" applyFill="1" applyBorder="1" applyAlignment="1">
      <alignment horizontal="left" wrapText="1"/>
    </xf>
    <xf numFmtId="166" fontId="7" fillId="27" borderId="44" xfId="58" applyNumberFormat="1" applyFont="1" applyFill="1" applyBorder="1" applyAlignment="1">
      <alignment horizontal="right" indent="1"/>
    </xf>
    <xf numFmtId="166" fontId="7" fillId="27" borderId="34" xfId="58" applyNumberFormat="1" applyFont="1" applyFill="1" applyBorder="1" applyAlignment="1">
      <alignment horizontal="right" indent="1"/>
    </xf>
    <xf numFmtId="0" fontId="7" fillId="27" borderId="22" xfId="58" applyFont="1" applyFill="1" applyBorder="1"/>
    <xf numFmtId="0" fontId="7" fillId="27" borderId="19" xfId="58" applyFont="1" applyFill="1" applyBorder="1" applyAlignment="1">
      <alignment horizontal="left" wrapText="1"/>
    </xf>
    <xf numFmtId="166" fontId="7" fillId="27" borderId="19" xfId="58" applyNumberFormat="1" applyFont="1" applyFill="1" applyBorder="1" applyAlignment="1">
      <alignment horizontal="right" indent="1"/>
    </xf>
    <xf numFmtId="0" fontId="55" fillId="27" borderId="0" xfId="58" applyFont="1" applyFill="1"/>
    <xf numFmtId="0" fontId="33" fillId="0" borderId="60" xfId="0" applyFont="1" applyBorder="1" applyAlignment="1">
      <alignment horizontal="center" vertical="top" wrapText="1"/>
    </xf>
    <xf numFmtId="0" fontId="33" fillId="0" borderId="60" xfId="0" applyFont="1" applyBorder="1" applyAlignment="1">
      <alignment horizontal="center" vertical="center" wrapText="1"/>
    </xf>
    <xf numFmtId="3" fontId="5" fillId="0" borderId="19" xfId="59" applyNumberFormat="1" applyFont="1" applyFill="1" applyBorder="1" applyAlignment="1" applyProtection="1">
      <alignment horizontal="right" wrapText="1"/>
    </xf>
    <xf numFmtId="0" fontId="5" fillId="0" borderId="0" xfId="0" applyFont="1" applyFill="1" applyAlignment="1"/>
    <xf numFmtId="168" fontId="7" fillId="25" borderId="34" xfId="69" applyNumberFormat="1" applyFont="1" applyFill="1" applyBorder="1" applyAlignment="1">
      <alignment horizontal="center" vertical="center"/>
    </xf>
    <xf numFmtId="168" fontId="33" fillId="0" borderId="46" xfId="69" applyNumberFormat="1" applyFont="1" applyFill="1" applyBorder="1" applyAlignment="1">
      <alignment horizontal="center" vertical="center"/>
    </xf>
    <xf numFmtId="168" fontId="41" fillId="0" borderId="19" xfId="69" applyNumberFormat="1" applyFont="1" applyFill="1" applyBorder="1" applyAlignment="1">
      <alignment horizontal="center" vertical="center"/>
    </xf>
    <xf numFmtId="168" fontId="33" fillId="0" borderId="19" xfId="69" applyNumberFormat="1" applyFont="1" applyFill="1" applyBorder="1" applyAlignment="1">
      <alignment horizontal="center" vertical="center"/>
    </xf>
    <xf numFmtId="168" fontId="38" fillId="0" borderId="34" xfId="69" applyNumberFormat="1" applyFont="1" applyFill="1" applyBorder="1" applyAlignment="1">
      <alignment horizontal="center" vertical="center"/>
    </xf>
    <xf numFmtId="165" fontId="33" fillId="0" borderId="56" xfId="59" applyNumberFormat="1" applyFont="1" applyBorder="1"/>
    <xf numFmtId="0" fontId="35" fillId="0" borderId="58" xfId="0" applyFont="1" applyBorder="1" applyAlignment="1">
      <alignment vertical="center"/>
    </xf>
    <xf numFmtId="0" fontId="38" fillId="25" borderId="47" xfId="68" applyFont="1" applyFill="1" applyBorder="1" applyAlignment="1">
      <alignment horizontal="right" vertical="top" wrapText="1"/>
    </xf>
    <xf numFmtId="0" fontId="7" fillId="25" borderId="56" xfId="68" applyNumberFormat="1" applyFont="1" applyFill="1" applyBorder="1" applyAlignment="1" applyProtection="1">
      <alignment horizontal="right" vertical="top" wrapText="1"/>
    </xf>
    <xf numFmtId="0" fontId="38" fillId="25" borderId="56" xfId="68" applyFont="1" applyFill="1" applyBorder="1" applyAlignment="1">
      <alignment horizontal="right" vertical="top"/>
    </xf>
    <xf numFmtId="0" fontId="38" fillId="25" borderId="56" xfId="68" applyFont="1" applyFill="1" applyBorder="1" applyAlignment="1">
      <alignment horizontal="right" vertical="top" wrapText="1"/>
    </xf>
    <xf numFmtId="0" fontId="31" fillId="0" borderId="27" xfId="56" applyNumberFormat="1" applyFont="1" applyFill="1" applyBorder="1" applyAlignment="1" applyProtection="1">
      <alignment horizontal="right" vertical="top" wrapText="1"/>
    </xf>
    <xf numFmtId="0" fontId="31" fillId="0" borderId="47" xfId="56" applyNumberFormat="1" applyFont="1" applyFill="1" applyBorder="1" applyAlignment="1" applyProtection="1">
      <alignment horizontal="right" vertical="top" wrapText="1"/>
    </xf>
    <xf numFmtId="0" fontId="31" fillId="0" borderId="58" xfId="56" applyNumberFormat="1" applyFont="1" applyFill="1" applyBorder="1" applyAlignment="1" applyProtection="1">
      <alignment horizontal="right" vertical="top" wrapText="1"/>
    </xf>
    <xf numFmtId="0" fontId="7" fillId="0" borderId="47" xfId="56" applyNumberFormat="1" applyFont="1" applyFill="1" applyBorder="1" applyAlignment="1" applyProtection="1">
      <alignment horizontal="right" vertical="top" wrapText="1"/>
    </xf>
    <xf numFmtId="0" fontId="7" fillId="0" borderId="56" xfId="66" applyNumberFormat="1" applyFont="1" applyFill="1" applyBorder="1" applyAlignment="1" applyProtection="1">
      <alignment horizontal="right" vertical="top"/>
    </xf>
    <xf numFmtId="0" fontId="7" fillId="0" borderId="48" xfId="66" applyNumberFormat="1" applyFont="1" applyFill="1" applyBorder="1" applyAlignment="1" applyProtection="1">
      <alignment horizontal="right" vertical="top"/>
    </xf>
    <xf numFmtId="0" fontId="7" fillId="0" borderId="48" xfId="66" applyNumberFormat="1" applyFont="1" applyFill="1" applyBorder="1" applyAlignment="1" applyProtection="1">
      <alignment horizontal="right" vertical="top" wrapText="1"/>
    </xf>
    <xf numFmtId="0" fontId="31" fillId="0" borderId="36" xfId="59" applyNumberFormat="1" applyFont="1" applyFill="1" applyBorder="1" applyAlignment="1" applyProtection="1">
      <alignment horizontal="right" vertical="top" wrapText="1"/>
    </xf>
    <xf numFmtId="0" fontId="31" fillId="0" borderId="37" xfId="59" applyNumberFormat="1" applyFont="1" applyFill="1" applyBorder="1" applyAlignment="1" applyProtection="1">
      <alignment horizontal="right" vertical="top" wrapText="1"/>
    </xf>
    <xf numFmtId="0" fontId="31" fillId="0" borderId="58" xfId="59" applyNumberFormat="1" applyFont="1" applyFill="1" applyBorder="1" applyAlignment="1" applyProtection="1">
      <alignment horizontal="right" vertical="top" wrapText="1"/>
    </xf>
    <xf numFmtId="0" fontId="31" fillId="25" borderId="58" xfId="59" applyNumberFormat="1" applyFont="1" applyFill="1" applyBorder="1" applyAlignment="1" applyProtection="1">
      <alignment horizontal="right" vertical="top" wrapText="1"/>
    </xf>
    <xf numFmtId="0" fontId="57" fillId="27" borderId="0" xfId="58" applyFont="1" applyFill="1"/>
    <xf numFmtId="0" fontId="40" fillId="27" borderId="61" xfId="58" applyFont="1" applyFill="1" applyBorder="1"/>
    <xf numFmtId="166" fontId="5" fillId="27" borderId="61" xfId="58" applyNumberFormat="1" applyFont="1" applyFill="1" applyBorder="1" applyAlignment="1">
      <alignment horizontal="right" indent="1"/>
    </xf>
    <xf numFmtId="0" fontId="40" fillId="27" borderId="0" xfId="58" applyFont="1" applyFill="1" applyBorder="1"/>
    <xf numFmtId="166" fontId="5" fillId="27" borderId="0" xfId="58" applyNumberFormat="1" applyFont="1" applyFill="1" applyBorder="1" applyAlignment="1">
      <alignment horizontal="right" indent="1"/>
    </xf>
    <xf numFmtId="0" fontId="40" fillId="0" borderId="0" xfId="58" applyFont="1" applyFill="1"/>
    <xf numFmtId="0" fontId="7" fillId="27" borderId="24" xfId="58" applyFont="1" applyFill="1" applyBorder="1"/>
    <xf numFmtId="0" fontId="35" fillId="0" borderId="58" xfId="0" applyFont="1" applyBorder="1" applyAlignment="1">
      <alignment horizontal="center" vertical="center"/>
    </xf>
    <xf numFmtId="0" fontId="5" fillId="0" borderId="0" xfId="66" applyFont="1" applyAlignment="1">
      <alignment vertical="center"/>
    </xf>
    <xf numFmtId="0" fontId="85" fillId="25" borderId="0" xfId="0" applyFont="1" applyFill="1"/>
    <xf numFmtId="0" fontId="11" fillId="0" borderId="0" xfId="58" applyFont="1" applyAlignment="1">
      <alignment vertical="center" wrapText="1"/>
    </xf>
    <xf numFmtId="0" fontId="86" fillId="25" borderId="0" xfId="0" applyFont="1" applyFill="1"/>
    <xf numFmtId="0" fontId="87" fillId="0" borderId="0" xfId="58" applyFont="1" applyAlignment="1">
      <alignment horizontal="justify" vertical="center"/>
    </xf>
    <xf numFmtId="0" fontId="5" fillId="0" borderId="0" xfId="0" applyFont="1"/>
    <xf numFmtId="166" fontId="7" fillId="25" borderId="0" xfId="58" applyNumberFormat="1" applyFont="1" applyFill="1" applyBorder="1"/>
    <xf numFmtId="166" fontId="0" fillId="0" borderId="0" xfId="0" applyNumberFormat="1"/>
    <xf numFmtId="166" fontId="7" fillId="25" borderId="65" xfId="0" applyNumberFormat="1" applyFont="1" applyFill="1" applyBorder="1" applyAlignment="1" applyProtection="1">
      <alignment horizontal="center" wrapText="1"/>
    </xf>
    <xf numFmtId="166" fontId="7" fillId="25" borderId="64" xfId="0" applyNumberFormat="1" applyFont="1" applyFill="1" applyBorder="1" applyAlignment="1" applyProtection="1">
      <alignment horizontal="center" wrapText="1"/>
    </xf>
    <xf numFmtId="166" fontId="5" fillId="25" borderId="21" xfId="0" applyNumberFormat="1" applyFont="1" applyFill="1" applyBorder="1" applyAlignment="1" applyProtection="1">
      <alignment horizontal="center" vertical="center" wrapText="1"/>
    </xf>
    <xf numFmtId="166" fontId="5" fillId="25" borderId="21" xfId="0" applyNumberFormat="1" applyFont="1" applyFill="1" applyBorder="1" applyAlignment="1" applyProtection="1">
      <alignment horizontal="left" wrapText="1"/>
    </xf>
    <xf numFmtId="166" fontId="5" fillId="25" borderId="59" xfId="0" applyNumberFormat="1" applyFont="1" applyFill="1" applyBorder="1" applyAlignment="1" applyProtection="1">
      <alignment horizontal="right" vertical="top" wrapText="1" indent="1"/>
    </xf>
    <xf numFmtId="166" fontId="5" fillId="25" borderId="60" xfId="0" applyNumberFormat="1" applyFont="1" applyFill="1" applyBorder="1" applyAlignment="1" applyProtection="1">
      <alignment horizontal="right" vertical="top" wrapText="1" indent="1"/>
    </xf>
    <xf numFmtId="166" fontId="5" fillId="25" borderId="60" xfId="64" applyNumberFormat="1" applyFont="1" applyFill="1" applyBorder="1" applyAlignment="1" applyProtection="1">
      <alignment horizontal="right" vertical="top" wrapText="1" indent="1"/>
    </xf>
    <xf numFmtId="166" fontId="5" fillId="25" borderId="22" xfId="0" applyNumberFormat="1" applyFont="1" applyFill="1" applyBorder="1" applyAlignment="1" applyProtection="1">
      <alignment horizontal="center" vertical="center" wrapText="1"/>
    </xf>
    <xf numFmtId="166" fontId="5" fillId="25" borderId="22" xfId="0" applyNumberFormat="1" applyFont="1" applyFill="1" applyBorder="1" applyAlignment="1" applyProtection="1">
      <alignment horizontal="left" wrapText="1"/>
    </xf>
    <xf numFmtId="166" fontId="5" fillId="25" borderId="19" xfId="0" applyNumberFormat="1" applyFont="1" applyFill="1" applyBorder="1" applyAlignment="1" applyProtection="1">
      <alignment horizontal="right" vertical="top" wrapText="1" indent="1"/>
    </xf>
    <xf numFmtId="166" fontId="5" fillId="25" borderId="19" xfId="64" applyNumberFormat="1" applyFont="1" applyFill="1" applyBorder="1" applyAlignment="1" applyProtection="1">
      <alignment horizontal="right" vertical="top" wrapText="1" indent="1"/>
    </xf>
    <xf numFmtId="166" fontId="5" fillId="25" borderId="19" xfId="0" applyNumberFormat="1" applyFont="1" applyFill="1" applyBorder="1" applyAlignment="1" applyProtection="1">
      <alignment horizontal="left" wrapText="1"/>
    </xf>
    <xf numFmtId="166" fontId="5" fillId="25" borderId="41" xfId="0" applyNumberFormat="1" applyFont="1" applyFill="1" applyBorder="1" applyAlignment="1" applyProtection="1">
      <alignment horizontal="left" wrapText="1"/>
    </xf>
    <xf numFmtId="166" fontId="5" fillId="25" borderId="24" xfId="0" applyNumberFormat="1" applyFont="1" applyFill="1" applyBorder="1" applyAlignment="1" applyProtection="1">
      <alignment horizontal="center" vertical="center" wrapText="1"/>
    </xf>
    <xf numFmtId="166" fontId="5" fillId="25" borderId="24" xfId="0" applyNumberFormat="1" applyFont="1" applyFill="1" applyBorder="1" applyAlignment="1" applyProtection="1">
      <alignment horizontal="left" wrapText="1"/>
    </xf>
    <xf numFmtId="166" fontId="5" fillId="25" borderId="22" xfId="64" applyNumberFormat="1" applyFont="1" applyFill="1" applyBorder="1" applyAlignment="1" applyProtection="1">
      <alignment horizontal="right" vertical="top" wrapText="1" indent="1"/>
    </xf>
    <xf numFmtId="166" fontId="5" fillId="25" borderId="43" xfId="0" applyNumberFormat="1" applyFont="1" applyFill="1" applyBorder="1" applyAlignment="1" applyProtection="1">
      <alignment horizontal="left" wrapText="1"/>
    </xf>
    <xf numFmtId="166" fontId="5" fillId="25" borderId="42" xfId="0" applyNumberFormat="1" applyFont="1" applyFill="1" applyBorder="1" applyAlignment="1" applyProtection="1">
      <alignment horizontal="left" wrapText="1"/>
    </xf>
    <xf numFmtId="166" fontId="7" fillId="25" borderId="46" xfId="0" applyNumberFormat="1" applyFont="1" applyFill="1" applyBorder="1" applyAlignment="1" applyProtection="1">
      <alignment horizontal="center" vertical="center" wrapText="1"/>
    </xf>
    <xf numFmtId="166" fontId="7" fillId="25" borderId="43" xfId="0" applyNumberFormat="1" applyFont="1" applyFill="1" applyBorder="1" applyAlignment="1" applyProtection="1">
      <alignment horizontal="left" wrapText="1"/>
    </xf>
    <xf numFmtId="166" fontId="7" fillId="25" borderId="60" xfId="0" applyNumberFormat="1" applyFont="1" applyFill="1" applyBorder="1" applyAlignment="1" applyProtection="1">
      <alignment horizontal="right" vertical="top" wrapText="1" indent="1"/>
    </xf>
    <xf numFmtId="166" fontId="7" fillId="25" borderId="19" xfId="0" applyNumberFormat="1" applyFont="1" applyFill="1" applyBorder="1" applyAlignment="1" applyProtection="1">
      <alignment horizontal="center" vertical="center" wrapText="1"/>
    </xf>
    <xf numFmtId="166" fontId="7" fillId="25" borderId="42" xfId="0" applyNumberFormat="1" applyFont="1" applyFill="1" applyBorder="1" applyAlignment="1" applyProtection="1">
      <alignment horizontal="left" wrapText="1"/>
    </xf>
    <xf numFmtId="166" fontId="7" fillId="25" borderId="19" xfId="0" applyNumberFormat="1" applyFont="1" applyFill="1" applyBorder="1" applyAlignment="1" applyProtection="1">
      <alignment horizontal="right" vertical="top" wrapText="1" indent="1"/>
    </xf>
    <xf numFmtId="166" fontId="7" fillId="25" borderId="19" xfId="64" applyNumberFormat="1" applyFont="1" applyFill="1" applyBorder="1" applyAlignment="1" applyProtection="1">
      <alignment horizontal="right" vertical="top" wrapText="1" indent="1"/>
    </xf>
    <xf numFmtId="166" fontId="7" fillId="25" borderId="41" xfId="0" applyNumberFormat="1" applyFont="1" applyFill="1" applyBorder="1" applyAlignment="1" applyProtection="1">
      <alignment horizontal="left" wrapText="1"/>
    </xf>
    <xf numFmtId="166" fontId="7" fillId="25" borderId="34" xfId="0" applyNumberFormat="1" applyFont="1" applyFill="1" applyBorder="1" applyAlignment="1" applyProtection="1">
      <alignment horizontal="center" vertical="center" wrapText="1"/>
    </xf>
    <xf numFmtId="166" fontId="7" fillId="25" borderId="40" xfId="0" applyNumberFormat="1" applyFont="1" applyFill="1" applyBorder="1" applyAlignment="1" applyProtection="1">
      <alignment horizontal="left" wrapText="1"/>
    </xf>
    <xf numFmtId="166" fontId="7" fillId="25" borderId="22" xfId="0" applyNumberFormat="1" applyFont="1" applyFill="1" applyBorder="1" applyAlignment="1" applyProtection="1">
      <alignment horizontal="right" vertical="top" wrapText="1" indent="1"/>
    </xf>
    <xf numFmtId="166" fontId="7" fillId="25" borderId="22" xfId="64" applyNumberFormat="1" applyFont="1" applyFill="1" applyBorder="1" applyAlignment="1" applyProtection="1">
      <alignment horizontal="right" vertical="top" wrapText="1" indent="1"/>
    </xf>
    <xf numFmtId="166" fontId="0" fillId="0" borderId="61" xfId="0" applyNumberFormat="1" applyBorder="1"/>
    <xf numFmtId="166" fontId="5" fillId="25" borderId="61" xfId="0" applyNumberFormat="1" applyFont="1" applyFill="1" applyBorder="1" applyAlignment="1" applyProtection="1">
      <alignment horizontal="right" vertical="top" wrapText="1" indent="1"/>
    </xf>
    <xf numFmtId="166" fontId="5" fillId="25" borderId="61" xfId="64" applyNumberFormat="1" applyFont="1" applyFill="1" applyBorder="1" applyAlignment="1" applyProtection="1">
      <alignment horizontal="right" vertical="top" wrapText="1" indent="1"/>
    </xf>
    <xf numFmtId="166" fontId="7" fillId="25" borderId="34" xfId="64" applyNumberFormat="1" applyFont="1" applyFill="1" applyBorder="1" applyAlignment="1" applyProtection="1">
      <alignment horizontal="right" vertical="top" wrapText="1" indent="1"/>
    </xf>
    <xf numFmtId="166" fontId="43" fillId="0" borderId="0" xfId="62" applyNumberFormat="1" applyFont="1" applyFill="1" applyBorder="1" applyAlignment="1" applyProtection="1"/>
    <xf numFmtId="166" fontId="46" fillId="0" borderId="0" xfId="0" applyNumberFormat="1" applyFont="1"/>
    <xf numFmtId="1" fontId="7" fillId="25" borderId="64" xfId="0" applyNumberFormat="1" applyFont="1" applyFill="1" applyBorder="1" applyAlignment="1" applyProtection="1">
      <alignment horizontal="center" vertical="top" wrapText="1"/>
    </xf>
    <xf numFmtId="1" fontId="7" fillId="25" borderId="23" xfId="0" applyNumberFormat="1" applyFont="1" applyFill="1" applyBorder="1" applyAlignment="1" applyProtection="1">
      <alignment horizontal="center" vertical="top" wrapText="1"/>
    </xf>
    <xf numFmtId="166" fontId="5" fillId="27" borderId="59" xfId="58" applyNumberFormat="1" applyFont="1" applyFill="1" applyBorder="1" applyAlignment="1">
      <alignment horizontal="right" indent="1"/>
    </xf>
    <xf numFmtId="166" fontId="5" fillId="27" borderId="22" xfId="58" applyNumberFormat="1" applyFont="1" applyFill="1" applyBorder="1" applyAlignment="1">
      <alignment horizontal="right" indent="1"/>
    </xf>
    <xf numFmtId="166" fontId="7" fillId="27" borderId="22" xfId="58" applyNumberFormat="1" applyFont="1" applyFill="1" applyBorder="1" applyAlignment="1">
      <alignment horizontal="right" indent="1"/>
    </xf>
    <xf numFmtId="166" fontId="7" fillId="27" borderId="35" xfId="58" applyNumberFormat="1" applyFont="1" applyFill="1" applyBorder="1" applyAlignment="1">
      <alignment horizontal="right" indent="1"/>
    </xf>
    <xf numFmtId="0" fontId="5" fillId="27" borderId="59" xfId="58" applyFont="1" applyFill="1" applyBorder="1" applyAlignment="1">
      <alignment horizontal="left" wrapText="1"/>
    </xf>
    <xf numFmtId="0" fontId="5" fillId="27" borderId="22" xfId="58" applyFont="1" applyFill="1" applyBorder="1" applyAlignment="1">
      <alignment horizontal="left" wrapText="1"/>
    </xf>
    <xf numFmtId="0" fontId="7" fillId="27" borderId="24" xfId="58" applyFont="1" applyFill="1" applyBorder="1" applyAlignment="1">
      <alignment horizontal="left" wrapText="1"/>
    </xf>
    <xf numFmtId="0" fontId="7" fillId="27" borderId="22" xfId="58" applyFont="1" applyFill="1" applyBorder="1" applyAlignment="1">
      <alignment horizontal="left" wrapText="1"/>
    </xf>
    <xf numFmtId="0" fontId="5" fillId="27" borderId="58" xfId="58" applyFont="1" applyFill="1" applyBorder="1" applyAlignment="1">
      <alignment horizontal="center" vertical="center" wrapText="1"/>
    </xf>
    <xf numFmtId="1" fontId="7" fillId="25" borderId="66" xfId="0" applyNumberFormat="1" applyFont="1" applyFill="1" applyBorder="1" applyAlignment="1" applyProtection="1">
      <alignment horizontal="center" vertical="top" wrapText="1"/>
    </xf>
    <xf numFmtId="1" fontId="7" fillId="25" borderId="60" xfId="0" applyNumberFormat="1" applyFont="1" applyFill="1" applyBorder="1" applyAlignment="1" applyProtection="1">
      <alignment horizontal="center" vertical="top" wrapText="1"/>
    </xf>
    <xf numFmtId="166" fontId="5" fillId="25" borderId="0" xfId="0" applyNumberFormat="1" applyFont="1" applyFill="1" applyBorder="1" applyAlignment="1" applyProtection="1">
      <alignment horizontal="right" vertical="top" wrapText="1" indent="1"/>
    </xf>
    <xf numFmtId="166" fontId="5" fillId="25" borderId="0" xfId="64" applyNumberFormat="1" applyFont="1" applyFill="1" applyBorder="1" applyAlignment="1" applyProtection="1">
      <alignment horizontal="right" vertical="top" wrapText="1" indent="1"/>
    </xf>
    <xf numFmtId="166" fontId="7" fillId="25" borderId="0" xfId="0" applyNumberFormat="1" applyFont="1" applyFill="1" applyBorder="1" applyAlignment="1" applyProtection="1">
      <alignment horizontal="right" vertical="top" wrapText="1" indent="1"/>
    </xf>
    <xf numFmtId="166" fontId="5" fillId="25" borderId="66" xfId="0" applyNumberFormat="1" applyFont="1" applyFill="1" applyBorder="1" applyAlignment="1" applyProtection="1">
      <alignment horizontal="right" vertical="top" wrapText="1" indent="1"/>
    </xf>
    <xf numFmtId="166" fontId="5" fillId="25" borderId="35" xfId="0" applyNumberFormat="1" applyFont="1" applyFill="1" applyBorder="1" applyAlignment="1" applyProtection="1">
      <alignment horizontal="right" vertical="top" wrapText="1" indent="1"/>
    </xf>
    <xf numFmtId="166" fontId="7" fillId="25" borderId="35" xfId="0" applyNumberFormat="1" applyFont="1" applyFill="1" applyBorder="1" applyAlignment="1" applyProtection="1">
      <alignment horizontal="right" vertical="top" wrapText="1" indent="1"/>
    </xf>
    <xf numFmtId="166" fontId="7" fillId="25" borderId="24" xfId="0" applyNumberFormat="1" applyFont="1" applyFill="1" applyBorder="1" applyAlignment="1" applyProtection="1">
      <alignment horizontal="right" vertical="top" wrapText="1" indent="1"/>
    </xf>
    <xf numFmtId="166" fontId="7" fillId="25" borderId="45" xfId="0" applyNumberFormat="1" applyFont="1" applyFill="1" applyBorder="1" applyAlignment="1" applyProtection="1">
      <alignment horizontal="right" vertical="top" wrapText="1" indent="1"/>
    </xf>
    <xf numFmtId="166" fontId="7" fillId="25" borderId="44" xfId="0" applyNumberFormat="1" applyFont="1" applyFill="1" applyBorder="1" applyAlignment="1" applyProtection="1">
      <alignment horizontal="right" vertical="top" wrapText="1" indent="1"/>
    </xf>
    <xf numFmtId="166" fontId="5" fillId="25" borderId="45" xfId="0" applyNumberFormat="1" applyFont="1" applyFill="1" applyBorder="1" applyAlignment="1" applyProtection="1">
      <alignment horizontal="right" vertical="top" wrapText="1" indent="1"/>
    </xf>
    <xf numFmtId="166" fontId="5" fillId="25" borderId="44" xfId="0" applyNumberFormat="1" applyFont="1" applyFill="1" applyBorder="1" applyAlignment="1" applyProtection="1">
      <alignment horizontal="right" vertical="top" wrapText="1" indent="1"/>
    </xf>
    <xf numFmtId="166" fontId="7" fillId="25" borderId="34" xfId="0" applyNumberFormat="1" applyFont="1" applyFill="1" applyBorder="1" applyAlignment="1" applyProtection="1">
      <alignment horizontal="right" vertical="top" wrapText="1" indent="1"/>
    </xf>
    <xf numFmtId="166" fontId="5" fillId="25" borderId="34" xfId="0" applyNumberFormat="1" applyFont="1" applyFill="1" applyBorder="1" applyAlignment="1" applyProtection="1">
      <alignment horizontal="right" vertical="top" wrapText="1" indent="1"/>
    </xf>
    <xf numFmtId="166" fontId="5" fillId="25" borderId="59" xfId="0" applyNumberFormat="1" applyFont="1" applyFill="1" applyBorder="1" applyAlignment="1" applyProtection="1">
      <alignment horizontal="left" wrapText="1"/>
    </xf>
    <xf numFmtId="166" fontId="5" fillId="25" borderId="62" xfId="0" applyNumberFormat="1" applyFont="1" applyFill="1" applyBorder="1" applyAlignment="1" applyProtection="1">
      <alignment horizontal="left" wrapText="1"/>
    </xf>
    <xf numFmtId="166" fontId="5" fillId="25" borderId="78" xfId="0" applyNumberFormat="1" applyFont="1" applyFill="1" applyBorder="1" applyAlignment="1" applyProtection="1">
      <alignment horizontal="left" wrapText="1"/>
    </xf>
    <xf numFmtId="166" fontId="7" fillId="25" borderId="78" xfId="0" applyNumberFormat="1" applyFont="1" applyFill="1" applyBorder="1" applyAlignment="1" applyProtection="1">
      <alignment horizontal="left" wrapText="1"/>
    </xf>
    <xf numFmtId="166" fontId="7" fillId="25" borderId="62" xfId="0" applyNumberFormat="1" applyFont="1" applyFill="1" applyBorder="1" applyAlignment="1" applyProtection="1">
      <alignment horizontal="left" wrapText="1"/>
    </xf>
    <xf numFmtId="166" fontId="7" fillId="25" borderId="63" xfId="0" applyNumberFormat="1" applyFont="1" applyFill="1" applyBorder="1" applyAlignment="1" applyProtection="1">
      <alignment horizontal="left" wrapText="1"/>
    </xf>
    <xf numFmtId="166" fontId="5" fillId="25" borderId="66" xfId="64" applyNumberFormat="1" applyFont="1" applyFill="1" applyBorder="1" applyAlignment="1" applyProtection="1">
      <alignment horizontal="right" vertical="top" wrapText="1" indent="1"/>
    </xf>
    <xf numFmtId="166" fontId="5" fillId="25" borderId="35" xfId="64" applyNumberFormat="1" applyFont="1" applyFill="1" applyBorder="1" applyAlignment="1" applyProtection="1">
      <alignment horizontal="right" vertical="top" wrapText="1" indent="1"/>
    </xf>
    <xf numFmtId="166" fontId="7" fillId="25" borderId="35" xfId="64" applyNumberFormat="1" applyFont="1" applyFill="1" applyBorder="1" applyAlignment="1" applyProtection="1">
      <alignment horizontal="right" vertical="top" wrapText="1" indent="1"/>
    </xf>
    <xf numFmtId="166" fontId="7" fillId="25" borderId="44" xfId="64" applyNumberFormat="1" applyFont="1" applyFill="1" applyBorder="1" applyAlignment="1" applyProtection="1">
      <alignment horizontal="right" vertical="top" wrapText="1" indent="1"/>
    </xf>
    <xf numFmtId="166" fontId="7" fillId="25" borderId="0" xfId="64" applyNumberFormat="1" applyFont="1" applyFill="1" applyBorder="1" applyAlignment="1" applyProtection="1">
      <alignment horizontal="right" vertical="top" wrapText="1" indent="1"/>
    </xf>
    <xf numFmtId="166" fontId="5" fillId="25" borderId="59" xfId="64" applyNumberFormat="1" applyFont="1" applyFill="1" applyBorder="1" applyAlignment="1" applyProtection="1">
      <alignment horizontal="right" vertical="top" wrapText="1" indent="1"/>
    </xf>
    <xf numFmtId="166" fontId="7" fillId="25" borderId="24" xfId="64" applyNumberFormat="1" applyFont="1" applyFill="1" applyBorder="1" applyAlignment="1" applyProtection="1">
      <alignment horizontal="right" vertical="top" wrapText="1" indent="1"/>
    </xf>
    <xf numFmtId="166" fontId="7" fillId="25" borderId="45" xfId="64" applyNumberFormat="1" applyFont="1" applyFill="1" applyBorder="1" applyAlignment="1" applyProtection="1">
      <alignment horizontal="right" vertical="top" wrapText="1" indent="1"/>
    </xf>
    <xf numFmtId="166" fontId="5" fillId="25" borderId="24" xfId="64" applyNumberFormat="1" applyFont="1" applyFill="1" applyBorder="1" applyAlignment="1" applyProtection="1">
      <alignment horizontal="right" vertical="top" wrapText="1" indent="1"/>
    </xf>
    <xf numFmtId="166" fontId="5" fillId="25" borderId="34" xfId="64" applyNumberFormat="1" applyFont="1" applyFill="1" applyBorder="1" applyAlignment="1" applyProtection="1">
      <alignment horizontal="right" vertical="top" wrapText="1" indent="1"/>
    </xf>
    <xf numFmtId="166" fontId="5" fillId="25" borderId="45" xfId="64" applyNumberFormat="1" applyFont="1" applyFill="1" applyBorder="1" applyAlignment="1" applyProtection="1">
      <alignment horizontal="right" vertical="top" wrapText="1" indent="1"/>
    </xf>
    <xf numFmtId="166" fontId="5" fillId="25" borderId="44" xfId="64" applyNumberFormat="1" applyFont="1" applyFill="1" applyBorder="1" applyAlignment="1" applyProtection="1">
      <alignment horizontal="right" vertical="top" wrapText="1" indent="1"/>
    </xf>
    <xf numFmtId="166" fontId="5" fillId="25" borderId="0" xfId="58" applyNumberFormat="1" applyFont="1" applyFill="1" applyBorder="1" applyAlignment="1">
      <alignment horizontal="right" vertical="center" indent="2"/>
    </xf>
    <xf numFmtId="166" fontId="5" fillId="25" borderId="45" xfId="58" applyNumberFormat="1" applyFont="1" applyFill="1" applyBorder="1" applyAlignment="1">
      <alignment horizontal="right" vertical="center" indent="2"/>
    </xf>
    <xf numFmtId="166" fontId="7" fillId="25" borderId="59" xfId="58" applyNumberFormat="1" applyFont="1" applyFill="1" applyBorder="1" applyAlignment="1">
      <alignment horizontal="right" vertical="center" indent="2"/>
    </xf>
    <xf numFmtId="166" fontId="7" fillId="25" borderId="61" xfId="58" applyNumberFormat="1" applyFont="1" applyFill="1" applyBorder="1" applyAlignment="1">
      <alignment horizontal="right" vertical="center" indent="2"/>
    </xf>
    <xf numFmtId="0" fontId="5" fillId="25" borderId="60" xfId="58" applyNumberFormat="1" applyFont="1" applyFill="1" applyBorder="1" applyAlignment="1" applyProtection="1">
      <alignment horizontal="center" vertical="center" wrapText="1"/>
    </xf>
    <xf numFmtId="0" fontId="31" fillId="25" borderId="66" xfId="59" applyNumberFormat="1" applyFont="1" applyFill="1" applyBorder="1" applyAlignment="1" applyProtection="1">
      <alignment horizontal="right" vertical="top" wrapText="1"/>
    </xf>
    <xf numFmtId="0" fontId="31" fillId="25" borderId="79" xfId="59" applyNumberFormat="1" applyFont="1" applyFill="1" applyBorder="1" applyAlignment="1" applyProtection="1">
      <alignment horizontal="right" vertical="top" wrapText="1"/>
    </xf>
    <xf numFmtId="3" fontId="31" fillId="25" borderId="61" xfId="59" applyNumberFormat="1" applyFont="1" applyFill="1" applyBorder="1" applyAlignment="1" applyProtection="1">
      <alignment horizontal="right" wrapText="1"/>
    </xf>
    <xf numFmtId="3" fontId="5" fillId="25" borderId="0" xfId="59" applyNumberFormat="1" applyFont="1" applyFill="1" applyBorder="1" applyAlignment="1" applyProtection="1">
      <alignment horizontal="right" wrapText="1"/>
    </xf>
    <xf numFmtId="3" fontId="5" fillId="0" borderId="0" xfId="59" applyNumberFormat="1" applyFont="1" applyFill="1" applyBorder="1" applyAlignment="1" applyProtection="1">
      <alignment horizontal="right" wrapText="1"/>
    </xf>
    <xf numFmtId="3" fontId="31" fillId="25" borderId="80" xfId="59" applyNumberFormat="1" applyFont="1" applyFill="1" applyBorder="1" applyAlignment="1" applyProtection="1">
      <alignment horizontal="right" wrapText="1"/>
    </xf>
    <xf numFmtId="3" fontId="31" fillId="25" borderId="66" xfId="59" applyNumberFormat="1" applyFont="1" applyFill="1" applyBorder="1" applyAlignment="1" applyProtection="1">
      <alignment horizontal="right" wrapText="1"/>
    </xf>
    <xf numFmtId="3" fontId="31" fillId="25" borderId="64" xfId="59" applyNumberFormat="1" applyFont="1" applyFill="1" applyBorder="1" applyAlignment="1" applyProtection="1">
      <alignment horizontal="right" wrapText="1"/>
    </xf>
    <xf numFmtId="3" fontId="31" fillId="25" borderId="79" xfId="59" applyNumberFormat="1" applyFont="1" applyFill="1" applyBorder="1" applyAlignment="1" applyProtection="1">
      <alignment horizontal="right" wrapText="1"/>
    </xf>
    <xf numFmtId="0" fontId="31" fillId="25" borderId="80" xfId="59" applyNumberFormat="1" applyFont="1" applyFill="1" applyBorder="1" applyAlignment="1" applyProtection="1">
      <alignment horizontal="right" vertical="top" wrapText="1"/>
    </xf>
    <xf numFmtId="0" fontId="48" fillId="0" borderId="0" xfId="66" applyFont="1"/>
    <xf numFmtId="0" fontId="56" fillId="27" borderId="0" xfId="58" quotePrefix="1" applyFont="1" applyFill="1"/>
    <xf numFmtId="0" fontId="6" fillId="25" borderId="0" xfId="68" quotePrefix="1" applyFont="1" applyFill="1" applyBorder="1" applyAlignment="1">
      <alignment vertical="center"/>
    </xf>
    <xf numFmtId="0" fontId="6" fillId="25" borderId="0" xfId="67" quotePrefix="1" applyFont="1" applyFill="1" applyAlignment="1">
      <alignment horizontal="left" vertical="center"/>
    </xf>
    <xf numFmtId="0" fontId="6" fillId="25" borderId="0" xfId="65" quotePrefix="1" applyFont="1" applyFill="1" applyAlignment="1">
      <alignment vertical="center"/>
    </xf>
    <xf numFmtId="0" fontId="6" fillId="25" borderId="0" xfId="58" quotePrefix="1" applyNumberFormat="1" applyFont="1" applyFill="1" applyBorder="1" applyAlignment="1" applyProtection="1">
      <alignment vertical="center"/>
    </xf>
    <xf numFmtId="0" fontId="6" fillId="25" borderId="0" xfId="58" quotePrefix="1" applyFont="1" applyFill="1" applyAlignment="1"/>
    <xf numFmtId="0" fontId="44" fillId="25" borderId="0" xfId="59" quotePrefix="1" applyNumberFormat="1" applyFont="1" applyFill="1" applyBorder="1" applyAlignment="1" applyProtection="1">
      <alignment vertical="center"/>
    </xf>
    <xf numFmtId="0" fontId="88" fillId="0" borderId="0" xfId="0" applyFont="1" applyAlignment="1">
      <alignment horizontal="justify" vertical="center"/>
    </xf>
    <xf numFmtId="165" fontId="5" fillId="0" borderId="0" xfId="66" applyNumberFormat="1" applyAlignment="1">
      <alignment vertical="center"/>
    </xf>
    <xf numFmtId="165" fontId="6" fillId="0" borderId="0" xfId="66" applyNumberFormat="1" applyFont="1" applyAlignment="1">
      <alignment vertical="center"/>
    </xf>
    <xf numFmtId="0" fontId="6" fillId="0" borderId="0" xfId="56" quotePrefix="1" applyNumberFormat="1" applyFont="1" applyFill="1" applyBorder="1" applyAlignment="1" applyProtection="1">
      <alignment horizontal="left" vertical="center" wrapText="1"/>
    </xf>
    <xf numFmtId="0" fontId="6" fillId="0" borderId="0" xfId="56" applyNumberFormat="1" applyFont="1" applyFill="1" applyBorder="1" applyAlignment="1" applyProtection="1">
      <alignment horizontal="left" vertical="center" wrapText="1"/>
    </xf>
    <xf numFmtId="0" fontId="56" fillId="0" borderId="0" xfId="58" applyFont="1" applyFill="1"/>
    <xf numFmtId="166" fontId="5" fillId="0" borderId="60" xfId="58" applyNumberFormat="1" applyFont="1" applyFill="1" applyBorder="1" applyAlignment="1">
      <alignment horizontal="right" indent="1"/>
    </xf>
    <xf numFmtId="166" fontId="5" fillId="0" borderId="19" xfId="58" applyNumberFormat="1" applyFont="1" applyFill="1" applyBorder="1" applyAlignment="1">
      <alignment horizontal="right" indent="1"/>
    </xf>
    <xf numFmtId="166" fontId="7" fillId="0" borderId="19" xfId="58" applyNumberFormat="1" applyFont="1" applyFill="1" applyBorder="1" applyAlignment="1">
      <alignment horizontal="right" indent="1"/>
    </xf>
    <xf numFmtId="166" fontId="7" fillId="0" borderId="34" xfId="58" applyNumberFormat="1" applyFont="1" applyFill="1" applyBorder="1" applyAlignment="1">
      <alignment horizontal="right" indent="1"/>
    </xf>
    <xf numFmtId="168" fontId="38" fillId="0" borderId="56" xfId="69" applyNumberFormat="1" applyFont="1" applyFill="1" applyBorder="1" applyAlignment="1">
      <alignment horizontal="center" vertical="center"/>
    </xf>
    <xf numFmtId="0" fontId="44" fillId="0" borderId="0" xfId="68" applyFont="1" applyFill="1" applyAlignment="1">
      <alignment vertical="center"/>
    </xf>
    <xf numFmtId="166" fontId="9" fillId="0" borderId="22" xfId="56" applyNumberFormat="1" applyFont="1" applyFill="1" applyBorder="1" applyAlignment="1" applyProtection="1">
      <alignment horizontal="right" wrapText="1"/>
    </xf>
    <xf numFmtId="166" fontId="5" fillId="0" borderId="19" xfId="0" applyNumberFormat="1" applyFont="1" applyFill="1" applyBorder="1" applyAlignment="1" applyProtection="1">
      <alignment horizontal="right" vertical="center" wrapText="1" indent="2"/>
    </xf>
    <xf numFmtId="166" fontId="7" fillId="0" borderId="19" xfId="0" applyNumberFormat="1" applyFont="1" applyFill="1" applyBorder="1" applyAlignment="1" applyProtection="1">
      <alignment horizontal="right" vertical="center" wrapText="1" indent="2"/>
    </xf>
    <xf numFmtId="166" fontId="9" fillId="0" borderId="19" xfId="0" applyNumberFormat="1" applyFont="1" applyFill="1" applyBorder="1" applyAlignment="1" applyProtection="1">
      <alignment horizontal="right" vertical="center" wrapText="1" indent="2"/>
    </xf>
    <xf numFmtId="166" fontId="7" fillId="0" borderId="18" xfId="0" applyNumberFormat="1" applyFont="1" applyFill="1" applyBorder="1" applyAlignment="1" applyProtection="1">
      <alignment horizontal="right" vertical="center" wrapText="1" indent="2"/>
    </xf>
    <xf numFmtId="0" fontId="6" fillId="0" borderId="0" xfId="0" applyFont="1" applyFill="1" applyAlignment="1">
      <alignment vertical="center"/>
    </xf>
    <xf numFmtId="165" fontId="7" fillId="0" borderId="46" xfId="66" applyNumberFormat="1" applyFont="1" applyFill="1" applyBorder="1" applyAlignment="1" applyProtection="1">
      <alignment horizontal="right" vertical="center" wrapText="1" indent="2"/>
    </xf>
    <xf numFmtId="165" fontId="7" fillId="0" borderId="19" xfId="66" applyNumberFormat="1" applyFont="1" applyFill="1" applyBorder="1" applyAlignment="1" applyProtection="1">
      <alignment horizontal="right" vertical="center" wrapText="1" indent="2"/>
    </xf>
    <xf numFmtId="165" fontId="7" fillId="0" borderId="56" xfId="66" applyNumberFormat="1" applyFont="1" applyFill="1" applyBorder="1" applyAlignment="1" applyProtection="1">
      <alignment horizontal="right" vertical="center" wrapText="1" indent="2"/>
    </xf>
    <xf numFmtId="165" fontId="5" fillId="0" borderId="0" xfId="66" applyNumberFormat="1" applyFill="1" applyAlignment="1">
      <alignment vertical="center"/>
    </xf>
    <xf numFmtId="0" fontId="5" fillId="0" borderId="0" xfId="66" applyFill="1" applyAlignment="1">
      <alignment vertical="center"/>
    </xf>
    <xf numFmtId="0" fontId="6" fillId="0" borderId="0" xfId="66" applyFont="1" applyFill="1" applyAlignment="1">
      <alignment horizontal="left" vertical="center"/>
    </xf>
    <xf numFmtId="166" fontId="7" fillId="0" borderId="66" xfId="64" applyNumberFormat="1" applyFont="1" applyFill="1" applyBorder="1" applyAlignment="1" applyProtection="1">
      <alignment horizontal="right" vertical="top" wrapText="1" indent="1"/>
    </xf>
    <xf numFmtId="166" fontId="7" fillId="0" borderId="35" xfId="64" applyNumberFormat="1" applyFont="1" applyFill="1" applyBorder="1" applyAlignment="1" applyProtection="1">
      <alignment horizontal="right" vertical="top" wrapText="1" indent="1"/>
    </xf>
    <xf numFmtId="166" fontId="7" fillId="0" borderId="44" xfId="64" applyNumberFormat="1" applyFont="1" applyFill="1" applyBorder="1" applyAlignment="1" applyProtection="1">
      <alignment horizontal="right" vertical="top" wrapText="1" indent="1"/>
    </xf>
    <xf numFmtId="166" fontId="7" fillId="0" borderId="34" xfId="64" applyNumberFormat="1" applyFont="1" applyFill="1" applyBorder="1" applyAlignment="1" applyProtection="1">
      <alignment horizontal="right" vertical="top" wrapText="1" indent="1"/>
    </xf>
    <xf numFmtId="166" fontId="7" fillId="0" borderId="19" xfId="64" applyNumberFormat="1" applyFont="1" applyFill="1" applyBorder="1" applyAlignment="1" applyProtection="1">
      <alignment horizontal="right" vertical="top" wrapText="1" indent="1"/>
    </xf>
    <xf numFmtId="166" fontId="7" fillId="0" borderId="60" xfId="64" applyNumberFormat="1" applyFont="1" applyFill="1" applyBorder="1" applyAlignment="1" applyProtection="1">
      <alignment horizontal="right" vertical="top" wrapText="1" indent="1"/>
    </xf>
    <xf numFmtId="0" fontId="5" fillId="0" borderId="47" xfId="58" applyNumberFormat="1" applyFont="1" applyFill="1" applyBorder="1" applyAlignment="1" applyProtection="1">
      <alignment horizontal="center" vertical="center" wrapText="1"/>
    </xf>
    <xf numFmtId="166" fontId="7" fillId="0" borderId="49" xfId="58" applyNumberFormat="1" applyFont="1" applyFill="1" applyBorder="1" applyAlignment="1">
      <alignment horizontal="right" vertical="center" indent="2"/>
    </xf>
    <xf numFmtId="166" fontId="5" fillId="0" borderId="22" xfId="58" applyNumberFormat="1" applyFont="1" applyFill="1" applyBorder="1" applyAlignment="1">
      <alignment horizontal="right" vertical="center" indent="2"/>
    </xf>
    <xf numFmtId="166" fontId="5" fillId="0" borderId="19" xfId="58" applyNumberFormat="1" applyFont="1" applyFill="1" applyBorder="1" applyAlignment="1">
      <alignment horizontal="right" vertical="center" indent="2"/>
    </xf>
    <xf numFmtId="166" fontId="5" fillId="0" borderId="34" xfId="58" applyNumberFormat="1" applyFont="1" applyFill="1" applyBorder="1" applyAlignment="1">
      <alignment horizontal="right" vertical="center" indent="2"/>
    </xf>
    <xf numFmtId="166" fontId="7" fillId="0" borderId="60" xfId="58" applyNumberFormat="1" applyFont="1" applyFill="1" applyBorder="1" applyAlignment="1">
      <alignment horizontal="right" vertical="center" indent="2"/>
    </xf>
    <xf numFmtId="166" fontId="7" fillId="0" borderId="50" xfId="58" applyNumberFormat="1" applyFont="1" applyFill="1" applyBorder="1" applyAlignment="1">
      <alignment horizontal="right" vertical="center" indent="2"/>
    </xf>
    <xf numFmtId="166" fontId="5" fillId="0" borderId="35" xfId="58" applyNumberFormat="1" applyFont="1" applyFill="1" applyBorder="1" applyAlignment="1">
      <alignment horizontal="right" vertical="center" indent="2"/>
    </xf>
    <xf numFmtId="166" fontId="5" fillId="0" borderId="44" xfId="58" applyNumberFormat="1" applyFont="1" applyFill="1" applyBorder="1" applyAlignment="1">
      <alignment horizontal="right" vertical="center" indent="2"/>
    </xf>
    <xf numFmtId="0" fontId="6" fillId="0" borderId="0" xfId="0" applyFont="1" applyFill="1"/>
    <xf numFmtId="3" fontId="31" fillId="0" borderId="57" xfId="59" applyNumberFormat="1" applyFont="1" applyFill="1" applyBorder="1" applyAlignment="1" applyProtection="1">
      <alignment horizontal="right" wrapText="1"/>
    </xf>
    <xf numFmtId="3" fontId="35" fillId="0" borderId="19" xfId="59" applyNumberFormat="1" applyFont="1" applyFill="1" applyBorder="1" applyAlignment="1" applyProtection="1">
      <alignment horizontal="right" wrapText="1"/>
    </xf>
    <xf numFmtId="3" fontId="35" fillId="0" borderId="34" xfId="59" applyNumberFormat="1" applyFont="1" applyFill="1" applyBorder="1" applyAlignment="1" applyProtection="1">
      <alignment horizontal="right" wrapText="1"/>
    </xf>
    <xf numFmtId="3" fontId="31" fillId="0" borderId="58" xfId="59" applyNumberFormat="1" applyFont="1" applyFill="1" applyBorder="1" applyAlignment="1" applyProtection="1">
      <alignment horizontal="right" wrapText="1"/>
    </xf>
    <xf numFmtId="0" fontId="44" fillId="0" borderId="0" xfId="59" applyFont="1" applyFill="1" applyAlignment="1">
      <alignment vertical="center"/>
    </xf>
    <xf numFmtId="0" fontId="38" fillId="25" borderId="57" xfId="68" applyFont="1" applyFill="1" applyBorder="1" applyAlignment="1">
      <alignment horizontal="center" vertical="center"/>
    </xf>
    <xf numFmtId="0" fontId="38" fillId="25" borderId="19" xfId="68" applyFont="1" applyFill="1" applyBorder="1" applyAlignment="1">
      <alignment horizontal="center" vertical="center"/>
    </xf>
    <xf numFmtId="0" fontId="38" fillId="25" borderId="34" xfId="68" applyFont="1" applyFill="1" applyBorder="1" applyAlignment="1">
      <alignment horizontal="center" vertical="center"/>
    </xf>
    <xf numFmtId="0" fontId="44" fillId="0" borderId="0" xfId="56" quotePrefix="1" applyNumberFormat="1" applyFont="1" applyFill="1" applyBorder="1" applyAlignment="1" applyProtection="1">
      <alignment horizontal="left" vertical="center" wrapText="1"/>
    </xf>
    <xf numFmtId="0" fontId="44" fillId="0" borderId="0" xfId="56" applyNumberFormat="1" applyFont="1" applyFill="1" applyBorder="1" applyAlignment="1" applyProtection="1">
      <alignment horizontal="left" vertical="center" wrapText="1"/>
    </xf>
    <xf numFmtId="0" fontId="0" fillId="0" borderId="0" xfId="0" applyFill="1" applyAlignment="1">
      <alignment horizontal="left" vertical="center" wrapText="1"/>
    </xf>
    <xf numFmtId="0" fontId="31" fillId="0" borderId="27" xfId="56" applyNumberFormat="1" applyFont="1" applyFill="1" applyBorder="1" applyAlignment="1" applyProtection="1">
      <alignment horizontal="center" wrapText="1"/>
    </xf>
    <xf numFmtId="0" fontId="31" fillId="0" borderId="28" xfId="56" applyNumberFormat="1" applyFont="1" applyFill="1" applyBorder="1" applyAlignment="1" applyProtection="1">
      <alignment horizontal="center" wrapText="1"/>
    </xf>
    <xf numFmtId="0" fontId="31" fillId="0" borderId="29" xfId="56" applyNumberFormat="1" applyFont="1" applyFill="1" applyBorder="1" applyAlignment="1" applyProtection="1">
      <alignment horizontal="left" vertical="top" wrapText="1"/>
    </xf>
    <xf numFmtId="0" fontId="31" fillId="0" borderId="30" xfId="56" applyNumberFormat="1" applyFont="1" applyFill="1" applyBorder="1" applyAlignment="1" applyProtection="1">
      <alignment horizontal="left" vertical="top" wrapText="1"/>
    </xf>
    <xf numFmtId="0" fontId="31" fillId="0" borderId="31" xfId="56" applyNumberFormat="1" applyFont="1" applyFill="1" applyBorder="1" applyAlignment="1" applyProtection="1">
      <alignment horizontal="left" vertical="top" wrapText="1"/>
    </xf>
    <xf numFmtId="0" fontId="31" fillId="0" borderId="32" xfId="56" applyNumberFormat="1" applyFont="1" applyFill="1" applyBorder="1" applyAlignment="1" applyProtection="1">
      <alignment horizontal="left" vertical="top" wrapText="1"/>
    </xf>
    <xf numFmtId="0" fontId="31" fillId="0" borderId="33" xfId="56" applyNumberFormat="1" applyFont="1" applyFill="1" applyBorder="1" applyAlignment="1" applyProtection="1">
      <alignment horizontal="left" vertical="top" wrapText="1"/>
    </xf>
    <xf numFmtId="0" fontId="6" fillId="25" borderId="0" xfId="0" quotePrefix="1" applyFont="1" applyFill="1" applyBorder="1" applyAlignment="1">
      <alignment horizontal="left" vertical="center" wrapText="1"/>
    </xf>
    <xf numFmtId="0" fontId="6" fillId="25" borderId="0" xfId="0" applyFont="1" applyFill="1" applyBorder="1" applyAlignment="1">
      <alignment horizontal="left" vertical="center" wrapText="1"/>
    </xf>
    <xf numFmtId="0" fontId="5" fillId="25" borderId="57" xfId="0" applyFont="1" applyFill="1" applyBorder="1" applyAlignment="1">
      <alignment horizontal="center" vertical="center"/>
    </xf>
    <xf numFmtId="0" fontId="5" fillId="25" borderId="19" xfId="0" applyFont="1" applyFill="1" applyBorder="1" applyAlignment="1">
      <alignment horizontal="center" vertical="center"/>
    </xf>
    <xf numFmtId="0" fontId="5" fillId="25" borderId="34" xfId="0" applyFont="1" applyFill="1" applyBorder="1" applyAlignment="1">
      <alignment horizontal="center" vertical="center"/>
    </xf>
    <xf numFmtId="0" fontId="7" fillId="25" borderId="47" xfId="0" applyFont="1" applyFill="1" applyBorder="1" applyAlignment="1">
      <alignment horizontal="center"/>
    </xf>
    <xf numFmtId="0" fontId="7" fillId="25" borderId="48" xfId="0" applyFont="1" applyFill="1" applyBorder="1" applyAlignment="1">
      <alignment horizontal="center"/>
    </xf>
    <xf numFmtId="0" fontId="5" fillId="25" borderId="46" xfId="0" applyFont="1" applyFill="1" applyBorder="1" applyAlignment="1">
      <alignment horizontal="center" vertical="center"/>
    </xf>
    <xf numFmtId="0" fontId="6" fillId="25" borderId="0" xfId="0" applyFont="1" applyFill="1" applyAlignment="1">
      <alignment horizontal="left" vertical="center" wrapText="1"/>
    </xf>
    <xf numFmtId="0" fontId="6" fillId="25" borderId="0" xfId="0" quotePrefix="1" applyNumberFormat="1" applyFont="1" applyFill="1" applyBorder="1" applyAlignment="1" applyProtection="1">
      <alignment horizontal="left" vertical="center" wrapText="1"/>
    </xf>
    <xf numFmtId="0" fontId="6" fillId="25" borderId="0" xfId="0" applyNumberFormat="1" applyFont="1" applyFill="1" applyBorder="1" applyAlignment="1" applyProtection="1">
      <alignment horizontal="left" vertical="center" wrapText="1"/>
    </xf>
    <xf numFmtId="0" fontId="6" fillId="0" borderId="0" xfId="56" quotePrefix="1" applyNumberFormat="1" applyFont="1" applyFill="1" applyBorder="1" applyAlignment="1" applyProtection="1">
      <alignment horizontal="left" vertical="center" wrapText="1"/>
    </xf>
    <xf numFmtId="0" fontId="6" fillId="0" borderId="0" xfId="56" applyNumberFormat="1" applyFont="1" applyFill="1" applyBorder="1" applyAlignment="1" applyProtection="1">
      <alignment horizontal="left" vertical="center" wrapText="1"/>
    </xf>
    <xf numFmtId="0" fontId="5" fillId="0" borderId="0" xfId="0" applyFont="1" applyFill="1" applyAlignment="1">
      <alignment horizontal="left" vertical="center" wrapText="1"/>
    </xf>
    <xf numFmtId="0" fontId="6" fillId="25" borderId="0" xfId="67" quotePrefix="1" applyFont="1" applyFill="1" applyAlignment="1">
      <alignment horizontal="left" vertical="center" wrapText="1"/>
    </xf>
    <xf numFmtId="0" fontId="6" fillId="25" borderId="0" xfId="67" applyFont="1" applyFill="1" applyAlignment="1">
      <alignment horizontal="left" vertical="center" wrapText="1"/>
    </xf>
    <xf numFmtId="0" fontId="43" fillId="0" borderId="0" xfId="59" applyNumberFormat="1" applyFont="1" applyFill="1" applyBorder="1" applyAlignment="1" applyProtection="1">
      <alignment horizontal="left" vertical="center"/>
    </xf>
    <xf numFmtId="0" fontId="6" fillId="0" borderId="0" xfId="59" quotePrefix="1" applyFont="1" applyAlignment="1">
      <alignment horizontal="left" vertical="center" wrapText="1"/>
    </xf>
    <xf numFmtId="0" fontId="6" fillId="0" borderId="0" xfId="59" applyFont="1" applyAlignment="1">
      <alignment horizontal="left" vertical="center" wrapText="1"/>
    </xf>
  </cellXfs>
  <cellStyles count="189">
    <cellStyle name="20 % - Accent1" xfId="1" builtinId="30" customBuiltin="1"/>
    <cellStyle name="20 % - Accent1 2" xfId="134" xr:uid="{A54F4CCB-6787-4660-8F70-0DA5402B3A29}"/>
    <cellStyle name="20 % - Accent1 2 2" xfId="164" xr:uid="{006EE27B-77CA-494A-B8BD-59C95CA1237E}"/>
    <cellStyle name="20 % - Accent1 3" xfId="149" xr:uid="{3F598B0F-7EDD-4D77-A463-E217FC930264}"/>
    <cellStyle name="20 % - Accent1 4" xfId="93" xr:uid="{8698804D-A978-403B-ABDE-700FB7F9A85D}"/>
    <cellStyle name="20 % - Accent2" xfId="2" builtinId="34" customBuiltin="1"/>
    <cellStyle name="20 % - Accent2 2" xfId="136" xr:uid="{6FABEA4E-22FF-454F-BBA1-4F4856D93C37}"/>
    <cellStyle name="20 % - Accent2 2 2" xfId="166" xr:uid="{796BC725-F4AE-4899-BC58-AB8DE373BAC4}"/>
    <cellStyle name="20 % - Accent2 3" xfId="151" xr:uid="{18856085-B571-45B6-919B-1C0B7FEC80C3}"/>
    <cellStyle name="20 % - Accent2 4" xfId="97" xr:uid="{05D0BC20-7B79-496F-9C9D-C31662E375BE}"/>
    <cellStyle name="20 % - Accent3" xfId="3" builtinId="38" customBuiltin="1"/>
    <cellStyle name="20 % - Accent3 2" xfId="138" xr:uid="{56F4AD3C-43D4-422F-9B49-31AA551FBD90}"/>
    <cellStyle name="20 % - Accent3 2 2" xfId="168" xr:uid="{BCC93832-9CB8-478F-9D5D-DC658D61C662}"/>
    <cellStyle name="20 % - Accent3 3" xfId="153" xr:uid="{A764D281-0A96-489D-B484-33800934A312}"/>
    <cellStyle name="20 % - Accent3 4" xfId="101" xr:uid="{B7F387E6-2C8B-4B13-9D0D-6E64A1EACF50}"/>
    <cellStyle name="20 % - Accent4" xfId="4" builtinId="42" customBuiltin="1"/>
    <cellStyle name="20 % - Accent4 2" xfId="140" xr:uid="{88BEBBB1-1678-4B13-94BA-59FECE167A60}"/>
    <cellStyle name="20 % - Accent4 2 2" xfId="170" xr:uid="{46ACFA1C-02CF-409F-8AAA-6082078D6036}"/>
    <cellStyle name="20 % - Accent4 3" xfId="155" xr:uid="{7A79754C-9736-4523-8F17-EB01A276DDA1}"/>
    <cellStyle name="20 % - Accent4 4" xfId="105" xr:uid="{8100C8AC-FC43-4C86-923A-B8751C182CC0}"/>
    <cellStyle name="20 % - Accent5" xfId="5" builtinId="46" customBuiltin="1"/>
    <cellStyle name="20 % - Accent5 2" xfId="142" xr:uid="{6FE54164-AA1D-46B7-AB76-265E7A8284F6}"/>
    <cellStyle name="20 % - Accent5 2 2" xfId="172" xr:uid="{85D8E47F-1F0F-49E8-AD7A-AD4E92120567}"/>
    <cellStyle name="20 % - Accent5 3" xfId="157" xr:uid="{31D368CA-393F-4036-9C1A-B2C8131DD0AC}"/>
    <cellStyle name="20 % - Accent5 4" xfId="109" xr:uid="{10102B26-018C-4546-BCCE-2CCE57C89311}"/>
    <cellStyle name="20 % - Accent6" xfId="6" builtinId="50" customBuiltin="1"/>
    <cellStyle name="20 % - Accent6 2" xfId="144" xr:uid="{FB1E815C-7ABE-4E66-A1A3-6E9B76D843D9}"/>
    <cellStyle name="20 % - Accent6 2 2" xfId="174" xr:uid="{C90EDFD5-CFC4-4366-86DD-BB768A7AD833}"/>
    <cellStyle name="20 % - Accent6 3" xfId="159" xr:uid="{2755B8F6-22F6-4189-8FE3-46D46E8FB3DE}"/>
    <cellStyle name="20 % - Accent6 4" xfId="113" xr:uid="{B4D36918-7A8B-4722-9486-12F48385FD81}"/>
    <cellStyle name="40 % - Accent1" xfId="7" builtinId="31" customBuiltin="1"/>
    <cellStyle name="40 % - Accent1 2" xfId="135" xr:uid="{3EE9446B-8990-4B4C-8818-FB56FA1E6204}"/>
    <cellStyle name="40 % - Accent1 2 2" xfId="165" xr:uid="{C1BE3D54-D047-4804-ACDD-CCC6DB9FC4BE}"/>
    <cellStyle name="40 % - Accent1 3" xfId="150" xr:uid="{2FB7F147-9136-49A8-B589-49F88857D11C}"/>
    <cellStyle name="40 % - Accent1 4" xfId="94" xr:uid="{0A4E5795-2F3E-4B60-8D46-80F3CE1981A5}"/>
    <cellStyle name="40 % - Accent2" xfId="8" builtinId="35" customBuiltin="1"/>
    <cellStyle name="40 % - Accent2 2" xfId="137" xr:uid="{C873BC58-6C06-41CF-AAE0-8ECA1E86F82E}"/>
    <cellStyle name="40 % - Accent2 2 2" xfId="167" xr:uid="{2D8064EB-C8D9-4FF6-B9F0-35C674659671}"/>
    <cellStyle name="40 % - Accent2 3" xfId="152" xr:uid="{22E9CEA8-7D52-4E85-8D8B-9A956F200A1D}"/>
    <cellStyle name="40 % - Accent2 4" xfId="98" xr:uid="{A0851CF4-65D1-479F-961F-A9B5DD870B91}"/>
    <cellStyle name="40 % - Accent3" xfId="9" builtinId="39" customBuiltin="1"/>
    <cellStyle name="40 % - Accent3 2" xfId="139" xr:uid="{BA4AA8B9-A8B1-422F-9804-4CAD336A058F}"/>
    <cellStyle name="40 % - Accent3 2 2" xfId="169" xr:uid="{9654A687-4A1B-49F1-A179-FC5558E56DBD}"/>
    <cellStyle name="40 % - Accent3 3" xfId="154" xr:uid="{9084AEBF-AE5F-4264-8B9E-C6D0B9B8D8A6}"/>
    <cellStyle name="40 % - Accent3 4" xfId="102" xr:uid="{5A54E31A-CDEF-4744-9566-4B76124FF6BA}"/>
    <cellStyle name="40 % - Accent4" xfId="10" builtinId="43" customBuiltin="1"/>
    <cellStyle name="40 % - Accent4 2" xfId="141" xr:uid="{EE806EFA-E5DE-4A1E-A698-953F671E18E7}"/>
    <cellStyle name="40 % - Accent4 2 2" xfId="171" xr:uid="{C25BA47F-A80A-4F41-8AE4-6C801AC67EA6}"/>
    <cellStyle name="40 % - Accent4 3" xfId="156" xr:uid="{D2CFCB1F-A6CC-4B06-A776-80AC3FC07547}"/>
    <cellStyle name="40 % - Accent4 4" xfId="106" xr:uid="{EB801F21-F8FE-411E-B98E-D967E358EF01}"/>
    <cellStyle name="40 % - Accent5" xfId="11" builtinId="47" customBuiltin="1"/>
    <cellStyle name="40 % - Accent5 2" xfId="143" xr:uid="{53FCF7B1-AAA0-40FA-B0ED-05688C676075}"/>
    <cellStyle name="40 % - Accent5 2 2" xfId="173" xr:uid="{CAD1EDFD-E102-4219-B390-5A59485572A3}"/>
    <cellStyle name="40 % - Accent5 3" xfId="158" xr:uid="{EFCDE28E-2C62-4D62-A99B-7D0E56C757D7}"/>
    <cellStyle name="40 % - Accent5 4" xfId="110" xr:uid="{339946F6-ECC9-4430-99F4-E05539AA4439}"/>
    <cellStyle name="40 % - Accent6" xfId="12" builtinId="51" customBuiltin="1"/>
    <cellStyle name="40 % - Accent6 2" xfId="145" xr:uid="{D089A052-5300-4FEA-BD39-6B09B8127622}"/>
    <cellStyle name="40 % - Accent6 2 2" xfId="175" xr:uid="{145E025B-FF8A-435C-8B6D-59DF5DD2D987}"/>
    <cellStyle name="40 % - Accent6 3" xfId="160" xr:uid="{57926412-4AEA-469B-A1F2-006B039FCB94}"/>
    <cellStyle name="40 % - Accent6 4" xfId="114" xr:uid="{B80F09AD-5AF8-44B7-A728-98ED772E41DD}"/>
    <cellStyle name="60 % - Accent1" xfId="13" builtinId="32" customBuiltin="1"/>
    <cellStyle name="60 % - Accent1 2" xfId="95" xr:uid="{884A149D-3E5E-44F6-A6F9-20A856A2B411}"/>
    <cellStyle name="60 % - Accent2" xfId="14" builtinId="36" customBuiltin="1"/>
    <cellStyle name="60 % - Accent2 2" xfId="99" xr:uid="{DAE14730-78A2-46A8-BF33-BDD995D2D28C}"/>
    <cellStyle name="60 % - Accent3" xfId="15" builtinId="40" customBuiltin="1"/>
    <cellStyle name="60 % - Accent3 2" xfId="103" xr:uid="{E58973DB-03B2-447A-A0E7-7E57FB4055E4}"/>
    <cellStyle name="60 % - Accent4" xfId="16" builtinId="44" customBuiltin="1"/>
    <cellStyle name="60 % - Accent4 2" xfId="107" xr:uid="{9AAFCD63-CECB-4831-BB92-4A8A99B26845}"/>
    <cellStyle name="60 % - Accent5" xfId="17" builtinId="48" customBuiltin="1"/>
    <cellStyle name="60 % - Accent5 2" xfId="111" xr:uid="{4C48D605-C20D-4AE3-BD4E-91A94059E070}"/>
    <cellStyle name="60 % - Accent6" xfId="18" builtinId="52" customBuiltin="1"/>
    <cellStyle name="60 % - Accent6 2" xfId="115" xr:uid="{C338EFC3-9EA1-4141-83E8-A51DADB8D883}"/>
    <cellStyle name="Accent1" xfId="19" builtinId="29" customBuiltin="1"/>
    <cellStyle name="Accent1 2" xfId="92" xr:uid="{ED1A2139-73DD-4E5B-8F65-C23A2CAB853F}"/>
    <cellStyle name="Accent2" xfId="20" builtinId="33" customBuiltin="1"/>
    <cellStyle name="Accent2 2" xfId="96" xr:uid="{7E35289D-46E8-4853-A064-8E5A9685202A}"/>
    <cellStyle name="Accent3" xfId="21" builtinId="37" customBuiltin="1"/>
    <cellStyle name="Accent3 2" xfId="100" xr:uid="{7D95B550-9215-405A-97FF-CB68288D2D2A}"/>
    <cellStyle name="Accent4" xfId="22" builtinId="41" customBuiltin="1"/>
    <cellStyle name="Accent4 2" xfId="104" xr:uid="{EAD91BB2-6457-432C-89D4-719E4158ADA6}"/>
    <cellStyle name="Accent5" xfId="23" builtinId="45" customBuiltin="1"/>
    <cellStyle name="Accent5 2" xfId="108" xr:uid="{932CF766-4AAA-4F87-874B-BFF66A4B0EA9}"/>
    <cellStyle name="Accent6" xfId="24" builtinId="49" customBuiltin="1"/>
    <cellStyle name="Accent6 2" xfId="112" xr:uid="{DDBA4DE4-996C-4EE6-9C5A-F46FA8D44D3D}"/>
    <cellStyle name="Avertissement" xfId="25" builtinId="11" customBuiltin="1"/>
    <cellStyle name="Avertissement 2" xfId="88" xr:uid="{DA4AD5AA-5298-4BEC-8596-F54817E27A67}"/>
    <cellStyle name="Calcul" xfId="26" builtinId="22" customBuiltin="1"/>
    <cellStyle name="Calcul 2" xfId="85" xr:uid="{3D92EB6F-A7C5-4BD0-A673-004448FCFB75}"/>
    <cellStyle name="Cellule liée" xfId="27" builtinId="24" customBuiltin="1"/>
    <cellStyle name="Cellule liée 2" xfId="86" xr:uid="{469F7D05-9029-426A-85B5-85009A28AE23}"/>
    <cellStyle name="Commentaire 2" xfId="133" xr:uid="{8D2A089E-DE0C-4177-9D1D-CEC0E614EA4A}"/>
    <cellStyle name="Commentaire 2 2" xfId="163" xr:uid="{9125089E-761C-4FB1-925B-789145FE53D1}"/>
    <cellStyle name="Commentaire 3" xfId="148" xr:uid="{24CCA2AA-45CC-4832-8620-DF2DF6A152B8}"/>
    <cellStyle name="Date" xfId="29" xr:uid="{00000000-0005-0000-0000-00001C000000}"/>
    <cellStyle name="DEFINITION" xfId="116" xr:uid="{59FEF4BF-9796-4C61-8F90-5428DA3046BF}"/>
    <cellStyle name="En-tête" xfId="184" xr:uid="{24C506D2-469B-43C2-8D9F-84D3E7C6CD70}"/>
    <cellStyle name="Entrée" xfId="30" builtinId="20" customBuiltin="1"/>
    <cellStyle name="Entrée 2" xfId="83" xr:uid="{859D5B34-70A9-4B83-9F79-3A74F6F09E27}"/>
    <cellStyle name="Euro" xfId="31" xr:uid="{00000000-0005-0000-0000-00001E000000}"/>
    <cellStyle name="Euro 2" xfId="161" xr:uid="{E967E7A7-92B1-4C27-BF15-D7F7112BA147}"/>
    <cellStyle name="Euro 3" xfId="117" xr:uid="{1D448020-C528-4E9F-BCF7-EB8516B5823A}"/>
    <cellStyle name="Excel Built-in Explanatory Text" xfId="73" xr:uid="{ECE5853E-8D56-4D38-A241-CA62F87A7047}"/>
    <cellStyle name="Excel_BuiltIn_Texte explicatif" xfId="74" xr:uid="{AB9C0620-7D8C-4419-8DC5-47E5A8B0B4CD}"/>
    <cellStyle name="FILET_HAUT" xfId="118" xr:uid="{B497D2B9-12F3-47DA-AE41-ABC6C5605BBE}"/>
    <cellStyle name="Insatisfaisant" xfId="32" builtinId="27" customBuiltin="1"/>
    <cellStyle name="Insatisfaisant 2" xfId="81" xr:uid="{59F513C0-EBAB-426F-AEAA-3F50579FB930}"/>
    <cellStyle name="josette" xfId="119" xr:uid="{FB2BF63F-4672-435C-B630-BCF121C0D798}"/>
    <cellStyle name="Lien hypertexte" xfId="55" builtinId="8"/>
    <cellStyle name="Lien hypertexte 2" xfId="71" xr:uid="{7D604A73-81AB-4584-8E78-9237CB109167}"/>
    <cellStyle name="Lien hypertexte 3" xfId="147" xr:uid="{2C6BEC9D-2A88-43E3-B0EE-023FC3F975F9}"/>
    <cellStyle name="Ligne_Bas" xfId="33" xr:uid="{00000000-0005-0000-0000-000021000000}"/>
    <cellStyle name="Milliers 2" xfId="64" xr:uid="{00000000-0005-0000-0000-000022000000}"/>
    <cellStyle name="Milliers 2 2" xfId="69" xr:uid="{00000000-0005-0000-0000-000023000000}"/>
    <cellStyle name="Milliers 2 3" xfId="179" xr:uid="{005C197F-C7B5-40DC-A8A0-F75D8BC33F7C}"/>
    <cellStyle name="Milliers 3" xfId="176" xr:uid="{BC09F95B-ADDC-4047-8447-B0AA674DF732}"/>
    <cellStyle name="Milliers 4" xfId="61" xr:uid="{00000000-0005-0000-0000-000024000000}"/>
    <cellStyle name="Milliers 4 2" xfId="181" xr:uid="{3F4D3633-5692-4D36-B21B-4433FDEED329}"/>
    <cellStyle name="Milliers 5" xfId="188" xr:uid="{0DB32ACD-AF7C-4596-A63D-CEBF37E63A42}"/>
    <cellStyle name="Motif" xfId="63" xr:uid="{00000000-0005-0000-0000-000025000000}"/>
    <cellStyle name="Motif 2" xfId="57" xr:uid="{00000000-0005-0000-0000-000026000000}"/>
    <cellStyle name="Neutre" xfId="34" builtinId="28" customBuiltin="1"/>
    <cellStyle name="Neutre 2" xfId="82" xr:uid="{29561B26-C6D0-4C5C-890C-CD0389D82A59}"/>
    <cellStyle name="Nom_Département" xfId="35" xr:uid="{00000000-0005-0000-0000-000028000000}"/>
    <cellStyle name="Normal" xfId="0" builtinId="0"/>
    <cellStyle name="Normal 2" xfId="56" xr:uid="{00000000-0005-0000-0000-00002A000000}"/>
    <cellStyle name="Normal 2 2" xfId="66" xr:uid="{00000000-0005-0000-0000-00002B000000}"/>
    <cellStyle name="Normal 2 2 2" xfId="67" xr:uid="{00000000-0005-0000-0000-00002C000000}"/>
    <cellStyle name="Normal 2 3" xfId="72" xr:uid="{733C3455-DA30-4898-940D-5F700993B443}"/>
    <cellStyle name="Normal 2 3 2" xfId="182" xr:uid="{00614771-53C3-4C29-8E04-BA19ABC5A990}"/>
    <cellStyle name="Normal 3" xfId="58" xr:uid="{00000000-0005-0000-0000-00002D000000}"/>
    <cellStyle name="Normal 4" xfId="59" xr:uid="{00000000-0005-0000-0000-00002E000000}"/>
    <cellStyle name="Normal 4 2" xfId="162" xr:uid="{361B602D-56C3-4ECB-9F5E-3A2C25F72142}"/>
    <cellStyle name="Normal 4 3" xfId="132" xr:uid="{9D1B5860-554C-4883-A016-F42097B6A2E8}"/>
    <cellStyle name="Normal 5" xfId="68" xr:uid="{00000000-0005-0000-0000-00002F000000}"/>
    <cellStyle name="Normal 5 2" xfId="180" xr:uid="{018CD8DC-58B6-4325-8B8D-07C6058A43D2}"/>
    <cellStyle name="Normal 5 3" xfId="177" xr:uid="{A161C6AE-C4A7-47DE-8FC1-350EEF01D73F}"/>
    <cellStyle name="Normal 6" xfId="70" xr:uid="{D97CC1D4-AC01-49D6-85C8-79FDEDEC3097}"/>
    <cellStyle name="Normal 6 2" xfId="178" xr:uid="{AA4745D2-2E7B-4033-B249-7402FC305611}"/>
    <cellStyle name="Normal 7" xfId="183" xr:uid="{1E760844-3F2B-4231-A44C-3FDF91E3139C}"/>
    <cellStyle name="Normal_FT2-3-PCS-et-filieres" xfId="62" xr:uid="{00000000-0005-0000-0000-000030000000}"/>
    <cellStyle name="Normal_Tab 1-16 1-19 1-18_ 07 mars" xfId="65" xr:uid="{00000000-0005-0000-0000-000031000000}"/>
    <cellStyle name="Note" xfId="28" builtinId="10" customBuiltin="1"/>
    <cellStyle name="Note 2" xfId="89" xr:uid="{27146AE1-617F-48A8-A0FB-619448DB75D6}"/>
    <cellStyle name="NOTE01" xfId="120" xr:uid="{DBA2EE0C-7BFC-48A0-B4EE-DDF198562AC0}"/>
    <cellStyle name="Pourcentage 2" xfId="54" xr:uid="{00000000-0005-0000-0000-000032000000}"/>
    <cellStyle name="Pourcentage 2 2" xfId="60" xr:uid="{00000000-0005-0000-0000-000033000000}"/>
    <cellStyle name="Pourcentage 2 3" xfId="146" xr:uid="{816A9E65-B6D3-4FE3-8EF3-0721AE38CE91}"/>
    <cellStyle name="REMARQ01" xfId="121" xr:uid="{2CC66F79-31ED-4A9B-A349-E51F213BDC54}"/>
    <cellStyle name="Résultat2" xfId="185" xr:uid="{C2F3D789-1D37-4D98-A38E-40A17E1F7C83}"/>
    <cellStyle name="S/TT_Nom" xfId="36" xr:uid="{00000000-0005-0000-0000-000034000000}"/>
    <cellStyle name="Sans nom1" xfId="186" xr:uid="{ACA57BFF-00F4-4E93-B1EE-14A47FB64AA7}"/>
    <cellStyle name="Satisfaisant" xfId="37" builtinId="26" customBuiltin="1"/>
    <cellStyle name="Satisfaisant 2" xfId="80" xr:uid="{271094BD-7BE6-4FAE-B565-CA3148503AE9}"/>
    <cellStyle name="Service_+" xfId="38" xr:uid="{00000000-0005-0000-0000-000036000000}"/>
    <cellStyle name="Sortie" xfId="39" builtinId="21" customBuiltin="1"/>
    <cellStyle name="Sortie 2" xfId="84" xr:uid="{399FE830-0471-47AB-AB0D-AB322347044E}"/>
    <cellStyle name="SOURSITU" xfId="122" xr:uid="{37CCA0E2-865E-4E58-B954-FBDBA3E81860}"/>
    <cellStyle name="SOUS TOT" xfId="123" xr:uid="{760C1B52-F363-4E6D-B5D9-4D916816FDBF}"/>
    <cellStyle name="Sous_Total" xfId="40" xr:uid="{00000000-0005-0000-0000-000038000000}"/>
    <cellStyle name="TABL01" xfId="124" xr:uid="{7189F490-B9EF-4065-B71C-C0AAAA0BE17E}"/>
    <cellStyle name="Texte explicatif" xfId="41" builtinId="53" customBuiltin="1"/>
    <cellStyle name="Texte explicatif 2" xfId="90" xr:uid="{79D93E0E-84F3-4378-9A3C-21E3A2936309}"/>
    <cellStyle name="TITCOL01" xfId="125" xr:uid="{3D14385B-551C-4751-98BE-C81984EF5DA7}"/>
    <cellStyle name="TITCOLG1" xfId="126" xr:uid="{BCCA654B-0E9A-4A3A-8A25-C3CCF111A2B4}"/>
    <cellStyle name="TITLIG01" xfId="127" xr:uid="{53031031-21DA-4DED-B980-120C114DA299}"/>
    <cellStyle name="Titre" xfId="42" builtinId="15" customBuiltin="1"/>
    <cellStyle name="Titre 2" xfId="75" xr:uid="{6A676B73-E895-4C14-99F1-A0AE63F9F884}"/>
    <cellStyle name="Titre 1" xfId="43" builtinId="16" customBuiltin="1"/>
    <cellStyle name="Titre 1 2" xfId="76" xr:uid="{5E914940-25FA-4015-9410-6EC7079645EB}"/>
    <cellStyle name="Titre 2" xfId="44" builtinId="17" customBuiltin="1"/>
    <cellStyle name="Titre 2 2" xfId="77" xr:uid="{384E8436-7729-47AA-964B-2F443A022E4B}"/>
    <cellStyle name="Titre 3" xfId="45" builtinId="18" customBuiltin="1"/>
    <cellStyle name="Titre 3 2" xfId="78" xr:uid="{CE543E6A-5513-4E72-A450-477B98DB8247}"/>
    <cellStyle name="Titre 4" xfId="46" builtinId="19" customBuiltin="1"/>
    <cellStyle name="Titre 4 2" xfId="79" xr:uid="{32B34B12-E282-4A69-958F-C3F36F47E1A5}"/>
    <cellStyle name="TITRE01" xfId="128" xr:uid="{641200AA-5DCF-409E-BF62-D3CEB0B4E4D5}"/>
    <cellStyle name="Titre1" xfId="187" xr:uid="{1DA8C450-E150-4FFC-B0BD-D935D1E6E52C}"/>
    <cellStyle name="Total" xfId="47" builtinId="25" customBuiltin="1"/>
    <cellStyle name="Total 2" xfId="91" xr:uid="{A5CEC0F9-6B47-4962-917E-FFEEB960D012}"/>
    <cellStyle name="TOTAL01" xfId="129" xr:uid="{A3E8B78A-6F09-488C-A3C1-F148A4E31956}"/>
    <cellStyle name="TOTALG1" xfId="130" xr:uid="{F0E3BD5E-5653-43FF-BD36-C6066A52068A}"/>
    <cellStyle name="TT_DPT_Corps" xfId="48" xr:uid="{00000000-0005-0000-0000-000040000000}"/>
    <cellStyle name="UNITE" xfId="131" xr:uid="{CD44E66F-3A03-4960-9BE4-71E2533EFDBF}"/>
    <cellStyle name="Valeur" xfId="49" xr:uid="{00000000-0005-0000-0000-000041000000}"/>
    <cellStyle name="Vérification" xfId="50" builtinId="23" customBuiltin="1"/>
    <cellStyle name="Vérification 2" xfId="87" xr:uid="{34E67767-22AE-413D-AB35-96761960F60A}"/>
    <cellStyle name="Vide_Département" xfId="51" xr:uid="{00000000-0005-0000-0000-000043000000}"/>
    <cellStyle name="Villes" xfId="52" xr:uid="{00000000-0005-0000-0000-000044000000}"/>
    <cellStyle name="Villes 2" xfId="53" xr:uid="{00000000-0005-0000-0000-00004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abSelected="1" zoomScaleNormal="100" workbookViewId="0"/>
  </sheetViews>
  <sheetFormatPr baseColWidth="10" defaultRowHeight="12.75" x14ac:dyDescent="0.2"/>
  <cols>
    <col min="1" max="1" width="141.28515625" customWidth="1"/>
    <col min="2" max="2" width="17.5703125" style="26" customWidth="1"/>
    <col min="3" max="3" width="28.42578125" customWidth="1"/>
  </cols>
  <sheetData>
    <row r="1" spans="1:4" x14ac:dyDescent="0.2">
      <c r="A1" s="167" t="s">
        <v>214</v>
      </c>
    </row>
    <row r="2" spans="1:4" s="22" customFormat="1" x14ac:dyDescent="0.2">
      <c r="B2" s="25"/>
    </row>
    <row r="3" spans="1:4" ht="39.75" customHeight="1" x14ac:dyDescent="0.2">
      <c r="A3" s="21" t="s">
        <v>194</v>
      </c>
      <c r="B3" s="166" t="s">
        <v>210</v>
      </c>
      <c r="C3" s="165" t="s">
        <v>213</v>
      </c>
      <c r="D3" s="253" t="s">
        <v>229</v>
      </c>
    </row>
    <row r="4" spans="1:4" ht="18.75" customHeight="1" x14ac:dyDescent="0.2">
      <c r="A4" s="24" t="s">
        <v>226</v>
      </c>
      <c r="B4" s="254" t="s">
        <v>167</v>
      </c>
      <c r="C4" s="253"/>
      <c r="D4" s="286" t="s">
        <v>242</v>
      </c>
    </row>
    <row r="5" spans="1:4" ht="18.75" customHeight="1" x14ac:dyDescent="0.2">
      <c r="A5" s="24" t="s">
        <v>196</v>
      </c>
      <c r="B5" s="94" t="s">
        <v>168</v>
      </c>
      <c r="C5" s="99"/>
      <c r="D5" s="286"/>
    </row>
    <row r="6" spans="1:4" x14ac:dyDescent="0.2">
      <c r="A6" s="120"/>
      <c r="B6" s="122"/>
    </row>
    <row r="7" spans="1:4" x14ac:dyDescent="0.2">
      <c r="A7" s="120"/>
      <c r="B7" s="122"/>
    </row>
    <row r="8" spans="1:4" s="23" customFormat="1" ht="38.25" x14ac:dyDescent="0.2">
      <c r="A8" s="21" t="s">
        <v>193</v>
      </c>
      <c r="B8" s="166" t="s">
        <v>210</v>
      </c>
      <c r="C8" s="165" t="s">
        <v>213</v>
      </c>
      <c r="D8" s="253" t="s">
        <v>229</v>
      </c>
    </row>
    <row r="9" spans="1:4" ht="17.25" customHeight="1" x14ac:dyDescent="0.2">
      <c r="A9" s="24" t="s">
        <v>24</v>
      </c>
      <c r="B9" s="94" t="s">
        <v>165</v>
      </c>
      <c r="C9" s="99"/>
      <c r="D9" s="263"/>
    </row>
    <row r="10" spans="1:4" ht="17.25" customHeight="1" x14ac:dyDescent="0.2">
      <c r="A10" s="24" t="s">
        <v>267</v>
      </c>
      <c r="B10" s="94" t="s">
        <v>166</v>
      </c>
      <c r="C10" s="99"/>
      <c r="D10" s="263"/>
    </row>
    <row r="11" spans="1:4" ht="17.25" customHeight="1" x14ac:dyDescent="0.2">
      <c r="A11" s="24" t="s">
        <v>188</v>
      </c>
      <c r="B11" s="94" t="s">
        <v>211</v>
      </c>
      <c r="C11" s="99"/>
      <c r="D11" s="263"/>
    </row>
    <row r="12" spans="1:4" ht="17.25" customHeight="1" x14ac:dyDescent="0.2">
      <c r="A12" s="93" t="s">
        <v>221</v>
      </c>
      <c r="B12" s="100" t="s">
        <v>187</v>
      </c>
      <c r="C12" s="99"/>
      <c r="D12" s="286" t="s">
        <v>242</v>
      </c>
    </row>
    <row r="13" spans="1:4" x14ac:dyDescent="0.2">
      <c r="A13" s="120"/>
      <c r="B13" s="121"/>
    </row>
    <row r="14" spans="1:4" x14ac:dyDescent="0.2">
      <c r="B14" s="122"/>
    </row>
    <row r="15" spans="1:4" ht="38.25" x14ac:dyDescent="0.2">
      <c r="A15" s="21" t="s">
        <v>195</v>
      </c>
      <c r="B15" s="166" t="s">
        <v>210</v>
      </c>
      <c r="C15" s="165" t="s">
        <v>213</v>
      </c>
      <c r="D15" s="253" t="s">
        <v>229</v>
      </c>
    </row>
    <row r="16" spans="1:4" ht="16.5" customHeight="1" x14ac:dyDescent="0.2">
      <c r="A16" s="93" t="s">
        <v>224</v>
      </c>
      <c r="B16" s="100" t="s">
        <v>169</v>
      </c>
      <c r="C16" s="99"/>
      <c r="D16" s="263"/>
    </row>
    <row r="17" spans="1:4" ht="16.5" customHeight="1" x14ac:dyDescent="0.2">
      <c r="A17" s="93" t="s">
        <v>270</v>
      </c>
      <c r="B17" s="99" t="s">
        <v>170</v>
      </c>
      <c r="C17" s="99"/>
      <c r="D17" s="263"/>
    </row>
    <row r="18" spans="1:4" ht="16.5" customHeight="1" x14ac:dyDescent="0.2">
      <c r="A18" s="93" t="s">
        <v>271</v>
      </c>
      <c r="B18" s="100" t="s">
        <v>171</v>
      </c>
      <c r="C18" s="99"/>
      <c r="D18" s="263"/>
    </row>
    <row r="19" spans="1:4" ht="16.5" customHeight="1" x14ac:dyDescent="0.2">
      <c r="A19" s="93" t="s">
        <v>223</v>
      </c>
      <c r="B19" s="100" t="s">
        <v>172</v>
      </c>
      <c r="C19" s="99"/>
      <c r="D19" s="286" t="s">
        <v>242</v>
      </c>
    </row>
    <row r="20" spans="1:4" ht="16.5" customHeight="1" x14ac:dyDescent="0.2">
      <c r="A20" s="93" t="s">
        <v>257</v>
      </c>
      <c r="B20" s="100" t="s">
        <v>173</v>
      </c>
      <c r="C20" s="99"/>
      <c r="D20" s="263"/>
    </row>
  </sheetData>
  <hyperlinks>
    <hyperlink ref="A10" location="'Figure 2 catégorie'!A1" display="Répartition par statut dans la fonction publique au 31 décembre 2021" xr:uid="{00000000-0004-0000-0000-000000000000}"/>
    <hyperlink ref="A9" location="'Figure 1 catégorie'!A1" display="Effectifs physiques par catégorie hiérarchique depuis 2011" xr:uid="{00000000-0004-0000-0000-000001000000}"/>
    <hyperlink ref="A12" location="'Figure 4 catégorie'!A1" display="Effectifs physiques par catégorie socioprofessionnelle et par catégorie hiérarchique dans les trois versants au 31 décembre 2021" xr:uid="{00000000-0004-0000-0000-000004000000}"/>
    <hyperlink ref="A16" location="'Figure 1 loc'!A1" display="Effectifs physiques par département de fonction dans les trois versants de la fonction publique au 31 décembre" xr:uid="{00000000-0004-0000-0000-000005000000}"/>
    <hyperlink ref="A20" location="'Figure 5 loc'!A1" display="Emploi public à Mayotte au 2e trimestre de chaque année" xr:uid="{00000000-0004-0000-0000-000006000000}"/>
    <hyperlink ref="A17" location="'Figure 2 loc'!A1" display="Effectifs physiques dans les trois versants de la fonction publique et en équivalent temps plein par région et département au 31 décembre 2021" xr:uid="{00000000-0004-0000-0000-000007000000}"/>
    <hyperlink ref="A18" location="'Figure 3 loc'!A1" display="Effectifs physiques des fonctionnaires dans les trois versants de la fonction publique et en équivalent temps plein par région et département au 31 décembre 2021" xr:uid="{00000000-0004-0000-0000-000008000000}"/>
    <hyperlink ref="A19" location="'Figure 4 loc'!A1" display="Taux d'administration par département de fonction dans les trois versants de la fonction publique depuis 2011" xr:uid="{00000000-0004-0000-0000-00000B000000}"/>
    <hyperlink ref="A11" location="'Figure 3 catégorie'!A1" display="Effectifs physiques dans les emplois et corps de catégorie A+ dans les trois versants de la fonction publique depuis 2012" xr:uid="{00000000-0004-0000-0000-00000C000000}"/>
    <hyperlink ref="A5" location="'Figure 2 statut'!A1" display="Effectifs physiques au 31 décembre des apprentis dans les trois versants de la fonction publique" xr:uid="{00000000-0004-0000-0000-00000D000000}"/>
    <hyperlink ref="A4" location="'Figure 1 statut'!A1" display="Effectifs physiques de la fonction publique par statut au 31 décembre" xr:uid="{4CA0E460-FA26-47D0-8D47-DA13326B73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ED18-D131-4323-9CD9-C52CF35BB216}">
  <dimension ref="A1:B7"/>
  <sheetViews>
    <sheetView showGridLines="0" zoomScaleNormal="100" workbookViewId="0"/>
  </sheetViews>
  <sheetFormatPr baseColWidth="10" defaultRowHeight="12.75" x14ac:dyDescent="0.2"/>
  <cols>
    <col min="1" max="1" width="109.7109375" customWidth="1"/>
  </cols>
  <sheetData>
    <row r="1" spans="1:2" ht="30" customHeight="1" x14ac:dyDescent="0.2">
      <c r="A1" s="398" t="s">
        <v>217</v>
      </c>
    </row>
    <row r="2" spans="1:2" ht="60" x14ac:dyDescent="0.2">
      <c r="A2" s="289" t="s">
        <v>280</v>
      </c>
    </row>
    <row r="3" spans="1:2" ht="90" x14ac:dyDescent="0.2">
      <c r="A3" s="289" t="s">
        <v>281</v>
      </c>
    </row>
    <row r="4" spans="1:2" ht="44.25" customHeight="1" x14ac:dyDescent="0.2">
      <c r="A4" s="289" t="s">
        <v>282</v>
      </c>
    </row>
    <row r="5" spans="1:2" ht="30" x14ac:dyDescent="0.2">
      <c r="A5" s="289" t="s">
        <v>260</v>
      </c>
    </row>
    <row r="6" spans="1:2" ht="45" x14ac:dyDescent="0.2">
      <c r="A6" s="291" t="s">
        <v>283</v>
      </c>
      <c r="B6" s="292"/>
    </row>
    <row r="7" spans="1:2" ht="15" x14ac:dyDescent="0.2">
      <c r="A7" s="28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97B2-F82B-4B19-93BF-B63CF76F1205}">
  <dimension ref="A1:Y49"/>
  <sheetViews>
    <sheetView showGridLines="0" zoomScaleNormal="100" workbookViewId="0">
      <pane xSplit="2" topLeftCell="N1" activePane="topRight" state="frozen"/>
      <selection pane="topRight"/>
    </sheetView>
  </sheetViews>
  <sheetFormatPr baseColWidth="10" defaultColWidth="11.42578125" defaultRowHeight="12.75" x14ac:dyDescent="0.2"/>
  <cols>
    <col min="1" max="1" width="22.28515625" style="230" customWidth="1"/>
    <col min="2" max="2" width="27.85546875" style="230" customWidth="1"/>
    <col min="3" max="22" width="11.42578125" style="230"/>
    <col min="23" max="23" width="11.42578125" style="230" customWidth="1"/>
    <col min="24" max="24" width="11.42578125" style="230"/>
    <col min="25" max="25" width="11.42578125" style="230" customWidth="1"/>
    <col min="26" max="16384" width="11.42578125" style="230"/>
  </cols>
  <sheetData>
    <row r="1" spans="1:25" x14ac:dyDescent="0.2">
      <c r="A1" s="229" t="s">
        <v>226</v>
      </c>
    </row>
    <row r="2" spans="1:25" x14ac:dyDescent="0.2">
      <c r="A2" s="284" t="s">
        <v>263</v>
      </c>
    </row>
    <row r="3" spans="1:25" ht="14.25" x14ac:dyDescent="0.2">
      <c r="A3" s="231"/>
      <c r="B3" s="232"/>
      <c r="C3" s="233">
        <v>2002</v>
      </c>
      <c r="D3" s="233">
        <v>2003</v>
      </c>
      <c r="E3" s="234">
        <v>2004</v>
      </c>
      <c r="F3" s="234" t="s">
        <v>34</v>
      </c>
      <c r="G3" s="234">
        <v>2006</v>
      </c>
      <c r="H3" s="234">
        <v>2007</v>
      </c>
      <c r="I3" s="233">
        <v>2008</v>
      </c>
      <c r="J3" s="235">
        <v>2009</v>
      </c>
      <c r="K3" s="233">
        <v>2010</v>
      </c>
      <c r="L3" s="233">
        <v>2011</v>
      </c>
      <c r="M3" s="236">
        <v>2012</v>
      </c>
      <c r="N3" s="233">
        <v>2013</v>
      </c>
      <c r="O3" s="233">
        <v>2014</v>
      </c>
      <c r="P3" s="233">
        <v>2015</v>
      </c>
      <c r="Q3" s="233">
        <v>2016</v>
      </c>
      <c r="R3" s="233">
        <v>2017</v>
      </c>
      <c r="S3" s="233">
        <v>2018</v>
      </c>
      <c r="T3" s="233">
        <v>2019</v>
      </c>
      <c r="U3" s="233">
        <v>2020</v>
      </c>
      <c r="V3" s="233">
        <v>2021</v>
      </c>
      <c r="W3" s="233">
        <v>2022</v>
      </c>
      <c r="X3" s="233">
        <v>2023</v>
      </c>
      <c r="Y3" s="233">
        <v>2024</v>
      </c>
    </row>
    <row r="4" spans="1:25" ht="12.95" customHeight="1" x14ac:dyDescent="0.2">
      <c r="A4" s="237" t="s">
        <v>18</v>
      </c>
      <c r="B4" s="238" t="s">
        <v>10</v>
      </c>
      <c r="C4" s="240">
        <v>115.31769557932721</v>
      </c>
      <c r="D4" s="240">
        <v>115.8962160776764</v>
      </c>
      <c r="E4" s="240">
        <v>116.4776388709885</v>
      </c>
      <c r="F4" s="240">
        <v>116.41964170640544</v>
      </c>
      <c r="G4" s="240">
        <v>115.3112514499291</v>
      </c>
      <c r="H4" s="240">
        <v>111.18056450573526</v>
      </c>
      <c r="I4" s="240">
        <v>106.07036989302745</v>
      </c>
      <c r="J4" s="240">
        <v>103.28006186364222</v>
      </c>
      <c r="K4" s="240">
        <v>101.94612707823174</v>
      </c>
      <c r="L4" s="333">
        <v>100</v>
      </c>
      <c r="M4" s="240">
        <v>99.162263178244615</v>
      </c>
      <c r="N4" s="240">
        <v>98.5565150148215</v>
      </c>
      <c r="O4" s="240">
        <v>99.104266013661558</v>
      </c>
      <c r="P4" s="240">
        <v>99.394251836576871</v>
      </c>
      <c r="Q4" s="240">
        <v>99.619796365511007</v>
      </c>
      <c r="R4" s="240">
        <v>99.671349400695945</v>
      </c>
      <c r="S4" s="240">
        <v>99.568243330326041</v>
      </c>
      <c r="T4" s="240">
        <v>99.155819048846482</v>
      </c>
      <c r="U4" s="240">
        <v>98.752352107230294</v>
      </c>
      <c r="V4" s="240">
        <v>97.925956953215589</v>
      </c>
      <c r="W4" s="240">
        <v>97.910817055713096</v>
      </c>
      <c r="X4" s="240">
        <v>97.301643347023713</v>
      </c>
      <c r="Y4" s="240">
        <v>97.18606091123776</v>
      </c>
    </row>
    <row r="5" spans="1:25" ht="12.95" customHeight="1" x14ac:dyDescent="0.2">
      <c r="A5" s="241"/>
      <c r="B5" s="242" t="s">
        <v>11</v>
      </c>
      <c r="C5" s="244">
        <v>90.660093125171201</v>
      </c>
      <c r="D5" s="244">
        <v>86.252773406878532</v>
      </c>
      <c r="E5" s="244">
        <v>82.059709668583949</v>
      </c>
      <c r="F5" s="244">
        <v>83.155299917830732</v>
      </c>
      <c r="G5" s="244">
        <v>85.702547247329491</v>
      </c>
      <c r="H5" s="244">
        <v>88.003286770747749</v>
      </c>
      <c r="I5" s="244">
        <v>91.454396055875094</v>
      </c>
      <c r="J5" s="244">
        <v>99.945220487537654</v>
      </c>
      <c r="K5" s="244">
        <v>101.12298000547794</v>
      </c>
      <c r="L5" s="334">
        <v>100</v>
      </c>
      <c r="M5" s="244">
        <v>101.20514927417146</v>
      </c>
      <c r="N5" s="244">
        <v>105.58751027115859</v>
      </c>
      <c r="O5" s="244">
        <v>102.90331416050398</v>
      </c>
      <c r="P5" s="244">
        <v>103.77978635990139</v>
      </c>
      <c r="Q5" s="244">
        <v>109.47685565598466</v>
      </c>
      <c r="R5" s="244">
        <v>113.99616543412765</v>
      </c>
      <c r="S5" s="244">
        <v>120.56970692960833</v>
      </c>
      <c r="T5" s="244">
        <v>128.45795672418515</v>
      </c>
      <c r="U5" s="244">
        <v>138.31279101615996</v>
      </c>
      <c r="V5" s="244">
        <v>142.22541769378253</v>
      </c>
      <c r="W5" s="244">
        <v>147.48489677801751</v>
      </c>
      <c r="X5" s="244">
        <v>155.64146367851106</v>
      </c>
      <c r="Y5" s="244">
        <v>161.19688166600722</v>
      </c>
    </row>
    <row r="6" spans="1:25" ht="14.25" x14ac:dyDescent="0.2">
      <c r="A6" s="241"/>
      <c r="B6" s="242" t="s">
        <v>33</v>
      </c>
      <c r="C6" s="244">
        <v>100.40841972981465</v>
      </c>
      <c r="D6" s="244">
        <v>104.18593246259594</v>
      </c>
      <c r="E6" s="244">
        <v>108.10556079170594</v>
      </c>
      <c r="F6" s="244">
        <v>109.17373546968268</v>
      </c>
      <c r="G6" s="244">
        <v>109.17373546968268</v>
      </c>
      <c r="H6" s="244">
        <v>108.3568960100534</v>
      </c>
      <c r="I6" s="244">
        <v>105.21520578071002</v>
      </c>
      <c r="J6" s="244">
        <v>102.73327049952876</v>
      </c>
      <c r="K6" s="244">
        <v>101.25667609173736</v>
      </c>
      <c r="L6" s="334">
        <v>100</v>
      </c>
      <c r="M6" s="244">
        <v>98.397737983034858</v>
      </c>
      <c r="N6" s="244">
        <v>97.329563305058116</v>
      </c>
      <c r="O6" s="244">
        <v>95.318881558278335</v>
      </c>
      <c r="P6" s="244">
        <v>94.344957587181895</v>
      </c>
      <c r="Q6" s="244">
        <v>96.638391454602569</v>
      </c>
      <c r="R6" s="244">
        <v>97.109644989004067</v>
      </c>
      <c r="S6" s="244">
        <v>96.575557650015668</v>
      </c>
      <c r="T6" s="244">
        <v>96.952560477536892</v>
      </c>
      <c r="U6" s="244">
        <v>97.9004084197298</v>
      </c>
      <c r="V6" s="244">
        <v>97.793590951932117</v>
      </c>
      <c r="W6" s="244">
        <v>97.161188170782964</v>
      </c>
      <c r="X6" s="244">
        <v>96.673137877283537</v>
      </c>
      <c r="Y6" s="244">
        <v>97.264458429145535</v>
      </c>
    </row>
    <row r="7" spans="1:25" ht="12.95" customHeight="1" x14ac:dyDescent="0.2">
      <c r="A7" s="241"/>
      <c r="B7" s="242" t="s">
        <v>30</v>
      </c>
      <c r="C7" s="244">
        <v>113.77974543442168</v>
      </c>
      <c r="D7" s="244">
        <v>113.83507232581904</v>
      </c>
      <c r="E7" s="244">
        <v>113.89042612064196</v>
      </c>
      <c r="F7" s="244">
        <v>111.34477033757609</v>
      </c>
      <c r="G7" s="244">
        <v>110.7360265633647</v>
      </c>
      <c r="H7" s="244">
        <v>108.68843386828999</v>
      </c>
      <c r="I7" s="244">
        <v>107.58162700608746</v>
      </c>
      <c r="J7" s="244">
        <v>104.70392916436083</v>
      </c>
      <c r="K7" s="244">
        <v>102.15827338129498</v>
      </c>
      <c r="L7" s="334">
        <v>100</v>
      </c>
      <c r="M7" s="244">
        <v>98.671831765356956</v>
      </c>
      <c r="N7" s="244">
        <v>97.343663530713897</v>
      </c>
      <c r="O7" s="244">
        <v>97.232982844493634</v>
      </c>
      <c r="P7" s="244">
        <v>97.565024903154409</v>
      </c>
      <c r="Q7" s="244">
        <v>98.671831765356956</v>
      </c>
      <c r="R7" s="244">
        <v>98.61649142224681</v>
      </c>
      <c r="S7" s="244">
        <v>97.620365246264527</v>
      </c>
      <c r="T7" s="244">
        <v>96.015495296070839</v>
      </c>
      <c r="U7" s="244">
        <v>95.335915882678464</v>
      </c>
      <c r="V7" s="244">
        <v>93.426674045379073</v>
      </c>
      <c r="W7" s="244">
        <v>92.397215295699894</v>
      </c>
      <c r="X7" s="244">
        <v>92.51878986164499</v>
      </c>
      <c r="Y7" s="244">
        <v>92.698428426217205</v>
      </c>
    </row>
    <row r="8" spans="1:25" ht="12.95" customHeight="1" x14ac:dyDescent="0.2">
      <c r="A8" s="245"/>
      <c r="B8" s="246" t="s">
        <v>3</v>
      </c>
      <c r="C8" s="251">
        <v>109.51198311188372</v>
      </c>
      <c r="D8" s="251">
        <v>109.74353598714836</v>
      </c>
      <c r="E8" s="251">
        <v>109.97557845937328</v>
      </c>
      <c r="F8" s="251">
        <v>110.05836334285357</v>
      </c>
      <c r="G8" s="251">
        <v>109.68583136719234</v>
      </c>
      <c r="H8" s="251">
        <v>107.12363922347778</v>
      </c>
      <c r="I8" s="251">
        <v>103.86191481435489</v>
      </c>
      <c r="J8" s="251">
        <v>102.80640754998136</v>
      </c>
      <c r="K8" s="251">
        <v>101.74676104143383</v>
      </c>
      <c r="L8" s="335">
        <v>100</v>
      </c>
      <c r="M8" s="248">
        <v>99.337720932157794</v>
      </c>
      <c r="N8" s="336">
        <v>99.366695641375884</v>
      </c>
      <c r="O8" s="251">
        <v>99.035556107454781</v>
      </c>
      <c r="P8" s="251">
        <v>99.25907529285152</v>
      </c>
      <c r="Q8" s="251">
        <v>100.64572209114615</v>
      </c>
      <c r="R8" s="251">
        <v>101.41976075168672</v>
      </c>
      <c r="S8" s="251">
        <v>102.20621714474936</v>
      </c>
      <c r="T8" s="251">
        <v>103.06304068877023</v>
      </c>
      <c r="U8" s="251">
        <v>104.36309449894448</v>
      </c>
      <c r="V8" s="251">
        <v>104.26669150213169</v>
      </c>
      <c r="W8" s="251">
        <v>104.89913876862427</v>
      </c>
      <c r="X8" s="251">
        <v>105.71181077870601</v>
      </c>
      <c r="Y8" s="251">
        <v>106.58093080300095</v>
      </c>
    </row>
    <row r="9" spans="1:25" ht="14.25" customHeight="1" x14ac:dyDescent="0.2">
      <c r="A9" s="249" t="s">
        <v>20</v>
      </c>
      <c r="B9" s="242" t="s">
        <v>32</v>
      </c>
      <c r="C9" s="240">
        <v>76.168522590254625</v>
      </c>
      <c r="D9" s="240">
        <v>79.09820744586176</v>
      </c>
      <c r="E9" s="240">
        <v>82.140577345911041</v>
      </c>
      <c r="F9" s="240">
        <v>84.573373998155887</v>
      </c>
      <c r="G9" s="240">
        <v>86.410383715157081</v>
      </c>
      <c r="H9" s="240">
        <v>91.800836938789971</v>
      </c>
      <c r="I9" s="240">
        <v>96.928860202851254</v>
      </c>
      <c r="J9" s="240">
        <v>99.44676927441661</v>
      </c>
      <c r="K9" s="240">
        <v>100.17022483864102</v>
      </c>
      <c r="L9" s="240">
        <v>100</v>
      </c>
      <c r="M9" s="240">
        <v>101.41854032200865</v>
      </c>
      <c r="N9" s="240">
        <v>103.06404709553868</v>
      </c>
      <c r="O9" s="240">
        <v>104.12085963543515</v>
      </c>
      <c r="P9" s="240">
        <v>104.42584580466701</v>
      </c>
      <c r="Q9" s="240">
        <v>104.21306475636571</v>
      </c>
      <c r="R9" s="240">
        <v>104.10667423221506</v>
      </c>
      <c r="S9" s="240">
        <v>104.14213774026527</v>
      </c>
      <c r="T9" s="240">
        <v>104.19178665153557</v>
      </c>
      <c r="U9" s="240">
        <v>103.24221575998298</v>
      </c>
      <c r="V9" s="240">
        <v>102.61656855096105</v>
      </c>
      <c r="W9" s="240">
        <v>101.60814030903821</v>
      </c>
      <c r="X9" s="240">
        <v>100.94322057314767</v>
      </c>
      <c r="Y9" s="240">
        <v>100.65101651359382</v>
      </c>
    </row>
    <row r="10" spans="1:25" ht="12.95" customHeight="1" x14ac:dyDescent="0.2">
      <c r="A10" s="241"/>
      <c r="B10" s="242" t="s">
        <v>11</v>
      </c>
      <c r="C10" s="244">
        <v>78.136300417246176</v>
      </c>
      <c r="D10" s="244">
        <v>81.205372546067508</v>
      </c>
      <c r="E10" s="244">
        <v>84.394993045897081</v>
      </c>
      <c r="F10" s="244">
        <v>85.424200278164136</v>
      </c>
      <c r="G10" s="244">
        <v>91.210013908205852</v>
      </c>
      <c r="H10" s="244">
        <v>95.577190542420041</v>
      </c>
      <c r="I10" s="244">
        <v>96.801112656467325</v>
      </c>
      <c r="J10" s="244">
        <v>96.24478442280946</v>
      </c>
      <c r="K10" s="244">
        <v>94.659248956884568</v>
      </c>
      <c r="L10" s="244">
        <v>100</v>
      </c>
      <c r="M10" s="244">
        <v>102.83727399165508</v>
      </c>
      <c r="N10" s="244">
        <v>100.91794158553547</v>
      </c>
      <c r="O10" s="244">
        <v>101.30737134909597</v>
      </c>
      <c r="P10" s="244">
        <v>99.026425591098757</v>
      </c>
      <c r="Q10" s="244">
        <v>99.276773296244784</v>
      </c>
      <c r="R10" s="244">
        <v>104.61752433936023</v>
      </c>
      <c r="S10" s="244">
        <v>108.78998609179418</v>
      </c>
      <c r="T10" s="244">
        <v>113.40751043115439</v>
      </c>
      <c r="U10" s="244">
        <v>116.80000000000001</v>
      </c>
      <c r="V10" s="244">
        <v>121.49068150208626</v>
      </c>
      <c r="W10" s="244">
        <v>127.11076416310351</v>
      </c>
      <c r="X10" s="244">
        <v>135.05396255094143</v>
      </c>
      <c r="Y10" s="244">
        <v>138.77198667612549</v>
      </c>
    </row>
    <row r="11" spans="1:25" ht="12.95" customHeight="1" x14ac:dyDescent="0.2">
      <c r="A11" s="241"/>
      <c r="B11" s="242" t="s">
        <v>30</v>
      </c>
      <c r="C11" s="244">
        <v>100.65252854812395</v>
      </c>
      <c r="D11" s="244">
        <v>101.30295553323178</v>
      </c>
      <c r="E11" s="244">
        <v>101.95758564437192</v>
      </c>
      <c r="F11" s="244">
        <v>103.42577487765088</v>
      </c>
      <c r="G11" s="244">
        <v>105.38336052202281</v>
      </c>
      <c r="H11" s="244">
        <v>106.19902120717779</v>
      </c>
      <c r="I11" s="244">
        <v>90.0489396411093</v>
      </c>
      <c r="J11" s="244">
        <v>95.106035889070142</v>
      </c>
      <c r="K11" s="244">
        <v>95.269168026101141</v>
      </c>
      <c r="L11" s="244">
        <v>100</v>
      </c>
      <c r="M11" s="244">
        <v>102.44698205546491</v>
      </c>
      <c r="N11" s="244">
        <v>102.44698205546491</v>
      </c>
      <c r="O11" s="244">
        <v>101.79445350734093</v>
      </c>
      <c r="P11" s="244">
        <v>99.510603588907003</v>
      </c>
      <c r="Q11" s="244">
        <v>97.389885807504072</v>
      </c>
      <c r="R11" s="244">
        <v>95.106035889070128</v>
      </c>
      <c r="S11" s="244">
        <v>97.063621533442088</v>
      </c>
      <c r="T11" s="244">
        <v>96.73735725938009</v>
      </c>
      <c r="U11" s="244">
        <v>91.900489396411089</v>
      </c>
      <c r="V11" s="244">
        <v>96.171288743882542</v>
      </c>
      <c r="W11" s="244">
        <v>101.82471564962326</v>
      </c>
      <c r="X11" s="244">
        <v>99.967318296670697</v>
      </c>
      <c r="Y11" s="244">
        <v>99.537424050033479</v>
      </c>
    </row>
    <row r="12" spans="1:25" ht="12.95" customHeight="1" x14ac:dyDescent="0.2">
      <c r="A12" s="241"/>
      <c r="B12" s="250" t="s">
        <v>3</v>
      </c>
      <c r="C12" s="251">
        <v>77.374774676353312</v>
      </c>
      <c r="D12" s="251">
        <v>80.257123737877151</v>
      </c>
      <c r="E12" s="251">
        <v>83.246845468946304</v>
      </c>
      <c r="F12" s="251">
        <v>85.366253345714753</v>
      </c>
      <c r="G12" s="251">
        <v>87.99366362593544</v>
      </c>
      <c r="H12" s="251">
        <v>93.029988528977981</v>
      </c>
      <c r="I12" s="251">
        <v>96.67340361610313</v>
      </c>
      <c r="J12" s="251">
        <v>98.678101272737209</v>
      </c>
      <c r="K12" s="251">
        <v>98.923908887310859</v>
      </c>
      <c r="L12" s="251">
        <v>100</v>
      </c>
      <c r="M12" s="251">
        <v>101.73157808488556</v>
      </c>
      <c r="N12" s="251">
        <v>102.62194788878571</v>
      </c>
      <c r="O12" s="251">
        <v>103.49593051838096</v>
      </c>
      <c r="P12" s="251">
        <v>103.20096138089256</v>
      </c>
      <c r="Q12" s="251">
        <v>103.01524007210358</v>
      </c>
      <c r="R12" s="251">
        <v>103.90560987600371</v>
      </c>
      <c r="S12" s="251">
        <v>104.81782924564375</v>
      </c>
      <c r="T12" s="251">
        <v>105.75189818102365</v>
      </c>
      <c r="U12" s="251">
        <v>105.52482656907193</v>
      </c>
      <c r="V12" s="251">
        <v>106.10711749603976</v>
      </c>
      <c r="W12" s="251">
        <v>106.61048815110928</v>
      </c>
      <c r="X12" s="251">
        <v>107.66249998281293</v>
      </c>
      <c r="Y12" s="251">
        <v>108.20183882448775</v>
      </c>
    </row>
    <row r="13" spans="1:25" ht="12.95" customHeight="1" x14ac:dyDescent="0.2">
      <c r="A13" s="237" t="s">
        <v>31</v>
      </c>
      <c r="B13" s="238" t="s">
        <v>10</v>
      </c>
      <c r="C13" s="240">
        <v>90.967507274490799</v>
      </c>
      <c r="D13" s="240">
        <v>93.343131494724787</v>
      </c>
      <c r="E13" s="240">
        <v>95.780795344325909</v>
      </c>
      <c r="F13" s="240">
        <v>97.635790494665386</v>
      </c>
      <c r="G13" s="240">
        <v>98.338991270611075</v>
      </c>
      <c r="H13" s="240">
        <v>98.77546071774978</v>
      </c>
      <c r="I13" s="240">
        <v>97.74490785645007</v>
      </c>
      <c r="J13" s="240">
        <v>98.908826382153265</v>
      </c>
      <c r="K13" s="240">
        <v>99.587778855480124</v>
      </c>
      <c r="L13" s="240">
        <v>100</v>
      </c>
      <c r="M13" s="240">
        <v>100.58195926285161</v>
      </c>
      <c r="N13" s="240">
        <v>101.35790494665373</v>
      </c>
      <c r="O13" s="240">
        <v>101.64888457807953</v>
      </c>
      <c r="P13" s="240">
        <v>101.40640155189136</v>
      </c>
      <c r="Q13" s="240">
        <v>100.98205625606208</v>
      </c>
      <c r="R13" s="240">
        <v>100.20611057225996</v>
      </c>
      <c r="S13" s="240">
        <v>99.005819592628526</v>
      </c>
      <c r="T13" s="240">
        <v>98.266246362754615</v>
      </c>
      <c r="U13" s="240">
        <v>97.810257032007769</v>
      </c>
      <c r="V13" s="240">
        <v>97.80031522793405</v>
      </c>
      <c r="W13" s="240">
        <v>98.478173294409345</v>
      </c>
      <c r="X13" s="240">
        <v>100.40557395975834</v>
      </c>
      <c r="Y13" s="240">
        <v>100.4445608499837</v>
      </c>
    </row>
    <row r="14" spans="1:25" ht="12.95" customHeight="1" x14ac:dyDescent="0.2">
      <c r="A14" s="241"/>
      <c r="B14" s="242" t="s">
        <v>11</v>
      </c>
      <c r="C14" s="244">
        <v>65.650826446280988</v>
      </c>
      <c r="D14" s="244">
        <v>68.729467722760646</v>
      </c>
      <c r="E14" s="244">
        <v>71.952479338842963</v>
      </c>
      <c r="F14" s="244">
        <v>74.690082644628077</v>
      </c>
      <c r="G14" s="244">
        <v>73.708677685950391</v>
      </c>
      <c r="H14" s="244">
        <v>78.460743801652882</v>
      </c>
      <c r="I14" s="244">
        <v>89.049586776859499</v>
      </c>
      <c r="J14" s="244">
        <v>89.824380165289256</v>
      </c>
      <c r="K14" s="244">
        <v>93.026859504132233</v>
      </c>
      <c r="L14" s="244">
        <v>100</v>
      </c>
      <c r="M14" s="244">
        <v>99.535123966942137</v>
      </c>
      <c r="N14" s="244">
        <v>102.63429752066114</v>
      </c>
      <c r="O14" s="244">
        <v>104.75206611570248</v>
      </c>
      <c r="P14" s="244">
        <v>106.04338842975207</v>
      </c>
      <c r="Q14" s="244">
        <v>109.81404958677686</v>
      </c>
      <c r="R14" s="244">
        <v>116.27066115702479</v>
      </c>
      <c r="S14" s="244">
        <v>123.50206611570248</v>
      </c>
      <c r="T14" s="244">
        <v>128.099173553719</v>
      </c>
      <c r="U14" s="244">
        <v>140.40599173553719</v>
      </c>
      <c r="V14" s="244">
        <v>141.77324380165288</v>
      </c>
      <c r="W14" s="244">
        <v>138.08616288462107</v>
      </c>
      <c r="X14" s="244">
        <v>139.53924799159711</v>
      </c>
      <c r="Y14" s="244">
        <v>140.60319243861042</v>
      </c>
    </row>
    <row r="15" spans="1:25" ht="12.95" customHeight="1" x14ac:dyDescent="0.2">
      <c r="A15" s="241"/>
      <c r="B15" s="242" t="s">
        <v>30</v>
      </c>
      <c r="C15" s="244">
        <v>85.778577857785763</v>
      </c>
      <c r="D15" s="244">
        <v>91.610902885955326</v>
      </c>
      <c r="E15" s="244">
        <v>97.839783978397833</v>
      </c>
      <c r="F15" s="244">
        <v>91.899189918991894</v>
      </c>
      <c r="G15" s="244">
        <v>91.539153915391537</v>
      </c>
      <c r="H15" s="244">
        <v>95.67956795679568</v>
      </c>
      <c r="I15" s="244">
        <v>95.589558955895598</v>
      </c>
      <c r="J15" s="244">
        <v>95.499549954995487</v>
      </c>
      <c r="K15" s="244">
        <v>98.109810981098107</v>
      </c>
      <c r="L15" s="244">
        <v>100</v>
      </c>
      <c r="M15" s="244">
        <v>103.15031503150315</v>
      </c>
      <c r="N15" s="244">
        <v>106.21062106210623</v>
      </c>
      <c r="O15" s="244">
        <v>107.92079207920796</v>
      </c>
      <c r="P15" s="244">
        <v>109.45094509450946</v>
      </c>
      <c r="Q15" s="244">
        <v>107.83078307830785</v>
      </c>
      <c r="R15" s="244">
        <v>109.63096309630964</v>
      </c>
      <c r="S15" s="244">
        <v>111.07110711071108</v>
      </c>
      <c r="T15" s="244">
        <v>113.14131413141314</v>
      </c>
      <c r="U15" s="244">
        <v>115.60396039603961</v>
      </c>
      <c r="V15" s="244">
        <v>118.61386138613862</v>
      </c>
      <c r="W15" s="244">
        <v>122.26786954045572</v>
      </c>
      <c r="X15" s="244">
        <v>126.76336008444068</v>
      </c>
      <c r="Y15" s="244">
        <v>129.82306439258716</v>
      </c>
    </row>
    <row r="16" spans="1:25" ht="12.95" customHeight="1" x14ac:dyDescent="0.2">
      <c r="A16" s="245"/>
      <c r="B16" s="246" t="s">
        <v>3</v>
      </c>
      <c r="C16" s="251">
        <v>86.134230564901699</v>
      </c>
      <c r="D16" s="251">
        <v>88.973909602216025</v>
      </c>
      <c r="E16" s="251">
        <v>91.907207366743393</v>
      </c>
      <c r="F16" s="251">
        <v>93.137949353639101</v>
      </c>
      <c r="G16" s="251">
        <v>93.456702673986186</v>
      </c>
      <c r="H16" s="251">
        <v>94.997343722330442</v>
      </c>
      <c r="I16" s="251">
        <v>96.051000531255525</v>
      </c>
      <c r="J16" s="251">
        <v>97.024969010093855</v>
      </c>
      <c r="K16" s="251">
        <v>98.335399327076317</v>
      </c>
      <c r="L16" s="251">
        <v>100</v>
      </c>
      <c r="M16" s="251">
        <v>100.67292367628828</v>
      </c>
      <c r="N16" s="251">
        <v>102.06304232335752</v>
      </c>
      <c r="O16" s="251">
        <v>102.80680007083404</v>
      </c>
      <c r="P16" s="251">
        <v>103.00159376660172</v>
      </c>
      <c r="Q16" s="251">
        <v>103.18753320347086</v>
      </c>
      <c r="R16" s="251">
        <v>103.89587391535328</v>
      </c>
      <c r="S16" s="251">
        <v>104.40056667256947</v>
      </c>
      <c r="T16" s="251">
        <v>104.85213387639453</v>
      </c>
      <c r="U16" s="251">
        <v>106.87099344784841</v>
      </c>
      <c r="V16" s="251">
        <v>107.39419160616256</v>
      </c>
      <c r="W16" s="251">
        <v>107.63937916796914</v>
      </c>
      <c r="X16" s="251">
        <v>109.75164462018725</v>
      </c>
      <c r="Y16" s="251">
        <v>110.27484894019413</v>
      </c>
    </row>
    <row r="17" spans="1:25" ht="12.95" customHeight="1" x14ac:dyDescent="0.2">
      <c r="A17" s="249" t="s">
        <v>3</v>
      </c>
      <c r="B17" s="242" t="s">
        <v>32</v>
      </c>
      <c r="C17" s="240">
        <v>95.439059817773668</v>
      </c>
      <c r="D17" s="240">
        <v>97.293485211844427</v>
      </c>
      <c r="E17" s="240">
        <v>99.183942955235693</v>
      </c>
      <c r="F17" s="240">
        <v>100.46745015185526</v>
      </c>
      <c r="G17" s="240">
        <v>100.85303050310313</v>
      </c>
      <c r="H17" s="240">
        <v>101.26237950614023</v>
      </c>
      <c r="I17" s="240">
        <v>100.85567146441305</v>
      </c>
      <c r="J17" s="240">
        <v>100.90056780668164</v>
      </c>
      <c r="K17" s="240">
        <v>100.77116070249571</v>
      </c>
      <c r="L17" s="240">
        <v>100</v>
      </c>
      <c r="M17" s="240">
        <v>100.3142743958801</v>
      </c>
      <c r="N17" s="240">
        <v>100.8477485804833</v>
      </c>
      <c r="O17" s="240">
        <v>101.52647563713192</v>
      </c>
      <c r="P17" s="240">
        <v>101.70606100620626</v>
      </c>
      <c r="Q17" s="240">
        <v>101.62683216690876</v>
      </c>
      <c r="R17" s="240">
        <v>101.43932391390467</v>
      </c>
      <c r="S17" s="240">
        <v>101.14881816981382</v>
      </c>
      <c r="T17" s="240">
        <v>100.83718473524364</v>
      </c>
      <c r="U17" s="240">
        <v>100.21893569259213</v>
      </c>
      <c r="V17" s="240">
        <v>99.645134028786501</v>
      </c>
      <c r="W17" s="240">
        <v>99.410721964972893</v>
      </c>
      <c r="X17" s="240">
        <v>99.333491602081907</v>
      </c>
      <c r="Y17" s="240">
        <v>99.185765597454846</v>
      </c>
    </row>
    <row r="18" spans="1:25" x14ac:dyDescent="0.2">
      <c r="A18" s="241"/>
      <c r="B18" s="242" t="s">
        <v>11</v>
      </c>
      <c r="C18" s="244">
        <v>80.474790373516285</v>
      </c>
      <c r="D18" s="244">
        <v>80.654270073513587</v>
      </c>
      <c r="E18" s="244">
        <v>80.834150059893275</v>
      </c>
      <c r="F18" s="244">
        <v>82.249809430469341</v>
      </c>
      <c r="G18" s="244">
        <v>85.320701295872809</v>
      </c>
      <c r="H18" s="244">
        <v>88.946967222040726</v>
      </c>
      <c r="I18" s="244">
        <v>93.030600021779378</v>
      </c>
      <c r="J18" s="244">
        <v>96.351954698900144</v>
      </c>
      <c r="K18" s="244">
        <v>96.874659697266694</v>
      </c>
      <c r="L18" s="244">
        <v>100</v>
      </c>
      <c r="M18" s="244">
        <v>101.48099749537189</v>
      </c>
      <c r="N18" s="244">
        <v>103.1362299901993</v>
      </c>
      <c r="O18" s="244">
        <v>102.64619405423066</v>
      </c>
      <c r="P18" s="244">
        <v>102.3848415550474</v>
      </c>
      <c r="Q18" s="244">
        <v>105.54285092017862</v>
      </c>
      <c r="R18" s="244">
        <v>110.802569966242</v>
      </c>
      <c r="S18" s="244">
        <v>116.57410432320597</v>
      </c>
      <c r="T18" s="244">
        <v>122.48720461722752</v>
      </c>
      <c r="U18" s="244">
        <v>130.31710769900909</v>
      </c>
      <c r="V18" s="244">
        <v>133.99727757813358</v>
      </c>
      <c r="W18" s="244">
        <v>137.52697550300033</v>
      </c>
      <c r="X18" s="244">
        <v>144.24931404529292</v>
      </c>
      <c r="Y18" s="244">
        <v>148.15362444033951</v>
      </c>
    </row>
    <row r="19" spans="1:25" ht="12.95" customHeight="1" x14ac:dyDescent="0.2">
      <c r="A19" s="241"/>
      <c r="B19" s="242" t="s">
        <v>25</v>
      </c>
      <c r="C19" s="244">
        <v>100.40841972981465</v>
      </c>
      <c r="D19" s="244">
        <v>104.18593246259594</v>
      </c>
      <c r="E19" s="244">
        <v>108.10556079170594</v>
      </c>
      <c r="F19" s="244">
        <v>109.17373546968268</v>
      </c>
      <c r="G19" s="244">
        <v>109.17373546968268</v>
      </c>
      <c r="H19" s="244">
        <v>108.3568960100534</v>
      </c>
      <c r="I19" s="244">
        <v>105.21520578071002</v>
      </c>
      <c r="J19" s="244">
        <v>102.73327049952876</v>
      </c>
      <c r="K19" s="244">
        <v>101.25667609173736</v>
      </c>
      <c r="L19" s="244">
        <v>100</v>
      </c>
      <c r="M19" s="244">
        <v>98.397737983034858</v>
      </c>
      <c r="N19" s="244">
        <v>97.329563305058116</v>
      </c>
      <c r="O19" s="244">
        <v>95.318881558278335</v>
      </c>
      <c r="P19" s="244">
        <v>94.344957587181895</v>
      </c>
      <c r="Q19" s="244">
        <v>96.638391454602569</v>
      </c>
      <c r="R19" s="244">
        <v>97.109644989004067</v>
      </c>
      <c r="S19" s="244">
        <v>96.575557650015668</v>
      </c>
      <c r="T19" s="244">
        <v>96.952560477536892</v>
      </c>
      <c r="U19" s="244">
        <v>97.9004084197298</v>
      </c>
      <c r="V19" s="244">
        <v>97.793590951932117</v>
      </c>
      <c r="W19" s="244">
        <v>97.161188170782964</v>
      </c>
      <c r="X19" s="244">
        <v>96.673137877283537</v>
      </c>
      <c r="Y19" s="244">
        <v>97.264458429145535</v>
      </c>
    </row>
    <row r="20" spans="1:25" ht="12.95" customHeight="1" x14ac:dyDescent="0.2">
      <c r="A20" s="241"/>
      <c r="B20" s="242" t="s">
        <v>30</v>
      </c>
      <c r="C20" s="244">
        <v>102.71954674220969</v>
      </c>
      <c r="D20" s="244">
        <v>104.73934884264384</v>
      </c>
      <c r="E20" s="244">
        <v>106.79886685552411</v>
      </c>
      <c r="F20" s="244">
        <v>103.85269121813033</v>
      </c>
      <c r="G20" s="244">
        <v>103.79603399433428</v>
      </c>
      <c r="H20" s="244">
        <v>104.19263456090653</v>
      </c>
      <c r="I20" s="244">
        <v>100.79320113314448</v>
      </c>
      <c r="J20" s="244">
        <v>100.16997167138811</v>
      </c>
      <c r="K20" s="244">
        <v>99.716713881019828</v>
      </c>
      <c r="L20" s="244">
        <v>100</v>
      </c>
      <c r="M20" s="244">
        <v>100.76487252124646</v>
      </c>
      <c r="N20" s="244">
        <v>101.01983002832863</v>
      </c>
      <c r="O20" s="244">
        <v>101.44475920679888</v>
      </c>
      <c r="P20" s="244">
        <v>101.69971671388102</v>
      </c>
      <c r="Q20" s="244">
        <v>101.38810198300283</v>
      </c>
      <c r="R20" s="244">
        <v>101.5014164305949</v>
      </c>
      <c r="S20" s="244">
        <v>101.78470254957507</v>
      </c>
      <c r="T20" s="244">
        <v>101.52974504249291</v>
      </c>
      <c r="U20" s="244">
        <v>101.14532577903682</v>
      </c>
      <c r="V20" s="244">
        <v>101.85694050991502</v>
      </c>
      <c r="W20" s="244">
        <v>103.48012439891545</v>
      </c>
      <c r="X20" s="244">
        <v>104.66545203152273</v>
      </c>
      <c r="Y20" s="244">
        <v>105.66573387304918</v>
      </c>
    </row>
    <row r="21" spans="1:25" ht="12.95" customHeight="1" x14ac:dyDescent="0.2">
      <c r="A21" s="245"/>
      <c r="B21" s="246" t="s">
        <v>3</v>
      </c>
      <c r="C21" s="248">
        <v>93.656994047619037</v>
      </c>
      <c r="D21" s="251">
        <v>95.352948280616218</v>
      </c>
      <c r="E21" s="251">
        <v>97.079613095238088</v>
      </c>
      <c r="F21" s="251">
        <v>98.095238095238102</v>
      </c>
      <c r="G21" s="251">
        <v>98.88764880952381</v>
      </c>
      <c r="H21" s="251">
        <v>99.774925595238102</v>
      </c>
      <c r="I21" s="251">
        <v>99.774925595238102</v>
      </c>
      <c r="J21" s="251">
        <v>100.18601190476191</v>
      </c>
      <c r="K21" s="251">
        <v>100.06696428571429</v>
      </c>
      <c r="L21" s="251">
        <v>100</v>
      </c>
      <c r="M21" s="251">
        <v>100.43340773809524</v>
      </c>
      <c r="N21" s="251">
        <v>101.04352678571429</v>
      </c>
      <c r="O21" s="251">
        <v>101.34486607142858</v>
      </c>
      <c r="P21" s="251">
        <v>101.38764880952384</v>
      </c>
      <c r="Q21" s="251">
        <v>101.98660714285717</v>
      </c>
      <c r="R21" s="251">
        <v>102.78831845238096</v>
      </c>
      <c r="S21" s="251">
        <v>103.55654761904763</v>
      </c>
      <c r="T21" s="251">
        <v>104.35453869047622</v>
      </c>
      <c r="U21" s="251">
        <v>105.2855654761905</v>
      </c>
      <c r="V21" s="251">
        <v>105.55044642857145</v>
      </c>
      <c r="W21" s="251">
        <v>106.05786487548279</v>
      </c>
      <c r="X21" s="251">
        <v>107.2235888769401</v>
      </c>
      <c r="Y21" s="248">
        <v>107.9069408960214</v>
      </c>
    </row>
    <row r="22" spans="1:25" x14ac:dyDescent="0.2">
      <c r="D22" s="280"/>
      <c r="E22" s="281"/>
      <c r="F22" s="281"/>
      <c r="G22" s="281"/>
      <c r="H22" s="281"/>
      <c r="I22" s="281"/>
      <c r="J22" s="281"/>
      <c r="K22" s="281"/>
      <c r="L22" s="281"/>
      <c r="M22" s="281"/>
      <c r="N22" s="281"/>
      <c r="O22" s="281"/>
      <c r="P22" s="281"/>
      <c r="Q22" s="281"/>
      <c r="R22" s="281"/>
      <c r="S22" s="281"/>
      <c r="T22" s="281"/>
      <c r="U22" s="281"/>
      <c r="V22" s="280"/>
      <c r="W22" s="281"/>
      <c r="X22" s="281"/>
      <c r="Y22" s="282"/>
    </row>
    <row r="23" spans="1:25" x14ac:dyDescent="0.2">
      <c r="A23" s="230" t="s">
        <v>26</v>
      </c>
      <c r="N23" s="282"/>
      <c r="O23" s="283"/>
      <c r="S23" s="284"/>
    </row>
    <row r="24" spans="1:25" ht="14.25" x14ac:dyDescent="0.2">
      <c r="A24" s="231"/>
      <c r="B24" s="232"/>
      <c r="C24" s="233">
        <v>2002</v>
      </c>
      <c r="D24" s="233">
        <v>2003</v>
      </c>
      <c r="E24" s="234">
        <v>2004</v>
      </c>
      <c r="F24" s="234" t="s">
        <v>34</v>
      </c>
      <c r="G24" s="234">
        <v>2006</v>
      </c>
      <c r="H24" s="234">
        <v>2007</v>
      </c>
      <c r="I24" s="233">
        <v>2008</v>
      </c>
      <c r="J24" s="235">
        <v>2009</v>
      </c>
      <c r="K24" s="233">
        <v>2010</v>
      </c>
      <c r="L24" s="233">
        <v>2011</v>
      </c>
      <c r="M24" s="236">
        <v>2012</v>
      </c>
      <c r="N24" s="233">
        <v>2013</v>
      </c>
      <c r="O24" s="233">
        <v>2014</v>
      </c>
      <c r="P24" s="233">
        <v>2015</v>
      </c>
      <c r="Q24" s="233">
        <v>2016</v>
      </c>
      <c r="R24" s="233">
        <v>2017</v>
      </c>
      <c r="S24" s="233">
        <v>2018</v>
      </c>
      <c r="T24" s="233">
        <v>2019</v>
      </c>
      <c r="U24" s="341">
        <v>2020</v>
      </c>
      <c r="V24" s="341">
        <v>2021</v>
      </c>
      <c r="W24" s="341">
        <v>2022</v>
      </c>
      <c r="X24" s="233">
        <v>2023</v>
      </c>
      <c r="Y24" s="233">
        <v>2024</v>
      </c>
    </row>
    <row r="25" spans="1:25" ht="12.95" customHeight="1" x14ac:dyDescent="0.2">
      <c r="A25" s="237" t="s">
        <v>18</v>
      </c>
      <c r="B25" s="337" t="s">
        <v>10</v>
      </c>
      <c r="C25" s="240">
        <v>1781.9091880540643</v>
      </c>
      <c r="D25" s="240">
        <v>1790.8485879120583</v>
      </c>
      <c r="E25" s="240">
        <v>1799.8328345391008</v>
      </c>
      <c r="F25" s="240">
        <v>1798.9366522148489</v>
      </c>
      <c r="G25" s="240">
        <v>1781.8096122402585</v>
      </c>
      <c r="H25" s="240">
        <v>1717.9815155907668</v>
      </c>
      <c r="I25" s="240">
        <v>1639.0178952427998</v>
      </c>
      <c r="J25" s="240">
        <v>1595.9015678649059</v>
      </c>
      <c r="K25" s="240">
        <v>1575.2893744071139</v>
      </c>
      <c r="L25" s="240">
        <v>1545.2174786377743</v>
      </c>
      <c r="M25" s="240">
        <v>1532.2726228430256</v>
      </c>
      <c r="N25" s="240">
        <v>1522.9124963452844</v>
      </c>
      <c r="O25" s="240">
        <v>1531.376440518774</v>
      </c>
      <c r="P25" s="240">
        <v>1535.8573521400331</v>
      </c>
      <c r="Q25" s="240">
        <v>1539.3425056232345</v>
      </c>
      <c r="R25" s="240">
        <v>1540.1391121336803</v>
      </c>
      <c r="S25" s="240">
        <v>1538.545899112788</v>
      </c>
      <c r="T25" s="240">
        <v>1532.1730470292196</v>
      </c>
      <c r="U25" s="240">
        <v>1525.9386053268411</v>
      </c>
      <c r="V25" s="240">
        <v>1513.1690029643903</v>
      </c>
      <c r="W25" s="240">
        <v>1512.9350586219341</v>
      </c>
      <c r="X25" s="239">
        <v>1503.5219999999999</v>
      </c>
      <c r="Y25" s="404">
        <v>1501.7360000000001</v>
      </c>
    </row>
    <row r="26" spans="1:25" ht="12.95" customHeight="1" x14ac:dyDescent="0.2">
      <c r="A26" s="241"/>
      <c r="B26" s="338" t="s">
        <v>11</v>
      </c>
      <c r="C26" s="244">
        <v>336.33914198991198</v>
      </c>
      <c r="D26" s="244">
        <v>319.98846241936332</v>
      </c>
      <c r="E26" s="244">
        <v>304.43264936609552</v>
      </c>
      <c r="F26" s="244">
        <v>308.49717071944792</v>
      </c>
      <c r="G26" s="244">
        <v>317.94718286599226</v>
      </c>
      <c r="H26" s="244">
        <v>326.48267770803238</v>
      </c>
      <c r="I26" s="244">
        <v>339.28591997109243</v>
      </c>
      <c r="J26" s="244">
        <v>370.78596045957363</v>
      </c>
      <c r="K26" s="244">
        <v>375.15532091442748</v>
      </c>
      <c r="L26" s="244">
        <v>370.98918652724132</v>
      </c>
      <c r="M26" s="244">
        <v>375.46016001592898</v>
      </c>
      <c r="N26" s="244">
        <v>391.71824542933865</v>
      </c>
      <c r="O26" s="244">
        <v>381.76016811362524</v>
      </c>
      <c r="P26" s="244">
        <v>385.01178519630713</v>
      </c>
      <c r="Q26" s="244">
        <v>406.14729623373967</v>
      </c>
      <c r="R26" s="244">
        <v>422.91344681631836</v>
      </c>
      <c r="S26" s="244">
        <v>447.30057493643278</v>
      </c>
      <c r="T26" s="244">
        <v>476.56512868057013</v>
      </c>
      <c r="U26" s="244">
        <v>513.12549825397514</v>
      </c>
      <c r="V26" s="244">
        <v>527.64092013713503</v>
      </c>
      <c r="W26" s="244">
        <v>547.15301880730874</v>
      </c>
      <c r="X26" s="243">
        <v>577.41300000000001</v>
      </c>
      <c r="Y26" s="405">
        <v>598.02300000000002</v>
      </c>
    </row>
    <row r="27" spans="1:25" ht="14.25" x14ac:dyDescent="0.2">
      <c r="A27" s="241"/>
      <c r="B27" s="338" t="s">
        <v>33</v>
      </c>
      <c r="C27" s="244">
        <v>322.96664427566895</v>
      </c>
      <c r="D27" s="244">
        <v>335.11712542354348</v>
      </c>
      <c r="E27" s="244">
        <v>347.72472557965477</v>
      </c>
      <c r="F27" s="244">
        <v>351.16054094428949</v>
      </c>
      <c r="G27" s="244">
        <v>351.16054094428949</v>
      </c>
      <c r="H27" s="244">
        <v>348.53315272427466</v>
      </c>
      <c r="I27" s="244">
        <v>338.42781341652534</v>
      </c>
      <c r="J27" s="244">
        <v>330.44459536340338</v>
      </c>
      <c r="K27" s="244">
        <v>325.69508588876118</v>
      </c>
      <c r="L27" s="244">
        <v>321.65295016566142</v>
      </c>
      <c r="M27" s="244">
        <v>316.4992271187092</v>
      </c>
      <c r="N27" s="244">
        <v>313.06341175407448</v>
      </c>
      <c r="O27" s="244">
        <v>306.5959945971149</v>
      </c>
      <c r="P27" s="244">
        <v>303.46333941171264</v>
      </c>
      <c r="Q27" s="244">
        <v>310.84023710636967</v>
      </c>
      <c r="R27" s="244">
        <v>312.35603800253205</v>
      </c>
      <c r="S27" s="244">
        <v>310.63813032021454</v>
      </c>
      <c r="T27" s="244">
        <v>311.85077103714451</v>
      </c>
      <c r="U27" s="244">
        <v>314.89955190629252</v>
      </c>
      <c r="V27" s="244">
        <v>314.55597036982903</v>
      </c>
      <c r="W27" s="244">
        <v>312.52182816733307</v>
      </c>
      <c r="X27" s="243">
        <v>310.952</v>
      </c>
      <c r="Y27" s="405">
        <v>312.85399999999998</v>
      </c>
    </row>
    <row r="28" spans="1:25" ht="12.95" customHeight="1" x14ac:dyDescent="0.2">
      <c r="A28" s="241"/>
      <c r="B28" s="338" t="s">
        <v>30</v>
      </c>
      <c r="C28" s="244">
        <v>207.74913555651304</v>
      </c>
      <c r="D28" s="244">
        <v>207.85015629457976</v>
      </c>
      <c r="E28" s="244">
        <v>207.95122615530346</v>
      </c>
      <c r="F28" s="244">
        <v>203.30314238312465</v>
      </c>
      <c r="G28" s="244">
        <v>202.19164408977758</v>
      </c>
      <c r="H28" s="244">
        <v>198.45296801215551</v>
      </c>
      <c r="I28" s="244">
        <v>196.43206202425171</v>
      </c>
      <c r="J28" s="244">
        <v>191.17770645570175</v>
      </c>
      <c r="K28" s="244">
        <v>186.52962268352297</v>
      </c>
      <c r="L28" s="244">
        <v>182.58885600711051</v>
      </c>
      <c r="M28" s="244">
        <v>180.16376882162592</v>
      </c>
      <c r="N28" s="244">
        <v>177.73868163614131</v>
      </c>
      <c r="O28" s="244">
        <v>177.53659103735089</v>
      </c>
      <c r="P28" s="244">
        <v>178.14286283372203</v>
      </c>
      <c r="Q28" s="244">
        <v>180.16376882162584</v>
      </c>
      <c r="R28" s="244">
        <v>180.06272352223061</v>
      </c>
      <c r="S28" s="244">
        <v>178.24390813311717</v>
      </c>
      <c r="T28" s="244">
        <v>175.31359445065664</v>
      </c>
      <c r="U28" s="244">
        <v>174.07275817408365</v>
      </c>
      <c r="V28" s="244">
        <v>170.58669534494956</v>
      </c>
      <c r="W28" s="244">
        <v>168.70701839084523</v>
      </c>
      <c r="X28" s="243">
        <v>168.929</v>
      </c>
      <c r="Y28" s="405">
        <v>169.25700000000001</v>
      </c>
    </row>
    <row r="29" spans="1:25" s="279" customFormat="1" ht="12.95" customHeight="1" x14ac:dyDescent="0.2">
      <c r="A29" s="285"/>
      <c r="B29" s="339" t="s">
        <v>3</v>
      </c>
      <c r="C29" s="248">
        <v>2652.8732833051786</v>
      </c>
      <c r="D29" s="248">
        <v>2658.4825364572694</v>
      </c>
      <c r="E29" s="248">
        <v>2664.1036498520352</v>
      </c>
      <c r="F29" s="248">
        <v>2666.1090724496885</v>
      </c>
      <c r="G29" s="248">
        <v>2657.0846707602504</v>
      </c>
      <c r="H29" s="251">
        <v>2595.0168413628926</v>
      </c>
      <c r="I29" s="251">
        <v>2516.0031910153671</v>
      </c>
      <c r="J29" s="251">
        <v>2490.4340528952921</v>
      </c>
      <c r="K29" s="248">
        <v>2464.7646436453347</v>
      </c>
      <c r="L29" s="248">
        <v>2422.4502268348583</v>
      </c>
      <c r="M29" s="248">
        <v>2406.406846053635</v>
      </c>
      <c r="N29" s="248">
        <v>2407.1087439628136</v>
      </c>
      <c r="O29" s="248">
        <v>2399.087053572202</v>
      </c>
      <c r="P29" s="248">
        <v>2404.5016945858647</v>
      </c>
      <c r="Q29" s="248">
        <v>2438.0925230965513</v>
      </c>
      <c r="R29" s="248">
        <v>2456.8432243846055</v>
      </c>
      <c r="S29" s="248">
        <v>2475.8947390623084</v>
      </c>
      <c r="T29" s="248">
        <v>2496.6508629480163</v>
      </c>
      <c r="U29" s="248">
        <v>2528.1440194215575</v>
      </c>
      <c r="V29" s="248">
        <v>2525.8087048065904</v>
      </c>
      <c r="W29" s="248">
        <v>2541.1294250483511</v>
      </c>
      <c r="X29" s="336">
        <v>2560.8159999999998</v>
      </c>
      <c r="Y29" s="406">
        <v>2581.87</v>
      </c>
    </row>
    <row r="30" spans="1:25" ht="14.25" customHeight="1" x14ac:dyDescent="0.2">
      <c r="A30" s="249" t="s">
        <v>20</v>
      </c>
      <c r="B30" s="338" t="s">
        <v>32</v>
      </c>
      <c r="C30" s="240">
        <v>1072.3920208868992</v>
      </c>
      <c r="D30" s="240">
        <v>1113.6396459690779</v>
      </c>
      <c r="E30" s="240">
        <v>1156.4737865621732</v>
      </c>
      <c r="F30" s="240">
        <v>1190.7256222232411</v>
      </c>
      <c r="G30" s="240">
        <v>1216.5892532326186</v>
      </c>
      <c r="H30" s="240">
        <v>1292.4825334145764</v>
      </c>
      <c r="I30" s="240">
        <v>1364.6810091666232</v>
      </c>
      <c r="J30" s="240">
        <v>1400.1311597779322</v>
      </c>
      <c r="K30" s="244">
        <v>1410.3168368549846</v>
      </c>
      <c r="L30" s="244">
        <v>1407.920206954502</v>
      </c>
      <c r="M30" s="244">
        <v>1427.892122791859</v>
      </c>
      <c r="N30" s="244">
        <v>1451.0595451631934</v>
      </c>
      <c r="O30" s="244">
        <v>1465.9386224620248</v>
      </c>
      <c r="P30" s="244">
        <v>1470.2325843670567</v>
      </c>
      <c r="Q30" s="244">
        <v>1467.236796991453</v>
      </c>
      <c r="R30" s="244">
        <v>1465.7389033036511</v>
      </c>
      <c r="S30" s="244">
        <v>1466.2382011995851</v>
      </c>
      <c r="T30" s="244">
        <v>1466.9372182538925</v>
      </c>
      <c r="U30" s="244">
        <v>1453.5680177923657</v>
      </c>
      <c r="V30" s="244">
        <v>1444.759404312299</v>
      </c>
      <c r="W30" s="244">
        <v>1430.5615393216312</v>
      </c>
      <c r="X30" s="239">
        <v>1421.2</v>
      </c>
      <c r="Y30" s="404">
        <v>1417.086</v>
      </c>
    </row>
    <row r="31" spans="1:25" ht="12.95" customHeight="1" x14ac:dyDescent="0.2">
      <c r="A31" s="241"/>
      <c r="B31" s="338" t="s">
        <v>11</v>
      </c>
      <c r="C31" s="244">
        <v>303.44344300583617</v>
      </c>
      <c r="D31" s="244">
        <v>315.36222862314503</v>
      </c>
      <c r="E31" s="244">
        <v>327.74916556771342</v>
      </c>
      <c r="F31" s="244">
        <v>331.74610661122216</v>
      </c>
      <c r="G31" s="244">
        <v>354.21539680175755</v>
      </c>
      <c r="H31" s="244">
        <v>371.17538987826748</v>
      </c>
      <c r="I31" s="244">
        <v>375.92850895703452</v>
      </c>
      <c r="J31" s="244">
        <v>373.76800028486764</v>
      </c>
      <c r="K31" s="244">
        <v>367.61055056919207</v>
      </c>
      <c r="L31" s="244">
        <v>388.35143382199396</v>
      </c>
      <c r="M31" s="244">
        <v>399.37002805004499</v>
      </c>
      <c r="N31" s="244">
        <v>391.91627313106937</v>
      </c>
      <c r="O31" s="244">
        <v>393.4286292015862</v>
      </c>
      <c r="P31" s="244">
        <v>384.57054364570206</v>
      </c>
      <c r="Q31" s="244">
        <v>385.54277254817708</v>
      </c>
      <c r="R31" s="244">
        <v>406.28365580097903</v>
      </c>
      <c r="S31" s="244">
        <v>422.48747084223061</v>
      </c>
      <c r="T31" s="244">
        <v>440.41969282121556</v>
      </c>
      <c r="U31" s="244">
        <v>453.59447470408912</v>
      </c>
      <c r="V31" s="244">
        <v>471.81080357346411</v>
      </c>
      <c r="W31" s="244">
        <v>493.6364751695059</v>
      </c>
      <c r="X31" s="243">
        <v>524.48400000000004</v>
      </c>
      <c r="Y31" s="405">
        <v>538.923</v>
      </c>
    </row>
    <row r="32" spans="1:25" ht="12.95" customHeight="1" x14ac:dyDescent="0.2">
      <c r="A32" s="241"/>
      <c r="B32" s="338" t="s">
        <v>30</v>
      </c>
      <c r="C32" s="244">
        <v>62.513572425239758</v>
      </c>
      <c r="D32" s="244">
        <v>62.917541555746283</v>
      </c>
      <c r="E32" s="244">
        <v>63.324121176296352</v>
      </c>
      <c r="F32" s="244">
        <v>64.235988521235029</v>
      </c>
      <c r="G32" s="244">
        <v>65.451811647819909</v>
      </c>
      <c r="H32" s="244">
        <v>65.958404617230286</v>
      </c>
      <c r="I32" s="244">
        <v>55.927863822904953</v>
      </c>
      <c r="J32" s="244">
        <v>59.068740233249251</v>
      </c>
      <c r="K32" s="244">
        <v>59.170058827131328</v>
      </c>
      <c r="L32" s="244">
        <v>62.108298049711479</v>
      </c>
      <c r="M32" s="244">
        <v>63.628076957942582</v>
      </c>
      <c r="N32" s="244">
        <v>63.628076957942582</v>
      </c>
      <c r="O32" s="244">
        <v>63.222802582414289</v>
      </c>
      <c r="P32" s="244">
        <v>61.804342268065248</v>
      </c>
      <c r="Q32" s="244">
        <v>60.487200547598292</v>
      </c>
      <c r="R32" s="244">
        <v>59.068740233249244</v>
      </c>
      <c r="S32" s="244">
        <v>60.284563359834152</v>
      </c>
      <c r="T32" s="244">
        <v>60.081926172069998</v>
      </c>
      <c r="U32" s="244">
        <v>57.077829863466505</v>
      </c>
      <c r="V32" s="244">
        <v>59.730350651299212</v>
      </c>
      <c r="W32" s="244">
        <v>63.241597883939235</v>
      </c>
      <c r="X32" s="243">
        <v>62.088000000000001</v>
      </c>
      <c r="Y32" s="405">
        <v>61.820999999999998</v>
      </c>
    </row>
    <row r="33" spans="1:25" s="279" customFormat="1" ht="12.95" customHeight="1" x14ac:dyDescent="0.2">
      <c r="A33" s="249"/>
      <c r="B33" s="340" t="s">
        <v>3</v>
      </c>
      <c r="C33" s="248">
        <v>1442.9435144668867</v>
      </c>
      <c r="D33" s="248">
        <v>1496.6957470536991</v>
      </c>
      <c r="E33" s="248">
        <v>1552.4503466625733</v>
      </c>
      <c r="F33" s="248">
        <v>1591.9746730736679</v>
      </c>
      <c r="G33" s="251">
        <v>1640.9726138049473</v>
      </c>
      <c r="H33" s="248">
        <v>1734.8938224416197</v>
      </c>
      <c r="I33" s="248">
        <v>1802.8389918132693</v>
      </c>
      <c r="J33" s="248">
        <v>1840.2241149907736</v>
      </c>
      <c r="K33" s="251">
        <v>1844.808121919895</v>
      </c>
      <c r="L33" s="251">
        <v>1864.8758855873839</v>
      </c>
      <c r="M33" s="251">
        <v>1897.1676677325304</v>
      </c>
      <c r="N33" s="251">
        <v>1913.771959498016</v>
      </c>
      <c r="O33" s="251">
        <v>1930.0706508015603</v>
      </c>
      <c r="P33" s="251">
        <v>1924.5698424866143</v>
      </c>
      <c r="Q33" s="251">
        <v>1921.1063705846113</v>
      </c>
      <c r="R33" s="251">
        <v>1937.7106623500965</v>
      </c>
      <c r="S33" s="251">
        <v>1954.722421398171</v>
      </c>
      <c r="T33" s="251">
        <v>1972.1416477288335</v>
      </c>
      <c r="U33" s="248">
        <v>1967.9070439945315</v>
      </c>
      <c r="V33" s="248">
        <v>1978.7660470755177</v>
      </c>
      <c r="W33" s="248">
        <v>1988.1532850370324</v>
      </c>
      <c r="X33" s="336">
        <v>2007.7719999999999</v>
      </c>
      <c r="Y33" s="406">
        <v>2017.83</v>
      </c>
    </row>
    <row r="34" spans="1:25" ht="12.95" customHeight="1" x14ac:dyDescent="0.2">
      <c r="A34" s="237" t="s">
        <v>31</v>
      </c>
      <c r="B34" s="337" t="s">
        <v>10</v>
      </c>
      <c r="C34" s="240">
        <v>748.98432950954452</v>
      </c>
      <c r="D34" s="240">
        <v>768.54411923083046</v>
      </c>
      <c r="E34" s="240">
        <v>788.61471453090792</v>
      </c>
      <c r="F34" s="240">
        <v>803.88788558448118</v>
      </c>
      <c r="G34" s="240">
        <v>809.67771513420178</v>
      </c>
      <c r="H34" s="240">
        <v>813.27140244092493</v>
      </c>
      <c r="I34" s="244">
        <v>804.78630741116206</v>
      </c>
      <c r="J34" s="244">
        <v>814.36947356242365</v>
      </c>
      <c r="K34" s="240">
        <v>819.95965381732628</v>
      </c>
      <c r="L34" s="240">
        <v>823.35369182923148</v>
      </c>
      <c r="M34" s="240">
        <v>828.14527490486239</v>
      </c>
      <c r="N34" s="240">
        <v>834.53405233903675</v>
      </c>
      <c r="O34" s="240">
        <v>836.92984387685215</v>
      </c>
      <c r="P34" s="240">
        <v>834.93335092867267</v>
      </c>
      <c r="Q34" s="240">
        <v>831.43948826935855</v>
      </c>
      <c r="R34" s="240">
        <v>825.05071083518419</v>
      </c>
      <c r="S34" s="240">
        <v>815.1680707416956</v>
      </c>
      <c r="T34" s="240">
        <v>809.07876724974813</v>
      </c>
      <c r="U34" s="244">
        <v>805.3243622606966</v>
      </c>
      <c r="V34" s="244">
        <v>805.24250604982126</v>
      </c>
      <c r="W34" s="244">
        <v>810.82367546550779</v>
      </c>
      <c r="X34" s="239">
        <v>826.69299999999998</v>
      </c>
      <c r="Y34" s="404">
        <v>827.01400000000001</v>
      </c>
    </row>
    <row r="35" spans="1:25" ht="12.95" customHeight="1" x14ac:dyDescent="0.2">
      <c r="A35" s="241"/>
      <c r="B35" s="338" t="s">
        <v>11</v>
      </c>
      <c r="C35" s="244">
        <v>126.43380372541776</v>
      </c>
      <c r="D35" s="244">
        <v>132.36281251268565</v>
      </c>
      <c r="E35" s="244">
        <v>138.56985726947832</v>
      </c>
      <c r="F35" s="244">
        <v>143.84207725173411</v>
      </c>
      <c r="G35" s="244">
        <v>141.95203612601978</v>
      </c>
      <c r="H35" s="244">
        <v>151.10381420842612</v>
      </c>
      <c r="I35" s="244">
        <v>171.49636319639674</v>
      </c>
      <c r="J35" s="244">
        <v>172.98850092722387</v>
      </c>
      <c r="K35" s="244">
        <v>179.15600354797596</v>
      </c>
      <c r="L35" s="244">
        <v>192.58524312542002</v>
      </c>
      <c r="M35" s="244">
        <v>191.68996048692375</v>
      </c>
      <c r="N35" s="244">
        <v>197.65851141023219</v>
      </c>
      <c r="O35" s="244">
        <v>201.73702120782636</v>
      </c>
      <c r="P35" s="244">
        <v>204.22391742587155</v>
      </c>
      <c r="Q35" s="244">
        <v>211.48565438256352</v>
      </c>
      <c r="R35" s="244">
        <v>223.9201354727895</v>
      </c>
      <c r="S35" s="244">
        <v>237.84675429384262</v>
      </c>
      <c r="T35" s="244">
        <v>246.70010483008349</v>
      </c>
      <c r="U35" s="244">
        <v>270.40122054654148</v>
      </c>
      <c r="V35" s="244">
        <v>273.03434626220769</v>
      </c>
      <c r="W35" s="244">
        <v>265.93357251391097</v>
      </c>
      <c r="X35" s="243">
        <v>268.73200000000003</v>
      </c>
      <c r="Y35" s="405">
        <v>270.78100000000001</v>
      </c>
    </row>
    <row r="36" spans="1:25" ht="12.95" customHeight="1" x14ac:dyDescent="0.2">
      <c r="A36" s="241"/>
      <c r="B36" s="338" t="s">
        <v>30</v>
      </c>
      <c r="C36" s="244">
        <v>99.636120031235777</v>
      </c>
      <c r="D36" s="244">
        <v>106.4106580462087</v>
      </c>
      <c r="E36" s="244">
        <v>113.64581581736968</v>
      </c>
      <c r="F36" s="244">
        <v>106.74551789285597</v>
      </c>
      <c r="G36" s="244">
        <v>106.32731801864303</v>
      </c>
      <c r="H36" s="244">
        <v>111.13661657209197</v>
      </c>
      <c r="I36" s="244">
        <v>111.03206660353872</v>
      </c>
      <c r="J36" s="244">
        <v>110.92751663498545</v>
      </c>
      <c r="K36" s="244">
        <v>113.95946572302937</v>
      </c>
      <c r="L36" s="244">
        <v>116.15501506264738</v>
      </c>
      <c r="M36" s="244">
        <v>119.81426396201071</v>
      </c>
      <c r="N36" s="244">
        <v>123.36896289282082</v>
      </c>
      <c r="O36" s="244">
        <v>125.35541229533236</v>
      </c>
      <c r="P36" s="244">
        <v>127.13276176073738</v>
      </c>
      <c r="Q36" s="244">
        <v>125.2508623267791</v>
      </c>
      <c r="R36" s="244">
        <v>127.34186169784385</v>
      </c>
      <c r="S36" s="244">
        <v>129.01466119469566</v>
      </c>
      <c r="T36" s="244">
        <v>131.41931047142012</v>
      </c>
      <c r="U36" s="244">
        <v>134.27979761103671</v>
      </c>
      <c r="V36" s="244">
        <v>137.77594855945699</v>
      </c>
      <c r="W36" s="244">
        <v>142.02026228149435</v>
      </c>
      <c r="X36" s="243">
        <v>147.24199999999999</v>
      </c>
      <c r="Y36" s="405">
        <v>150.79599999999999</v>
      </c>
    </row>
    <row r="37" spans="1:25" s="279" customFormat="1" ht="12.95" customHeight="1" x14ac:dyDescent="0.2">
      <c r="A37" s="285"/>
      <c r="B37" s="339" t="s">
        <v>3</v>
      </c>
      <c r="C37" s="248">
        <v>975.25796778544941</v>
      </c>
      <c r="D37" s="248">
        <v>1007.4103372781724</v>
      </c>
      <c r="E37" s="248">
        <v>1040.622708225017</v>
      </c>
      <c r="F37" s="248">
        <v>1054.5578292696489</v>
      </c>
      <c r="G37" s="248">
        <v>1058.1669253675391</v>
      </c>
      <c r="H37" s="248">
        <v>1075.6108898406753</v>
      </c>
      <c r="I37" s="251">
        <v>1087.5409574975902</v>
      </c>
      <c r="J37" s="251">
        <v>1098.5687511300328</v>
      </c>
      <c r="K37" s="248">
        <v>1113.4061461991371</v>
      </c>
      <c r="L37" s="248">
        <v>1132.2536480436752</v>
      </c>
      <c r="M37" s="248">
        <v>1139.8728509169989</v>
      </c>
      <c r="N37" s="248">
        <v>1155.6125200105757</v>
      </c>
      <c r="O37" s="248">
        <v>1164.0337442389862</v>
      </c>
      <c r="P37" s="248">
        <v>1166.2393029654747</v>
      </c>
      <c r="Q37" s="248">
        <v>1168.3446090225775</v>
      </c>
      <c r="R37" s="248">
        <v>1176.3648225734446</v>
      </c>
      <c r="S37" s="248">
        <v>1182.0792247284371</v>
      </c>
      <c r="T37" s="248">
        <v>1187.1921108671152</v>
      </c>
      <c r="U37" s="248">
        <v>1210.0507220137806</v>
      </c>
      <c r="V37" s="248">
        <v>1215.9746522477901</v>
      </c>
      <c r="W37" s="248">
        <v>1218.7507973608942</v>
      </c>
      <c r="X37" s="336">
        <v>1242.6669999999999</v>
      </c>
      <c r="Y37" s="406">
        <v>1248.5909999999999</v>
      </c>
    </row>
    <row r="38" spans="1:25" ht="12.95" customHeight="1" x14ac:dyDescent="0.2">
      <c r="A38" s="249" t="s">
        <v>3</v>
      </c>
      <c r="B38" s="338" t="s">
        <v>32</v>
      </c>
      <c r="C38" s="240">
        <v>3604.3384241492777</v>
      </c>
      <c r="D38" s="240">
        <v>3674.3723988691613</v>
      </c>
      <c r="E38" s="240">
        <v>3745.7671663442984</v>
      </c>
      <c r="F38" s="240">
        <v>3794.2399228370914</v>
      </c>
      <c r="G38" s="244">
        <v>3808.8016974213465</v>
      </c>
      <c r="H38" s="244">
        <v>3824.2611156443568</v>
      </c>
      <c r="I38" s="240">
        <v>3808.9014356034309</v>
      </c>
      <c r="J38" s="240">
        <v>3810.5969846988578</v>
      </c>
      <c r="K38" s="244">
        <v>3805.7098137767443</v>
      </c>
      <c r="L38" s="244">
        <v>3776.5862646082351</v>
      </c>
      <c r="M38" s="244">
        <v>3788.4551082762237</v>
      </c>
      <c r="N38" s="244">
        <v>3808.6022210571787</v>
      </c>
      <c r="O38" s="244">
        <v>3834.2349338527506</v>
      </c>
      <c r="P38" s="244">
        <v>3841.0171302344579</v>
      </c>
      <c r="Q38" s="244">
        <v>3838.0249847719401</v>
      </c>
      <c r="R38" s="244">
        <v>3830.9435738439806</v>
      </c>
      <c r="S38" s="244">
        <v>3819.9723738147472</v>
      </c>
      <c r="T38" s="244">
        <v>3808.203268328843</v>
      </c>
      <c r="U38" s="244">
        <v>3784.854559902994</v>
      </c>
      <c r="V38" s="244">
        <v>3763.1844450816175</v>
      </c>
      <c r="W38" s="244">
        <v>3754.3316712770479</v>
      </c>
      <c r="X38" s="239">
        <v>3751.415</v>
      </c>
      <c r="Y38" s="404">
        <v>3745.8359999999998</v>
      </c>
    </row>
    <row r="39" spans="1:25" x14ac:dyDescent="0.2">
      <c r="A39" s="241"/>
      <c r="B39" s="338" t="s">
        <v>11</v>
      </c>
      <c r="C39" s="244">
        <v>764.65584730773003</v>
      </c>
      <c r="D39" s="244">
        <v>766.36122860091496</v>
      </c>
      <c r="E39" s="244">
        <v>768.07041333765619</v>
      </c>
      <c r="F39" s="244">
        <v>781.52173406160819</v>
      </c>
      <c r="G39" s="244">
        <v>810.70075286279632</v>
      </c>
      <c r="H39" s="244">
        <v>845.15682825568854</v>
      </c>
      <c r="I39" s="244">
        <v>883.95871495939605</v>
      </c>
      <c r="J39" s="244">
        <v>915.51758281174477</v>
      </c>
      <c r="K39" s="244">
        <v>920.48422430981941</v>
      </c>
      <c r="L39" s="244">
        <v>950.18060160039022</v>
      </c>
      <c r="M39" s="244">
        <v>964.25275251160156</v>
      </c>
      <c r="N39" s="244">
        <v>979.9804505888377</v>
      </c>
      <c r="O39" s="244">
        <v>975.32422418439285</v>
      </c>
      <c r="P39" s="244">
        <v>972.84090343535559</v>
      </c>
      <c r="Q39" s="244">
        <v>1002.8476958195561</v>
      </c>
      <c r="R39" s="244">
        <v>1052.8245258939314</v>
      </c>
      <c r="S39" s="244">
        <v>1107.6645257685047</v>
      </c>
      <c r="T39" s="244">
        <v>1163.8496577154731</v>
      </c>
      <c r="U39" s="244">
        <v>1238.2478779226726</v>
      </c>
      <c r="V39" s="244">
        <v>1273.2161382200541</v>
      </c>
      <c r="W39" s="244">
        <v>1306.7546431972294</v>
      </c>
      <c r="X39" s="243">
        <v>1370.6289999999999</v>
      </c>
      <c r="Y39" s="405">
        <v>1407.7270000000001</v>
      </c>
    </row>
    <row r="40" spans="1:25" ht="12.95" customHeight="1" x14ac:dyDescent="0.2">
      <c r="A40" s="241"/>
      <c r="B40" s="338" t="s">
        <v>25</v>
      </c>
      <c r="C40" s="244">
        <v>322.96664427566895</v>
      </c>
      <c r="D40" s="244">
        <v>335.11712542354348</v>
      </c>
      <c r="E40" s="244">
        <v>347.72472557965477</v>
      </c>
      <c r="F40" s="244">
        <v>351.16054094428949</v>
      </c>
      <c r="G40" s="244">
        <v>351.16054094428949</v>
      </c>
      <c r="H40" s="244">
        <v>348.53315272427466</v>
      </c>
      <c r="I40" s="244">
        <v>338.42781341652534</v>
      </c>
      <c r="J40" s="244">
        <v>330.44459536340338</v>
      </c>
      <c r="K40" s="244">
        <v>325.69508588876118</v>
      </c>
      <c r="L40" s="244">
        <v>321.65295016566142</v>
      </c>
      <c r="M40" s="244">
        <v>316.4992271187092</v>
      </c>
      <c r="N40" s="244">
        <v>313.06341175407448</v>
      </c>
      <c r="O40" s="244">
        <v>306.5959945971149</v>
      </c>
      <c r="P40" s="244">
        <v>303.46333941171264</v>
      </c>
      <c r="Q40" s="244">
        <v>310.84023710636967</v>
      </c>
      <c r="R40" s="244">
        <v>312.35603800253205</v>
      </c>
      <c r="S40" s="244">
        <v>310.63813032021454</v>
      </c>
      <c r="T40" s="244">
        <v>311.85077103714451</v>
      </c>
      <c r="U40" s="244">
        <v>314.89955190629252</v>
      </c>
      <c r="V40" s="244">
        <v>314.55597036982903</v>
      </c>
      <c r="W40" s="244">
        <v>312.52182816733307</v>
      </c>
      <c r="X40" s="243">
        <v>310.952</v>
      </c>
      <c r="Y40" s="405">
        <v>312.85399999999998</v>
      </c>
    </row>
    <row r="41" spans="1:25" ht="12.95" customHeight="1" x14ac:dyDescent="0.2">
      <c r="A41" s="241"/>
      <c r="B41" s="338" t="s">
        <v>30</v>
      </c>
      <c r="C41" s="244">
        <v>371.22653441996715</v>
      </c>
      <c r="D41" s="244">
        <v>378.5260617031247</v>
      </c>
      <c r="E41" s="244">
        <v>385.9691215563364</v>
      </c>
      <c r="F41" s="244">
        <v>375.32169751340297</v>
      </c>
      <c r="G41" s="244">
        <v>375.11693935873109</v>
      </c>
      <c r="H41" s="244">
        <v>376.55024644143367</v>
      </c>
      <c r="I41" s="244">
        <v>364.26475716112589</v>
      </c>
      <c r="J41" s="244">
        <v>362.01241745973618</v>
      </c>
      <c r="K41" s="244">
        <v>360.37435222236178</v>
      </c>
      <c r="L41" s="244">
        <v>361.39814299572078</v>
      </c>
      <c r="M41" s="244">
        <v>364.16237808379003</v>
      </c>
      <c r="N41" s="244">
        <v>365.08378977981317</v>
      </c>
      <c r="O41" s="244">
        <v>366.61947593985167</v>
      </c>
      <c r="P41" s="244">
        <v>367.5408876358747</v>
      </c>
      <c r="Q41" s="244">
        <v>366.41471778517979</v>
      </c>
      <c r="R41" s="244">
        <v>366.82423409452343</v>
      </c>
      <c r="S41" s="244">
        <v>367.84802486788237</v>
      </c>
      <c r="T41" s="244">
        <v>366.92661317185923</v>
      </c>
      <c r="U41" s="244">
        <v>365.53732909241108</v>
      </c>
      <c r="V41" s="244">
        <v>368.10909151508889</v>
      </c>
      <c r="W41" s="244">
        <v>373.97524794734215</v>
      </c>
      <c r="X41" s="243">
        <v>378.25900000000001</v>
      </c>
      <c r="Y41" s="405">
        <v>381.87400000000002</v>
      </c>
    </row>
    <row r="42" spans="1:25" s="279" customFormat="1" ht="12.95" customHeight="1" x14ac:dyDescent="0.2">
      <c r="A42" s="285"/>
      <c r="B42" s="339" t="s">
        <v>3</v>
      </c>
      <c r="C42" s="248">
        <v>5075.9789020757926</v>
      </c>
      <c r="D42" s="248">
        <v>5167.8954534569193</v>
      </c>
      <c r="E42" s="248">
        <v>5261.4764428865074</v>
      </c>
      <c r="F42" s="248">
        <v>5316.5208218444704</v>
      </c>
      <c r="G42" s="248">
        <v>5359.4675350973848</v>
      </c>
      <c r="H42" s="248">
        <v>5407.5557562749455</v>
      </c>
      <c r="I42" s="248">
        <v>5407.5557562749445</v>
      </c>
      <c r="J42" s="248">
        <v>5429.8356239484056</v>
      </c>
      <c r="K42" s="248">
        <v>5423.3835355723804</v>
      </c>
      <c r="L42" s="248">
        <v>5419.7542358608653</v>
      </c>
      <c r="M42" s="248">
        <v>5443.2438701048304</v>
      </c>
      <c r="N42" s="248">
        <v>5476.3108230319585</v>
      </c>
      <c r="O42" s="248">
        <v>5492.6426717337717</v>
      </c>
      <c r="P42" s="248">
        <v>5494.9613909939071</v>
      </c>
      <c r="Q42" s="248">
        <v>5527.4234606357822</v>
      </c>
      <c r="R42" s="248">
        <v>5570.874243293074</v>
      </c>
      <c r="S42" s="248">
        <v>5612.5103760946095</v>
      </c>
      <c r="T42" s="248">
        <v>5655.7595309901517</v>
      </c>
      <c r="U42" s="248">
        <v>5706.2188946459</v>
      </c>
      <c r="V42" s="248">
        <v>5720.5747912825545</v>
      </c>
      <c r="W42" s="248">
        <v>5748.0756240525716</v>
      </c>
      <c r="X42" s="247">
        <v>5811.2550000000001</v>
      </c>
      <c r="Y42" s="407">
        <v>5848.2910000000002</v>
      </c>
    </row>
    <row r="43" spans="1:25" x14ac:dyDescent="0.2">
      <c r="A43" s="252" t="s">
        <v>29</v>
      </c>
    </row>
    <row r="44" spans="1:25" x14ac:dyDescent="0.2">
      <c r="A44" s="252" t="s">
        <v>28</v>
      </c>
    </row>
    <row r="45" spans="1:25" x14ac:dyDescent="0.2">
      <c r="A45" s="391" t="s">
        <v>27</v>
      </c>
    </row>
    <row r="46" spans="1:25" x14ac:dyDescent="0.2">
      <c r="A46" s="391" t="s">
        <v>216</v>
      </c>
    </row>
    <row r="47" spans="1:25" x14ac:dyDescent="0.2">
      <c r="A47" s="391" t="s">
        <v>235</v>
      </c>
    </row>
    <row r="48" spans="1:25" x14ac:dyDescent="0.2">
      <c r="A48" s="391" t="s">
        <v>236</v>
      </c>
    </row>
    <row r="49" spans="1:1" x14ac:dyDescent="0.2">
      <c r="A49" s="403" t="s">
        <v>264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1"/>
  <sheetViews>
    <sheetView showGridLines="0" zoomScaleNormal="100" workbookViewId="0">
      <pane xSplit="2" topLeftCell="C1" activePane="topRight" state="frozen"/>
      <selection pane="topRight"/>
    </sheetView>
  </sheetViews>
  <sheetFormatPr baseColWidth="10" defaultRowHeight="12.75" x14ac:dyDescent="0.2"/>
  <cols>
    <col min="1" max="1" width="13.7109375" style="124" customWidth="1"/>
    <col min="2" max="2" width="67.85546875" style="124" customWidth="1"/>
    <col min="3" max="19" width="10.7109375" style="124" customWidth="1"/>
    <col min="20" max="16384" width="11.42578125" style="124"/>
  </cols>
  <sheetData>
    <row r="1" spans="1:19" ht="13.5" customHeight="1" x14ac:dyDescent="0.2">
      <c r="A1" s="123" t="s">
        <v>196</v>
      </c>
      <c r="B1" s="123"/>
    </row>
    <row r="2" spans="1:19" ht="38.25" x14ac:dyDescent="0.2">
      <c r="A2" s="125"/>
      <c r="B2" s="126"/>
      <c r="C2" s="264">
        <v>2011</v>
      </c>
      <c r="D2" s="264">
        <v>2012</v>
      </c>
      <c r="E2" s="264">
        <v>2013</v>
      </c>
      <c r="F2" s="264">
        <v>2014</v>
      </c>
      <c r="G2" s="264">
        <v>2015</v>
      </c>
      <c r="H2" s="264">
        <v>2016</v>
      </c>
      <c r="I2" s="264">
        <v>2017</v>
      </c>
      <c r="J2" s="265" t="s">
        <v>197</v>
      </c>
      <c r="K2" s="266">
        <v>2019</v>
      </c>
      <c r="L2" s="266">
        <v>2020</v>
      </c>
      <c r="M2" s="267" t="s">
        <v>230</v>
      </c>
      <c r="N2" s="267" t="s">
        <v>231</v>
      </c>
      <c r="O2" s="267" t="s">
        <v>232</v>
      </c>
      <c r="P2" s="267" t="s">
        <v>233</v>
      </c>
      <c r="Q2" s="267" t="s">
        <v>261</v>
      </c>
      <c r="R2" s="267" t="s">
        <v>262</v>
      </c>
      <c r="S2" s="266">
        <v>2024</v>
      </c>
    </row>
    <row r="3" spans="1:19" x14ac:dyDescent="0.2">
      <c r="A3" s="443" t="s">
        <v>18</v>
      </c>
      <c r="B3" s="126" t="s">
        <v>198</v>
      </c>
      <c r="C3" s="127">
        <v>0</v>
      </c>
      <c r="D3" s="127">
        <v>0</v>
      </c>
      <c r="E3" s="127">
        <v>0</v>
      </c>
      <c r="F3" s="127">
        <v>0</v>
      </c>
      <c r="G3" s="127">
        <v>0</v>
      </c>
      <c r="H3" s="127">
        <v>0</v>
      </c>
      <c r="I3" s="127">
        <v>6800</v>
      </c>
      <c r="J3" s="127">
        <v>6000</v>
      </c>
      <c r="K3" s="127">
        <v>4700</v>
      </c>
      <c r="L3" s="127">
        <v>4200</v>
      </c>
      <c r="M3" s="127">
        <v>5300</v>
      </c>
      <c r="N3" s="127">
        <v>5200</v>
      </c>
      <c r="O3" s="127">
        <v>6000</v>
      </c>
      <c r="P3" s="127">
        <v>6000</v>
      </c>
      <c r="Q3" s="127">
        <v>7400</v>
      </c>
      <c r="R3" s="127">
        <v>7200</v>
      </c>
      <c r="S3" s="258">
        <v>7600</v>
      </c>
    </row>
    <row r="4" spans="1:19" x14ac:dyDescent="0.2">
      <c r="A4" s="444"/>
      <c r="B4" s="128" t="s">
        <v>199</v>
      </c>
      <c r="C4" s="129">
        <v>0</v>
      </c>
      <c r="D4" s="129">
        <v>0</v>
      </c>
      <c r="E4" s="129">
        <v>0</v>
      </c>
      <c r="F4" s="129">
        <v>0</v>
      </c>
      <c r="G4" s="129">
        <v>0</v>
      </c>
      <c r="H4" s="129">
        <v>0</v>
      </c>
      <c r="I4" s="129">
        <v>3500</v>
      </c>
      <c r="J4" s="129">
        <v>2400</v>
      </c>
      <c r="K4" s="129">
        <v>800</v>
      </c>
      <c r="L4" s="129">
        <v>100</v>
      </c>
      <c r="M4" s="129">
        <v>0</v>
      </c>
      <c r="N4" s="129">
        <v>0</v>
      </c>
      <c r="O4" s="129">
        <v>100</v>
      </c>
      <c r="P4" s="129">
        <v>100</v>
      </c>
      <c r="Q4" s="129">
        <v>200</v>
      </c>
      <c r="R4" s="129">
        <v>200</v>
      </c>
      <c r="S4" s="259">
        <v>200</v>
      </c>
    </row>
    <row r="5" spans="1:19" x14ac:dyDescent="0.2">
      <c r="A5" s="444"/>
      <c r="B5" s="130" t="s">
        <v>200</v>
      </c>
      <c r="C5" s="129">
        <v>0</v>
      </c>
      <c r="D5" s="129">
        <v>0</v>
      </c>
      <c r="E5" s="129">
        <v>0</v>
      </c>
      <c r="F5" s="129">
        <v>0</v>
      </c>
      <c r="G5" s="129">
        <v>0</v>
      </c>
      <c r="H5" s="129">
        <v>0</v>
      </c>
      <c r="I5" s="129">
        <v>1200</v>
      </c>
      <c r="J5" s="129">
        <v>1300</v>
      </c>
      <c r="K5" s="129">
        <v>1500</v>
      </c>
      <c r="L5" s="129">
        <v>1800</v>
      </c>
      <c r="M5" s="129">
        <v>1800</v>
      </c>
      <c r="N5" s="129">
        <v>1800</v>
      </c>
      <c r="O5" s="129">
        <v>2000</v>
      </c>
      <c r="P5" s="129">
        <v>2000</v>
      </c>
      <c r="Q5" s="129">
        <v>2500</v>
      </c>
      <c r="R5" s="129">
        <v>2200</v>
      </c>
      <c r="S5" s="259">
        <v>2500</v>
      </c>
    </row>
    <row r="6" spans="1:19" x14ac:dyDescent="0.2">
      <c r="A6" s="444"/>
      <c r="B6" s="130" t="s">
        <v>201</v>
      </c>
      <c r="C6" s="129">
        <v>0</v>
      </c>
      <c r="D6" s="129">
        <v>0</v>
      </c>
      <c r="E6" s="129">
        <v>0</v>
      </c>
      <c r="F6" s="129">
        <v>0</v>
      </c>
      <c r="G6" s="129">
        <v>0</v>
      </c>
      <c r="H6" s="129">
        <v>0</v>
      </c>
      <c r="I6" s="129">
        <v>1000</v>
      </c>
      <c r="J6" s="129">
        <v>1100</v>
      </c>
      <c r="K6" s="129">
        <v>1100</v>
      </c>
      <c r="L6" s="129">
        <v>1000</v>
      </c>
      <c r="M6" s="129">
        <v>1700</v>
      </c>
      <c r="N6" s="129">
        <v>1700</v>
      </c>
      <c r="O6" s="129">
        <v>1900</v>
      </c>
      <c r="P6" s="129">
        <v>1900</v>
      </c>
      <c r="Q6" s="129">
        <v>2000</v>
      </c>
      <c r="R6" s="129">
        <v>2000</v>
      </c>
      <c r="S6" s="259">
        <v>1800</v>
      </c>
    </row>
    <row r="7" spans="1:19" x14ac:dyDescent="0.2">
      <c r="A7" s="444"/>
      <c r="B7" s="131" t="s">
        <v>202</v>
      </c>
      <c r="C7" s="132">
        <v>0</v>
      </c>
      <c r="D7" s="132">
        <v>0</v>
      </c>
      <c r="E7" s="132">
        <v>0</v>
      </c>
      <c r="F7" s="132">
        <v>0</v>
      </c>
      <c r="G7" s="132">
        <v>0</v>
      </c>
      <c r="H7" s="132">
        <v>0</v>
      </c>
      <c r="I7" s="132">
        <v>1300</v>
      </c>
      <c r="J7" s="132">
        <v>1700</v>
      </c>
      <c r="K7" s="132">
        <v>1900</v>
      </c>
      <c r="L7" s="132">
        <v>2000</v>
      </c>
      <c r="M7" s="132">
        <v>2500</v>
      </c>
      <c r="N7" s="132">
        <v>2500</v>
      </c>
      <c r="O7" s="132">
        <v>2900</v>
      </c>
      <c r="P7" s="132">
        <v>3100</v>
      </c>
      <c r="Q7" s="132">
        <v>3900</v>
      </c>
      <c r="R7" s="132">
        <v>3900</v>
      </c>
      <c r="S7" s="260">
        <v>4200</v>
      </c>
    </row>
    <row r="8" spans="1:19" x14ac:dyDescent="0.2">
      <c r="A8" s="445"/>
      <c r="B8" s="133" t="s">
        <v>3</v>
      </c>
      <c r="C8" s="134">
        <v>700</v>
      </c>
      <c r="D8" s="134">
        <v>700</v>
      </c>
      <c r="E8" s="134">
        <v>700</v>
      </c>
      <c r="F8" s="134">
        <v>800</v>
      </c>
      <c r="G8" s="134">
        <v>3700</v>
      </c>
      <c r="H8" s="134">
        <v>7000</v>
      </c>
      <c r="I8" s="134">
        <v>8100</v>
      </c>
      <c r="J8" s="134">
        <v>7700</v>
      </c>
      <c r="K8" s="134">
        <v>6600</v>
      </c>
      <c r="L8" s="134">
        <v>6200</v>
      </c>
      <c r="M8" s="134">
        <v>7800</v>
      </c>
      <c r="N8" s="257">
        <v>7800</v>
      </c>
      <c r="O8" s="134">
        <v>9000</v>
      </c>
      <c r="P8" s="257">
        <v>9100</v>
      </c>
      <c r="Q8" s="134">
        <v>11300</v>
      </c>
      <c r="R8" s="257">
        <v>11100</v>
      </c>
      <c r="S8" s="261">
        <v>11800</v>
      </c>
    </row>
    <row r="9" spans="1:19" x14ac:dyDescent="0.2">
      <c r="A9" s="443" t="s">
        <v>20</v>
      </c>
      <c r="B9" s="135" t="s">
        <v>203</v>
      </c>
      <c r="C9" s="127">
        <v>0</v>
      </c>
      <c r="D9" s="127">
        <v>0</v>
      </c>
      <c r="E9" s="127">
        <v>0</v>
      </c>
      <c r="F9" s="127">
        <v>0</v>
      </c>
      <c r="G9" s="127">
        <v>0</v>
      </c>
      <c r="H9" s="127">
        <v>0</v>
      </c>
      <c r="I9" s="127">
        <v>7100</v>
      </c>
      <c r="J9" s="127">
        <v>9200</v>
      </c>
      <c r="K9" s="127">
        <v>9300</v>
      </c>
      <c r="L9" s="127">
        <v>9100</v>
      </c>
      <c r="M9" s="258">
        <v>11500</v>
      </c>
      <c r="N9" s="258">
        <v>12000</v>
      </c>
      <c r="O9" s="127">
        <v>13200</v>
      </c>
      <c r="P9" s="258">
        <v>13300</v>
      </c>
      <c r="Q9" s="127">
        <v>13800</v>
      </c>
      <c r="R9" s="258">
        <v>13900</v>
      </c>
      <c r="S9" s="258">
        <v>13700</v>
      </c>
    </row>
    <row r="10" spans="1:19" x14ac:dyDescent="0.2">
      <c r="A10" s="444"/>
      <c r="B10" s="130" t="s">
        <v>204</v>
      </c>
      <c r="C10" s="129">
        <v>0</v>
      </c>
      <c r="D10" s="129">
        <v>0</v>
      </c>
      <c r="E10" s="129">
        <v>0</v>
      </c>
      <c r="F10" s="129">
        <v>0</v>
      </c>
      <c r="G10" s="129">
        <v>0</v>
      </c>
      <c r="H10" s="129">
        <v>0</v>
      </c>
      <c r="I10" s="129">
        <v>5500</v>
      </c>
      <c r="J10" s="129">
        <v>7000</v>
      </c>
      <c r="K10" s="129">
        <v>7000</v>
      </c>
      <c r="L10" s="129">
        <v>6800</v>
      </c>
      <c r="M10" s="259">
        <v>8400</v>
      </c>
      <c r="N10" s="259">
        <v>8600</v>
      </c>
      <c r="O10" s="129">
        <v>9400</v>
      </c>
      <c r="P10" s="259">
        <v>9500</v>
      </c>
      <c r="Q10" s="129">
        <v>9400</v>
      </c>
      <c r="R10" s="259">
        <v>9400</v>
      </c>
      <c r="S10" s="259">
        <v>9300</v>
      </c>
    </row>
    <row r="11" spans="1:19" x14ac:dyDescent="0.2">
      <c r="A11" s="444"/>
      <c r="B11" s="131" t="s">
        <v>205</v>
      </c>
      <c r="C11" s="132">
        <v>0</v>
      </c>
      <c r="D11" s="132">
        <v>0</v>
      </c>
      <c r="E11" s="132">
        <v>0</v>
      </c>
      <c r="F11" s="132">
        <v>0</v>
      </c>
      <c r="G11" s="132">
        <v>0</v>
      </c>
      <c r="H11" s="132">
        <v>0</v>
      </c>
      <c r="I11" s="132">
        <v>2000</v>
      </c>
      <c r="J11" s="132">
        <v>2500</v>
      </c>
      <c r="K11" s="132">
        <v>2900</v>
      </c>
      <c r="L11" s="132">
        <v>2900</v>
      </c>
      <c r="M11" s="260">
        <v>4100</v>
      </c>
      <c r="N11" s="260">
        <v>4300</v>
      </c>
      <c r="O11" s="132">
        <v>5400</v>
      </c>
      <c r="P11" s="260">
        <v>5400</v>
      </c>
      <c r="Q11" s="132">
        <v>5700</v>
      </c>
      <c r="R11" s="260">
        <v>5700</v>
      </c>
      <c r="S11" s="260">
        <v>6000</v>
      </c>
    </row>
    <row r="12" spans="1:19" x14ac:dyDescent="0.2">
      <c r="A12" s="445"/>
      <c r="B12" s="133" t="s">
        <v>3</v>
      </c>
      <c r="C12" s="134">
        <v>9000</v>
      </c>
      <c r="D12" s="134">
        <v>11000</v>
      </c>
      <c r="E12" s="134">
        <v>10600</v>
      </c>
      <c r="F12" s="134">
        <v>10100</v>
      </c>
      <c r="G12" s="134">
        <v>9300</v>
      </c>
      <c r="H12" s="134">
        <v>9200</v>
      </c>
      <c r="I12" s="134">
        <v>9100</v>
      </c>
      <c r="J12" s="134">
        <v>11700</v>
      </c>
      <c r="K12" s="134">
        <v>12200</v>
      </c>
      <c r="L12" s="134">
        <v>12100</v>
      </c>
      <c r="M12" s="261">
        <v>15600</v>
      </c>
      <c r="N12" s="261">
        <v>16300</v>
      </c>
      <c r="O12" s="134">
        <v>18600</v>
      </c>
      <c r="P12" s="261">
        <v>18700</v>
      </c>
      <c r="Q12" s="134">
        <v>19600</v>
      </c>
      <c r="R12" s="261">
        <v>19700</v>
      </c>
      <c r="S12" s="261">
        <v>19700</v>
      </c>
    </row>
    <row r="13" spans="1:19" x14ac:dyDescent="0.2">
      <c r="A13" s="169" t="s">
        <v>21</v>
      </c>
      <c r="B13" s="136" t="s">
        <v>3</v>
      </c>
      <c r="C13" s="137">
        <v>700</v>
      </c>
      <c r="D13" s="137">
        <v>900</v>
      </c>
      <c r="E13" s="137">
        <v>700</v>
      </c>
      <c r="F13" s="137">
        <v>600</v>
      </c>
      <c r="G13" s="137">
        <v>600</v>
      </c>
      <c r="H13" s="137">
        <v>600</v>
      </c>
      <c r="I13" s="137">
        <v>700</v>
      </c>
      <c r="J13" s="137">
        <v>1000</v>
      </c>
      <c r="K13" s="137">
        <v>1100</v>
      </c>
      <c r="L13" s="137">
        <v>1000</v>
      </c>
      <c r="M13" s="137">
        <v>1300</v>
      </c>
      <c r="N13" s="137">
        <v>1300</v>
      </c>
      <c r="O13" s="137">
        <v>2600</v>
      </c>
      <c r="P13" s="137">
        <v>2600</v>
      </c>
      <c r="Q13" s="137">
        <v>3200</v>
      </c>
      <c r="R13" s="137">
        <v>3200</v>
      </c>
      <c r="S13" s="408">
        <v>3200</v>
      </c>
    </row>
    <row r="14" spans="1:19" x14ac:dyDescent="0.2">
      <c r="A14" s="170" t="s">
        <v>22</v>
      </c>
      <c r="B14" s="136" t="s">
        <v>3</v>
      </c>
      <c r="C14" s="137">
        <v>10400</v>
      </c>
      <c r="D14" s="137">
        <v>12700</v>
      </c>
      <c r="E14" s="137">
        <v>12000</v>
      </c>
      <c r="F14" s="137">
        <v>11600</v>
      </c>
      <c r="G14" s="137">
        <v>13600</v>
      </c>
      <c r="H14" s="137">
        <v>16800</v>
      </c>
      <c r="I14" s="137">
        <v>17900</v>
      </c>
      <c r="J14" s="137">
        <v>20300</v>
      </c>
      <c r="K14" s="137">
        <v>19800</v>
      </c>
      <c r="L14" s="137">
        <v>19200</v>
      </c>
      <c r="M14" s="137">
        <v>24700</v>
      </c>
      <c r="N14" s="137">
        <v>25400</v>
      </c>
      <c r="O14" s="137">
        <v>30100</v>
      </c>
      <c r="P14" s="137">
        <v>30400</v>
      </c>
      <c r="Q14" s="137">
        <v>34100</v>
      </c>
      <c r="R14" s="137">
        <v>34000</v>
      </c>
      <c r="S14" s="408">
        <v>35100</v>
      </c>
    </row>
    <row r="15" spans="1:19" ht="12.75" customHeight="1" x14ac:dyDescent="0.2">
      <c r="A15" s="158" t="s">
        <v>206</v>
      </c>
      <c r="P15" s="138"/>
    </row>
    <row r="16" spans="1:19" x14ac:dyDescent="0.2">
      <c r="A16" s="158" t="s">
        <v>207</v>
      </c>
      <c r="P16" s="138"/>
    </row>
    <row r="17" spans="1:16" x14ac:dyDescent="0.2">
      <c r="A17" s="392" t="s">
        <v>208</v>
      </c>
      <c r="P17" s="138"/>
    </row>
    <row r="18" spans="1:16" x14ac:dyDescent="0.2">
      <c r="A18" s="409" t="s">
        <v>265</v>
      </c>
      <c r="P18" s="138"/>
    </row>
    <row r="19" spans="1:16" x14ac:dyDescent="0.2">
      <c r="K19" s="138"/>
      <c r="L19" s="138"/>
      <c r="M19" s="138"/>
    </row>
    <row r="20" spans="1:16" x14ac:dyDescent="0.2">
      <c r="K20" s="138"/>
      <c r="L20" s="138"/>
      <c r="M20" s="138"/>
    </row>
    <row r="21" spans="1:16" x14ac:dyDescent="0.2">
      <c r="K21" s="138"/>
      <c r="L21" s="138"/>
      <c r="M21" s="138"/>
    </row>
  </sheetData>
  <mergeCells count="2">
    <mergeCell ref="A3:A8"/>
    <mergeCell ref="A9:A1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6"/>
  <sheetViews>
    <sheetView showGridLines="0" zoomScaleNormal="100" workbookViewId="0">
      <pane xSplit="2" ySplit="3" topLeftCell="C4" activePane="bottomRight" state="frozen"/>
      <selection sqref="A1:H1"/>
      <selection pane="topRight" sqref="A1:H1"/>
      <selection pane="bottomLeft" sqref="A1:H1"/>
      <selection pane="bottomRight"/>
    </sheetView>
  </sheetViews>
  <sheetFormatPr baseColWidth="10" defaultColWidth="11.42578125" defaultRowHeight="12.75" x14ac:dyDescent="0.2"/>
  <cols>
    <col min="1" max="2" width="15.7109375" style="15" bestFit="1" customWidth="1"/>
    <col min="3" max="19" width="10.7109375" style="15" customWidth="1"/>
    <col min="20" max="16384" width="11.42578125" style="15"/>
  </cols>
  <sheetData>
    <row r="1" spans="1:19" x14ac:dyDescent="0.2">
      <c r="A1" s="14" t="s">
        <v>24</v>
      </c>
      <c r="B1" s="14"/>
      <c r="C1" s="14"/>
      <c r="D1" s="14"/>
      <c r="E1" s="14"/>
      <c r="F1" s="14"/>
      <c r="G1" s="14"/>
      <c r="H1" s="14"/>
      <c r="I1" s="14"/>
    </row>
    <row r="2" spans="1:19" x14ac:dyDescent="0.2">
      <c r="A2" s="102" t="s">
        <v>26</v>
      </c>
      <c r="B2" s="14"/>
      <c r="C2" s="14"/>
      <c r="D2" s="14"/>
      <c r="E2" s="14"/>
      <c r="F2" s="14"/>
      <c r="G2" s="14"/>
      <c r="H2" s="14"/>
      <c r="I2" s="14"/>
    </row>
    <row r="3" spans="1:19" ht="39.75" x14ac:dyDescent="0.2">
      <c r="A3" s="449" t="s">
        <v>17</v>
      </c>
      <c r="B3" s="450"/>
      <c r="C3" s="268">
        <v>2011</v>
      </c>
      <c r="D3" s="268">
        <v>2012</v>
      </c>
      <c r="E3" s="268">
        <v>2013</v>
      </c>
      <c r="F3" s="268">
        <v>2014</v>
      </c>
      <c r="G3" s="268">
        <v>2015</v>
      </c>
      <c r="H3" s="268">
        <v>2016</v>
      </c>
      <c r="I3" s="268" t="s">
        <v>23</v>
      </c>
      <c r="J3" s="268">
        <v>2018</v>
      </c>
      <c r="K3" s="269">
        <v>2019</v>
      </c>
      <c r="L3" s="269">
        <v>2020</v>
      </c>
      <c r="M3" s="270" t="s">
        <v>230</v>
      </c>
      <c r="N3" s="271" t="s">
        <v>234</v>
      </c>
      <c r="O3" s="270" t="s">
        <v>232</v>
      </c>
      <c r="P3" s="271" t="s">
        <v>259</v>
      </c>
      <c r="Q3" s="270" t="s">
        <v>261</v>
      </c>
      <c r="R3" s="271" t="s">
        <v>289</v>
      </c>
      <c r="S3" s="270" t="s">
        <v>285</v>
      </c>
    </row>
    <row r="4" spans="1:19" ht="17.100000000000001" customHeight="1" x14ac:dyDescent="0.2">
      <c r="A4" s="451" t="s">
        <v>18</v>
      </c>
      <c r="B4" s="16" t="s">
        <v>7</v>
      </c>
      <c r="C4" s="34">
        <v>1274.2</v>
      </c>
      <c r="D4" s="34">
        <v>1279.4000000000001</v>
      </c>
      <c r="E4" s="34">
        <v>1299.8</v>
      </c>
      <c r="F4" s="34">
        <v>1303.3</v>
      </c>
      <c r="G4" s="34">
        <v>1322.8</v>
      </c>
      <c r="H4" s="34">
        <v>1344.3</v>
      </c>
      <c r="I4" s="34">
        <v>1356.4</v>
      </c>
      <c r="J4" s="34">
        <v>1364.2</v>
      </c>
      <c r="K4" s="34">
        <v>1378.4</v>
      </c>
      <c r="L4" s="34">
        <v>1383.8409999999999</v>
      </c>
      <c r="M4" s="171">
        <v>1391.098</v>
      </c>
      <c r="N4" s="34">
        <v>1381.327</v>
      </c>
      <c r="O4" s="202">
        <v>1398.961</v>
      </c>
      <c r="P4" s="34">
        <v>1403.896</v>
      </c>
      <c r="Q4" s="202">
        <v>1410.086</v>
      </c>
      <c r="R4" s="34">
        <v>1400.4</v>
      </c>
      <c r="S4" s="202">
        <v>1410.498</v>
      </c>
    </row>
    <row r="5" spans="1:19" ht="17.100000000000001" customHeight="1" x14ac:dyDescent="0.2">
      <c r="A5" s="451"/>
      <c r="B5" s="17" t="s">
        <v>19</v>
      </c>
      <c r="C5" s="35">
        <v>102.3</v>
      </c>
      <c r="D5" s="35">
        <v>103.2</v>
      </c>
      <c r="E5" s="35">
        <v>103.1</v>
      </c>
      <c r="F5" s="35">
        <v>103.7</v>
      </c>
      <c r="G5" s="35">
        <v>104</v>
      </c>
      <c r="H5" s="35">
        <v>107.5</v>
      </c>
      <c r="I5" s="35">
        <v>91.5</v>
      </c>
      <c r="J5" s="35">
        <v>91.2</v>
      </c>
      <c r="K5" s="35">
        <v>91.7</v>
      </c>
      <c r="L5" s="35">
        <v>91.789000000000001</v>
      </c>
      <c r="M5" s="172">
        <v>92.233999999999995</v>
      </c>
      <c r="N5" s="410">
        <v>86.4</v>
      </c>
      <c r="O5" s="204">
        <v>86.019000000000005</v>
      </c>
      <c r="P5" s="410">
        <v>85.793999999999997</v>
      </c>
      <c r="Q5" s="204">
        <v>88.26</v>
      </c>
      <c r="R5" s="410">
        <v>90.846999999999994</v>
      </c>
      <c r="S5" s="204">
        <v>91.777000000000001</v>
      </c>
    </row>
    <row r="6" spans="1:19" ht="17.100000000000001" customHeight="1" x14ac:dyDescent="0.2">
      <c r="A6" s="451"/>
      <c r="B6" s="16" t="s">
        <v>8</v>
      </c>
      <c r="C6" s="34">
        <v>597</v>
      </c>
      <c r="D6" s="34">
        <v>592.70000000000005</v>
      </c>
      <c r="E6" s="34">
        <v>606.79999999999995</v>
      </c>
      <c r="F6" s="34">
        <v>588.79999999999995</v>
      </c>
      <c r="G6" s="34">
        <v>580.6</v>
      </c>
      <c r="H6" s="34">
        <v>581.1</v>
      </c>
      <c r="I6" s="34">
        <v>576.5</v>
      </c>
      <c r="J6" s="34">
        <v>595.29999999999995</v>
      </c>
      <c r="K6" s="34">
        <v>583</v>
      </c>
      <c r="L6" s="34">
        <v>591.92499999999995</v>
      </c>
      <c r="M6" s="171">
        <v>585.47</v>
      </c>
      <c r="N6" s="34">
        <v>601.23699999999997</v>
      </c>
      <c r="O6" s="202">
        <v>595.16800000000001</v>
      </c>
      <c r="P6" s="34">
        <v>604.202</v>
      </c>
      <c r="Q6" s="202">
        <v>604.46699999999998</v>
      </c>
      <c r="R6" s="34">
        <v>611.32600000000002</v>
      </c>
      <c r="S6" s="202">
        <v>637.22900000000004</v>
      </c>
    </row>
    <row r="7" spans="1:19" ht="17.100000000000001" customHeight="1" x14ac:dyDescent="0.2">
      <c r="A7" s="451"/>
      <c r="B7" s="16" t="s">
        <v>9</v>
      </c>
      <c r="C7" s="34">
        <v>477.3</v>
      </c>
      <c r="D7" s="34">
        <v>478.7</v>
      </c>
      <c r="E7" s="34">
        <v>465.9</v>
      </c>
      <c r="F7" s="34">
        <v>474.9</v>
      </c>
      <c r="G7" s="34">
        <v>469.8</v>
      </c>
      <c r="H7" s="34">
        <v>480.3</v>
      </c>
      <c r="I7" s="34">
        <v>491.2</v>
      </c>
      <c r="J7" s="34">
        <v>487.2</v>
      </c>
      <c r="K7" s="34">
        <v>506.6</v>
      </c>
      <c r="L7" s="34">
        <v>524.87300000000005</v>
      </c>
      <c r="M7" s="171">
        <v>514.67100000000005</v>
      </c>
      <c r="N7" s="34">
        <v>505.863</v>
      </c>
      <c r="O7" s="202">
        <v>512.62800000000004</v>
      </c>
      <c r="P7" s="34">
        <v>488.274</v>
      </c>
      <c r="Q7" s="202">
        <v>496.88799999999998</v>
      </c>
      <c r="R7" s="34">
        <v>492.66899999999998</v>
      </c>
      <c r="S7" s="202">
        <v>466.17599999999999</v>
      </c>
    </row>
    <row r="8" spans="1:19" ht="17.100000000000001" customHeight="1" x14ac:dyDescent="0.2">
      <c r="A8" s="451"/>
      <c r="B8" s="16" t="s">
        <v>154</v>
      </c>
      <c r="C8" s="34">
        <v>50.1</v>
      </c>
      <c r="D8" s="34">
        <v>31.3</v>
      </c>
      <c r="E8" s="34">
        <v>28</v>
      </c>
      <c r="F8" s="34">
        <v>25.7</v>
      </c>
      <c r="G8" s="34">
        <v>24.8</v>
      </c>
      <c r="H8" s="34">
        <v>25.8</v>
      </c>
      <c r="I8" s="34">
        <v>26.1</v>
      </c>
      <c r="J8" s="34">
        <v>22.5</v>
      </c>
      <c r="K8" s="34">
        <v>21.8</v>
      </c>
      <c r="L8" s="34">
        <v>20.669</v>
      </c>
      <c r="M8" s="202">
        <v>27.74</v>
      </c>
      <c r="N8" s="203">
        <v>38.417000000000002</v>
      </c>
      <c r="O8" s="171">
        <v>35.414000000000001</v>
      </c>
      <c r="P8" s="203">
        <v>54.106000000000002</v>
      </c>
      <c r="Q8" s="171">
        <v>58.795999999999999</v>
      </c>
      <c r="R8" s="203">
        <v>56.420999999999999</v>
      </c>
      <c r="S8" s="171">
        <v>67.966999999999999</v>
      </c>
    </row>
    <row r="9" spans="1:19" s="19" customFormat="1" ht="17.100000000000001" customHeight="1" x14ac:dyDescent="0.2">
      <c r="A9" s="452"/>
      <c r="B9" s="18" t="s">
        <v>3</v>
      </c>
      <c r="C9" s="36">
        <v>2398.6999999999998</v>
      </c>
      <c r="D9" s="36">
        <v>2382.1</v>
      </c>
      <c r="E9" s="36">
        <v>2400.6</v>
      </c>
      <c r="F9" s="36">
        <v>2392.6</v>
      </c>
      <c r="G9" s="36">
        <v>2398</v>
      </c>
      <c r="H9" s="36">
        <v>2431.5</v>
      </c>
      <c r="I9" s="36">
        <v>2450.1999999999998</v>
      </c>
      <c r="J9" s="36">
        <v>2469.1999999999998</v>
      </c>
      <c r="K9" s="36">
        <v>2489.9</v>
      </c>
      <c r="L9" s="36">
        <v>2521.308</v>
      </c>
      <c r="M9" s="173">
        <v>2518.9789999999998</v>
      </c>
      <c r="N9" s="36">
        <v>2526.8440000000001</v>
      </c>
      <c r="O9" s="173">
        <v>2542.1709999999998</v>
      </c>
      <c r="P9" s="36">
        <v>2550.4780000000001</v>
      </c>
      <c r="Q9" s="173">
        <v>2570.2370000000001</v>
      </c>
      <c r="R9" s="36">
        <v>2560.8159999999998</v>
      </c>
      <c r="S9" s="173">
        <v>2581.87</v>
      </c>
    </row>
    <row r="10" spans="1:19" ht="17.100000000000001" customHeight="1" x14ac:dyDescent="0.2">
      <c r="A10" s="453" t="s">
        <v>20</v>
      </c>
      <c r="B10" s="20" t="s">
        <v>7</v>
      </c>
      <c r="C10" s="34">
        <v>164.8</v>
      </c>
      <c r="D10" s="34">
        <v>167.4</v>
      </c>
      <c r="E10" s="34">
        <v>177.8</v>
      </c>
      <c r="F10" s="34">
        <v>179</v>
      </c>
      <c r="G10" s="34">
        <v>182</v>
      </c>
      <c r="H10" s="34">
        <v>182.1</v>
      </c>
      <c r="I10" s="34">
        <v>181.2</v>
      </c>
      <c r="J10" s="34">
        <v>182.1</v>
      </c>
      <c r="K10" s="34">
        <v>240.5</v>
      </c>
      <c r="L10" s="34">
        <v>243.155</v>
      </c>
      <c r="M10" s="171">
        <v>245.28899999999999</v>
      </c>
      <c r="N10" s="34">
        <v>244.392</v>
      </c>
      <c r="O10" s="171">
        <v>248.69900000000001</v>
      </c>
      <c r="P10" s="34">
        <v>249.399</v>
      </c>
      <c r="Q10" s="171">
        <v>258.96499999999997</v>
      </c>
      <c r="R10" s="34">
        <v>259.37700000000001</v>
      </c>
      <c r="S10" s="171">
        <v>267.404</v>
      </c>
    </row>
    <row r="11" spans="1:19" ht="17.100000000000001" customHeight="1" x14ac:dyDescent="0.2">
      <c r="A11" s="454"/>
      <c r="B11" s="17" t="s">
        <v>19</v>
      </c>
      <c r="C11" s="35">
        <v>11</v>
      </c>
      <c r="D11" s="35">
        <v>10.9</v>
      </c>
      <c r="E11" s="35">
        <v>12.6</v>
      </c>
      <c r="F11" s="35">
        <v>12.3</v>
      </c>
      <c r="G11" s="35">
        <v>12.5</v>
      </c>
      <c r="H11" s="35">
        <v>11.4</v>
      </c>
      <c r="I11" s="35">
        <v>12.2</v>
      </c>
      <c r="J11" s="35">
        <v>12.2</v>
      </c>
      <c r="K11" s="35">
        <v>12</v>
      </c>
      <c r="L11" s="35">
        <v>11.840999999999999</v>
      </c>
      <c r="M11" s="172">
        <v>11.037000000000001</v>
      </c>
      <c r="N11" s="410">
        <v>10.974</v>
      </c>
      <c r="O11" s="204">
        <v>10.39</v>
      </c>
      <c r="P11" s="410">
        <v>11.37</v>
      </c>
      <c r="Q11" s="204">
        <v>11.143000000000001</v>
      </c>
      <c r="R11" s="410">
        <v>11.833</v>
      </c>
      <c r="S11" s="204">
        <v>11.648</v>
      </c>
    </row>
    <row r="12" spans="1:19" ht="17.100000000000001" customHeight="1" x14ac:dyDescent="0.2">
      <c r="A12" s="454"/>
      <c r="B12" s="16" t="s">
        <v>8</v>
      </c>
      <c r="C12" s="34">
        <v>247.6</v>
      </c>
      <c r="D12" s="34">
        <v>247.4</v>
      </c>
      <c r="E12" s="34">
        <v>265.5</v>
      </c>
      <c r="F12" s="34">
        <v>271.39999999999998</v>
      </c>
      <c r="G12" s="34">
        <v>271.5</v>
      </c>
      <c r="H12" s="34">
        <v>274.60000000000002</v>
      </c>
      <c r="I12" s="34">
        <v>276.89999999999998</v>
      </c>
      <c r="J12" s="34">
        <v>281.39999999999998</v>
      </c>
      <c r="K12" s="34">
        <v>229.4</v>
      </c>
      <c r="L12" s="34">
        <v>232.792</v>
      </c>
      <c r="M12" s="171">
        <v>235.22499999999999</v>
      </c>
      <c r="N12" s="34">
        <v>232.91</v>
      </c>
      <c r="O12" s="171">
        <v>290.68700000000001</v>
      </c>
      <c r="P12" s="34">
        <v>290.59800000000001</v>
      </c>
      <c r="Q12" s="171">
        <v>294.185</v>
      </c>
      <c r="R12" s="34">
        <v>298.34199999999998</v>
      </c>
      <c r="S12" s="171">
        <v>304.52</v>
      </c>
    </row>
    <row r="13" spans="1:19" ht="17.100000000000001" customHeight="1" x14ac:dyDescent="0.2">
      <c r="A13" s="454"/>
      <c r="B13" s="16" t="s">
        <v>9</v>
      </c>
      <c r="C13" s="34">
        <v>1375.5</v>
      </c>
      <c r="D13" s="34">
        <v>1398.5</v>
      </c>
      <c r="E13" s="34">
        <v>1422.4</v>
      </c>
      <c r="F13" s="34">
        <v>1432.5</v>
      </c>
      <c r="G13" s="34">
        <v>1420.9</v>
      </c>
      <c r="H13" s="34">
        <v>1416.1</v>
      </c>
      <c r="I13" s="34">
        <v>1427.5</v>
      </c>
      <c r="J13" s="34">
        <v>1439.2</v>
      </c>
      <c r="K13" s="34">
        <v>1449.9</v>
      </c>
      <c r="L13" s="34">
        <v>1436.9059999999999</v>
      </c>
      <c r="M13" s="171">
        <v>1441.6189999999999</v>
      </c>
      <c r="N13" s="34">
        <v>1433.61</v>
      </c>
      <c r="O13" s="171">
        <v>1377.4849999999999</v>
      </c>
      <c r="P13" s="34">
        <v>1401.444</v>
      </c>
      <c r="Q13" s="171">
        <v>1406.9449999999999</v>
      </c>
      <c r="R13" s="34">
        <v>1411.8420000000001</v>
      </c>
      <c r="S13" s="171">
        <v>1406.077</v>
      </c>
    </row>
    <row r="14" spans="1:19" ht="17.100000000000001" customHeight="1" x14ac:dyDescent="0.2">
      <c r="A14" s="454"/>
      <c r="B14" s="16" t="s">
        <v>154</v>
      </c>
      <c r="C14" s="34">
        <v>42.8</v>
      </c>
      <c r="D14" s="34">
        <v>49.2</v>
      </c>
      <c r="E14" s="34">
        <v>13</v>
      </c>
      <c r="F14" s="34">
        <v>11.8</v>
      </c>
      <c r="G14" s="34">
        <v>14.9</v>
      </c>
      <c r="H14" s="34">
        <v>13</v>
      </c>
      <c r="I14" s="34">
        <v>16.600000000000001</v>
      </c>
      <c r="J14" s="34">
        <v>16.3</v>
      </c>
      <c r="K14" s="34">
        <v>16.100000000000001</v>
      </c>
      <c r="L14" s="34">
        <v>18.989999999999998</v>
      </c>
      <c r="M14" s="171">
        <v>20.37</v>
      </c>
      <c r="N14" s="34">
        <v>20.797000000000001</v>
      </c>
      <c r="O14" s="171">
        <v>24.001999999999999</v>
      </c>
      <c r="P14" s="34">
        <v>33.262999999999998</v>
      </c>
      <c r="Q14" s="171">
        <v>34.094999999999999</v>
      </c>
      <c r="R14" s="34">
        <v>38.210999999999999</v>
      </c>
      <c r="S14" s="171">
        <v>39.829000000000001</v>
      </c>
    </row>
    <row r="15" spans="1:19" s="19" customFormat="1" ht="17.100000000000001" customHeight="1" x14ac:dyDescent="0.2">
      <c r="A15" s="455"/>
      <c r="B15" s="18" t="s">
        <v>3</v>
      </c>
      <c r="C15" s="36">
        <v>1830.7</v>
      </c>
      <c r="D15" s="36">
        <v>1862.4</v>
      </c>
      <c r="E15" s="36">
        <v>1878.7</v>
      </c>
      <c r="F15" s="36">
        <v>1894.7</v>
      </c>
      <c r="G15" s="36">
        <v>1889.3</v>
      </c>
      <c r="H15" s="36">
        <v>1885.9</v>
      </c>
      <c r="I15" s="36">
        <v>1902.2</v>
      </c>
      <c r="J15" s="36">
        <v>1918.9</v>
      </c>
      <c r="K15" s="36">
        <v>1936</v>
      </c>
      <c r="L15" s="36">
        <v>1931.8430000000001</v>
      </c>
      <c r="M15" s="173">
        <v>1942.5029999999999</v>
      </c>
      <c r="N15" s="36">
        <v>1931.7090000000001</v>
      </c>
      <c r="O15" s="173">
        <v>1940.873</v>
      </c>
      <c r="P15" s="36">
        <v>1974.704</v>
      </c>
      <c r="Q15" s="173">
        <v>1994.19</v>
      </c>
      <c r="R15" s="36">
        <v>2007.7719999999999</v>
      </c>
      <c r="S15" s="173">
        <v>2017.83</v>
      </c>
    </row>
    <row r="16" spans="1:19" ht="17.100000000000001" customHeight="1" x14ac:dyDescent="0.2">
      <c r="A16" s="453" t="s">
        <v>21</v>
      </c>
      <c r="B16" s="20" t="s">
        <v>7</v>
      </c>
      <c r="C16" s="34">
        <v>323.5</v>
      </c>
      <c r="D16" s="34">
        <v>343.3</v>
      </c>
      <c r="E16" s="34">
        <v>357.5</v>
      </c>
      <c r="F16" s="34">
        <v>367.5</v>
      </c>
      <c r="G16" s="34">
        <v>376.2</v>
      </c>
      <c r="H16" s="34">
        <v>384.8</v>
      </c>
      <c r="I16" s="34">
        <v>396.4</v>
      </c>
      <c r="J16" s="34">
        <v>416.9</v>
      </c>
      <c r="K16" s="34">
        <v>465.4</v>
      </c>
      <c r="L16" s="34">
        <v>477.44900000000001</v>
      </c>
      <c r="M16" s="171">
        <v>488.60599999999999</v>
      </c>
      <c r="N16" s="34">
        <v>488.541</v>
      </c>
      <c r="O16" s="171">
        <v>530.77700000000004</v>
      </c>
      <c r="P16" s="34">
        <v>532.81399999999996</v>
      </c>
      <c r="Q16" s="171">
        <v>554.18299999999999</v>
      </c>
      <c r="R16" s="34">
        <v>555.92899999999997</v>
      </c>
      <c r="S16" s="171">
        <v>576.21</v>
      </c>
    </row>
    <row r="17" spans="1:19" ht="17.100000000000001" customHeight="1" x14ac:dyDescent="0.2">
      <c r="A17" s="454"/>
      <c r="B17" s="17" t="s">
        <v>19</v>
      </c>
      <c r="C17" s="35">
        <v>5.6</v>
      </c>
      <c r="D17" s="35">
        <v>5.6</v>
      </c>
      <c r="E17" s="35">
        <v>5.6</v>
      </c>
      <c r="F17" s="35">
        <v>5.6</v>
      </c>
      <c r="G17" s="35">
        <v>5.6</v>
      </c>
      <c r="H17" s="35">
        <v>5.8</v>
      </c>
      <c r="I17" s="35">
        <v>5.9</v>
      </c>
      <c r="J17" s="35">
        <v>4.3</v>
      </c>
      <c r="K17" s="35">
        <v>4.2</v>
      </c>
      <c r="L17" s="35">
        <v>4.1539999999999999</v>
      </c>
      <c r="M17" s="172">
        <v>4.165</v>
      </c>
      <c r="N17" s="35">
        <v>4.1390000000000002</v>
      </c>
      <c r="O17" s="172">
        <v>4.0590000000000002</v>
      </c>
      <c r="P17" s="35">
        <v>4.1740000000000004</v>
      </c>
      <c r="Q17" s="172">
        <v>4.194</v>
      </c>
      <c r="R17" s="35">
        <v>4.194</v>
      </c>
      <c r="S17" s="172">
        <v>5.3609999999999998</v>
      </c>
    </row>
    <row r="18" spans="1:19" ht="17.100000000000001" customHeight="1" x14ac:dyDescent="0.2">
      <c r="A18" s="454"/>
      <c r="B18" s="16" t="s">
        <v>8</v>
      </c>
      <c r="C18" s="34">
        <v>239</v>
      </c>
      <c r="D18" s="34">
        <v>231.6</v>
      </c>
      <c r="E18" s="34">
        <v>232</v>
      </c>
      <c r="F18" s="34">
        <v>229.8</v>
      </c>
      <c r="G18" s="34">
        <v>226.6</v>
      </c>
      <c r="H18" s="34">
        <v>219.8</v>
      </c>
      <c r="I18" s="34">
        <v>213.2</v>
      </c>
      <c r="J18" s="34">
        <v>195.7</v>
      </c>
      <c r="K18" s="34">
        <v>150.5</v>
      </c>
      <c r="L18" s="34">
        <v>149.215</v>
      </c>
      <c r="M18" s="171">
        <v>315.95400000000001</v>
      </c>
      <c r="N18" s="34">
        <v>404.387</v>
      </c>
      <c r="O18" s="171">
        <v>363.351</v>
      </c>
      <c r="P18" s="34">
        <v>364.75700000000001</v>
      </c>
      <c r="Q18" s="171">
        <v>363.09500000000003</v>
      </c>
      <c r="R18" s="34">
        <v>363.642</v>
      </c>
      <c r="S18" s="171">
        <v>354.25299999999999</v>
      </c>
    </row>
    <row r="19" spans="1:19" ht="17.100000000000001" customHeight="1" x14ac:dyDescent="0.2">
      <c r="A19" s="454"/>
      <c r="B19" s="16" t="s">
        <v>9</v>
      </c>
      <c r="C19" s="34">
        <v>566</v>
      </c>
      <c r="D19" s="34">
        <v>561.9</v>
      </c>
      <c r="E19" s="34">
        <v>563.20000000000005</v>
      </c>
      <c r="F19" s="34">
        <v>563.5</v>
      </c>
      <c r="G19" s="34">
        <v>560.4</v>
      </c>
      <c r="H19" s="34">
        <v>560.70000000000005</v>
      </c>
      <c r="I19" s="34">
        <v>563.79999999999995</v>
      </c>
      <c r="J19" s="34">
        <v>566.4</v>
      </c>
      <c r="K19" s="34">
        <v>568.29999999999995</v>
      </c>
      <c r="L19" s="34">
        <v>580.32799999999997</v>
      </c>
      <c r="M19" s="171">
        <v>408.34699999999998</v>
      </c>
      <c r="N19" s="34">
        <v>317.10000000000002</v>
      </c>
      <c r="O19" s="171">
        <v>319.55799999999999</v>
      </c>
      <c r="P19" s="34">
        <v>311.07299999999998</v>
      </c>
      <c r="Q19" s="171">
        <v>313.82499999999999</v>
      </c>
      <c r="R19" s="34">
        <v>314.55200000000002</v>
      </c>
      <c r="S19" s="171">
        <v>308.85700000000003</v>
      </c>
    </row>
    <row r="20" spans="1:19" ht="17.100000000000001" customHeight="1" x14ac:dyDescent="0.2">
      <c r="A20" s="454"/>
      <c r="B20" s="16" t="s">
        <v>154</v>
      </c>
      <c r="C20" s="34">
        <v>1</v>
      </c>
      <c r="D20" s="34">
        <v>0.3</v>
      </c>
      <c r="E20" s="34">
        <v>0.1</v>
      </c>
      <c r="F20" s="34">
        <v>0.2</v>
      </c>
      <c r="G20" s="34">
        <v>0</v>
      </c>
      <c r="H20" s="34">
        <v>0.1</v>
      </c>
      <c r="I20" s="34">
        <v>0</v>
      </c>
      <c r="J20" s="34">
        <v>0</v>
      </c>
      <c r="K20" s="34">
        <v>0</v>
      </c>
      <c r="L20" s="34">
        <v>8.9999999999999993E-3</v>
      </c>
      <c r="M20" s="171">
        <v>3.0000000000000001E-3</v>
      </c>
      <c r="N20" s="34">
        <v>1.0649999999999999</v>
      </c>
      <c r="O20" s="171">
        <v>0.17199999999999999</v>
      </c>
      <c r="P20" s="34">
        <v>6.9370000000000003</v>
      </c>
      <c r="Q20" s="171">
        <v>8.3320000000000007</v>
      </c>
      <c r="R20" s="34">
        <v>8.5440000000000005</v>
      </c>
      <c r="S20" s="171">
        <v>9.2710000000000008</v>
      </c>
    </row>
    <row r="21" spans="1:19" s="19" customFormat="1" ht="17.100000000000001" customHeight="1" x14ac:dyDescent="0.2">
      <c r="A21" s="455"/>
      <c r="B21" s="18" t="s">
        <v>3</v>
      </c>
      <c r="C21" s="36">
        <v>1129.4000000000001</v>
      </c>
      <c r="D21" s="36">
        <v>1137</v>
      </c>
      <c r="E21" s="36">
        <v>1152.7</v>
      </c>
      <c r="F21" s="36">
        <v>1161.0999999999999</v>
      </c>
      <c r="G21" s="36">
        <v>1163.3</v>
      </c>
      <c r="H21" s="36">
        <v>1165.4000000000001</v>
      </c>
      <c r="I21" s="36">
        <v>1173.4000000000001</v>
      </c>
      <c r="J21" s="36">
        <v>1179.0999999999999</v>
      </c>
      <c r="K21" s="36">
        <v>1184.2</v>
      </c>
      <c r="L21" s="36">
        <v>1207.001</v>
      </c>
      <c r="M21" s="173">
        <v>1212.9100000000001</v>
      </c>
      <c r="N21" s="36">
        <v>1211.0930000000001</v>
      </c>
      <c r="O21" s="173">
        <v>1213.8579999999999</v>
      </c>
      <c r="P21" s="36">
        <v>1215.5809999999999</v>
      </c>
      <c r="Q21" s="173">
        <v>1239.4349999999999</v>
      </c>
      <c r="R21" s="36">
        <v>1242.6669999999999</v>
      </c>
      <c r="S21" s="173">
        <v>1248.5909999999999</v>
      </c>
    </row>
    <row r="22" spans="1:19" ht="17.100000000000001" customHeight="1" x14ac:dyDescent="0.2">
      <c r="A22" s="453" t="s">
        <v>22</v>
      </c>
      <c r="B22" s="20" t="s">
        <v>7</v>
      </c>
      <c r="C22" s="34">
        <v>1762.5</v>
      </c>
      <c r="D22" s="34">
        <v>1790</v>
      </c>
      <c r="E22" s="34">
        <v>1835.1</v>
      </c>
      <c r="F22" s="34">
        <v>1849.9</v>
      </c>
      <c r="G22" s="34">
        <v>1881</v>
      </c>
      <c r="H22" s="34">
        <v>1911.2</v>
      </c>
      <c r="I22" s="34">
        <v>1934.1</v>
      </c>
      <c r="J22" s="34">
        <v>1963.2</v>
      </c>
      <c r="K22" s="34">
        <v>2084.4</v>
      </c>
      <c r="L22" s="34">
        <v>2104.4450000000002</v>
      </c>
      <c r="M22" s="171">
        <v>2124.9929999999999</v>
      </c>
      <c r="N22" s="34">
        <v>2114.2600000000002</v>
      </c>
      <c r="O22" s="202">
        <v>2178.4369999999999</v>
      </c>
      <c r="P22" s="34">
        <v>2186.1089999999999</v>
      </c>
      <c r="Q22" s="202">
        <v>2223.2339999999999</v>
      </c>
      <c r="R22" s="34">
        <v>2215.7060000000001</v>
      </c>
      <c r="S22" s="202">
        <v>2254.1120000000001</v>
      </c>
    </row>
    <row r="23" spans="1:19" ht="17.100000000000001" customHeight="1" x14ac:dyDescent="0.2">
      <c r="A23" s="454"/>
      <c r="B23" s="17" t="s">
        <v>19</v>
      </c>
      <c r="C23" s="35">
        <v>118.9</v>
      </c>
      <c r="D23" s="35">
        <v>119.7</v>
      </c>
      <c r="E23" s="35">
        <v>121.3</v>
      </c>
      <c r="F23" s="35">
        <v>121.5</v>
      </c>
      <c r="G23" s="35">
        <v>122.1</v>
      </c>
      <c r="H23" s="35">
        <v>124.6</v>
      </c>
      <c r="I23" s="35">
        <v>109.6</v>
      </c>
      <c r="J23" s="35">
        <v>107.6</v>
      </c>
      <c r="K23" s="35">
        <v>107.9</v>
      </c>
      <c r="L23" s="35">
        <v>107.78400000000001</v>
      </c>
      <c r="M23" s="172">
        <v>107.43600000000001</v>
      </c>
      <c r="N23" s="35">
        <v>101.5</v>
      </c>
      <c r="O23" s="204">
        <v>100.468</v>
      </c>
      <c r="P23" s="35">
        <v>101.33799999999999</v>
      </c>
      <c r="Q23" s="204">
        <v>103.59699999999999</v>
      </c>
      <c r="R23" s="35">
        <v>106.874</v>
      </c>
      <c r="S23" s="204">
        <v>108.786</v>
      </c>
    </row>
    <row r="24" spans="1:19" ht="17.100000000000001" customHeight="1" x14ac:dyDescent="0.2">
      <c r="A24" s="454"/>
      <c r="B24" s="16" t="s">
        <v>8</v>
      </c>
      <c r="C24" s="34">
        <v>1083.5999999999999</v>
      </c>
      <c r="D24" s="34">
        <v>1071.7</v>
      </c>
      <c r="E24" s="34">
        <v>1104.3</v>
      </c>
      <c r="F24" s="34">
        <v>1090</v>
      </c>
      <c r="G24" s="34">
        <v>1078.7</v>
      </c>
      <c r="H24" s="34">
        <v>1075.5999999999999</v>
      </c>
      <c r="I24" s="34">
        <v>1066.7</v>
      </c>
      <c r="J24" s="34">
        <v>1072.4000000000001</v>
      </c>
      <c r="K24" s="34">
        <v>962.9</v>
      </c>
      <c r="L24" s="34">
        <v>973.93200000000002</v>
      </c>
      <c r="M24" s="171">
        <v>1136.6489999999999</v>
      </c>
      <c r="N24" s="34">
        <v>1238.5340000000001</v>
      </c>
      <c r="O24" s="202">
        <v>1249.2059999999999</v>
      </c>
      <c r="P24" s="34">
        <v>1259.557</v>
      </c>
      <c r="Q24" s="202">
        <v>1261.7470000000001</v>
      </c>
      <c r="R24" s="34">
        <v>1273.31</v>
      </c>
      <c r="S24" s="202">
        <v>1296.002</v>
      </c>
    </row>
    <row r="25" spans="1:19" ht="17.100000000000001" customHeight="1" x14ac:dyDescent="0.2">
      <c r="A25" s="454"/>
      <c r="B25" s="16" t="s">
        <v>9</v>
      </c>
      <c r="C25" s="34">
        <v>2418.8000000000002</v>
      </c>
      <c r="D25" s="34">
        <v>2439.1</v>
      </c>
      <c r="E25" s="34">
        <v>2451.5</v>
      </c>
      <c r="F25" s="34">
        <v>2470.8000000000002</v>
      </c>
      <c r="G25" s="34">
        <v>2451.1</v>
      </c>
      <c r="H25" s="34">
        <v>2457.1</v>
      </c>
      <c r="I25" s="34">
        <v>2482.5</v>
      </c>
      <c r="J25" s="34">
        <v>2492.9</v>
      </c>
      <c r="K25" s="34">
        <v>2524.8000000000002</v>
      </c>
      <c r="L25" s="34">
        <v>2542.107</v>
      </c>
      <c r="M25" s="171">
        <v>2364.6370000000002</v>
      </c>
      <c r="N25" s="34">
        <v>2256.5729999999999</v>
      </c>
      <c r="O25" s="202">
        <v>2209.6709999999998</v>
      </c>
      <c r="P25" s="34">
        <v>2200.7910000000002</v>
      </c>
      <c r="Q25" s="202">
        <v>2217.6579999999999</v>
      </c>
      <c r="R25" s="34">
        <v>2219.0630000000001</v>
      </c>
      <c r="S25" s="202">
        <v>2181.11</v>
      </c>
    </row>
    <row r="26" spans="1:19" ht="17.100000000000001" customHeight="1" x14ac:dyDescent="0.2">
      <c r="A26" s="454"/>
      <c r="B26" s="16" t="s">
        <v>154</v>
      </c>
      <c r="C26" s="34">
        <v>93.8</v>
      </c>
      <c r="D26" s="34">
        <v>80.8</v>
      </c>
      <c r="E26" s="34">
        <v>41.1</v>
      </c>
      <c r="F26" s="34">
        <v>37.6</v>
      </c>
      <c r="G26" s="34">
        <v>39.799999999999997</v>
      </c>
      <c r="H26" s="34">
        <v>38.9</v>
      </c>
      <c r="I26" s="34">
        <v>42.7</v>
      </c>
      <c r="J26" s="34">
        <v>38.799999999999997</v>
      </c>
      <c r="K26" s="34">
        <v>37.9</v>
      </c>
      <c r="L26" s="34">
        <v>39.667999999999999</v>
      </c>
      <c r="M26" s="171">
        <v>48.113</v>
      </c>
      <c r="N26" s="34">
        <v>60.279000000000003</v>
      </c>
      <c r="O26" s="171">
        <v>59.588000000000001</v>
      </c>
      <c r="P26" s="34">
        <v>94.305999999999997</v>
      </c>
      <c r="Q26" s="171">
        <v>101.223</v>
      </c>
      <c r="R26" s="34">
        <v>103.176</v>
      </c>
      <c r="S26" s="171">
        <v>117.06699999999999</v>
      </c>
    </row>
    <row r="27" spans="1:19" s="19" customFormat="1" ht="15" customHeight="1" x14ac:dyDescent="0.2">
      <c r="A27" s="455"/>
      <c r="B27" s="18" t="s">
        <v>3</v>
      </c>
      <c r="C27" s="36">
        <v>5358.8</v>
      </c>
      <c r="D27" s="36">
        <v>5381.5</v>
      </c>
      <c r="E27" s="36">
        <v>5432.1</v>
      </c>
      <c r="F27" s="36">
        <v>5448.3</v>
      </c>
      <c r="G27" s="36">
        <v>5450.6</v>
      </c>
      <c r="H27" s="36">
        <v>5482.8</v>
      </c>
      <c r="I27" s="36">
        <v>5525.9</v>
      </c>
      <c r="J27" s="36">
        <v>5567.2</v>
      </c>
      <c r="K27" s="36">
        <v>5610.1</v>
      </c>
      <c r="L27" s="36">
        <v>5660.152</v>
      </c>
      <c r="M27" s="173">
        <v>5674.3919999999998</v>
      </c>
      <c r="N27" s="36">
        <v>5669.6459999999997</v>
      </c>
      <c r="O27" s="173">
        <v>5696.902</v>
      </c>
      <c r="P27" s="36">
        <v>5740.7629999999999</v>
      </c>
      <c r="Q27" s="173">
        <v>5803.8620000000001</v>
      </c>
      <c r="R27" s="36">
        <v>5811.2550000000001</v>
      </c>
      <c r="S27" s="173">
        <v>5848.2910000000002</v>
      </c>
    </row>
    <row r="28" spans="1:19" s="156" customFormat="1" ht="12" customHeight="1" x14ac:dyDescent="0.2">
      <c r="A28" s="154" t="s">
        <v>12</v>
      </c>
      <c r="B28" s="154"/>
      <c r="C28" s="154"/>
      <c r="D28" s="154"/>
      <c r="E28" s="154"/>
      <c r="F28" s="154"/>
      <c r="G28" s="155"/>
      <c r="H28" s="155"/>
      <c r="I28" s="155"/>
      <c r="J28" s="155"/>
    </row>
    <row r="29" spans="1:19" s="156" customFormat="1" x14ac:dyDescent="0.2">
      <c r="A29" s="154" t="s">
        <v>13</v>
      </c>
      <c r="B29" s="157"/>
      <c r="C29" s="157"/>
      <c r="D29" s="157"/>
      <c r="E29" s="157"/>
      <c r="F29" s="157"/>
      <c r="G29" s="155"/>
      <c r="H29" s="155"/>
      <c r="I29" s="155"/>
      <c r="J29" s="155"/>
    </row>
    <row r="30" spans="1:19" s="156" customFormat="1" ht="33.75" customHeight="1" x14ac:dyDescent="0.2">
      <c r="A30" s="446" t="s">
        <v>212</v>
      </c>
      <c r="B30" s="447"/>
      <c r="C30" s="447"/>
      <c r="D30" s="447"/>
      <c r="E30" s="447"/>
      <c r="F30" s="447"/>
      <c r="G30" s="447"/>
      <c r="H30" s="447"/>
      <c r="I30" s="447"/>
      <c r="J30" s="447"/>
      <c r="K30" s="447"/>
    </row>
    <row r="31" spans="1:19" s="156" customFormat="1" ht="46.5" customHeight="1" x14ac:dyDescent="0.2">
      <c r="A31" s="446" t="s">
        <v>286</v>
      </c>
      <c r="B31" s="447"/>
      <c r="C31" s="447"/>
      <c r="D31" s="447"/>
      <c r="E31" s="447"/>
      <c r="F31" s="447"/>
      <c r="G31" s="447"/>
      <c r="H31" s="447"/>
      <c r="I31" s="447"/>
      <c r="J31" s="447"/>
      <c r="K31" s="447"/>
    </row>
    <row r="32" spans="1:19" s="156" customFormat="1" x14ac:dyDescent="0.2">
      <c r="A32" s="446" t="s">
        <v>249</v>
      </c>
      <c r="B32" s="447"/>
      <c r="C32" s="447"/>
      <c r="D32" s="447"/>
      <c r="E32" s="447"/>
      <c r="F32" s="447"/>
      <c r="G32" s="447"/>
      <c r="H32" s="447"/>
      <c r="I32" s="447"/>
      <c r="J32" s="447"/>
      <c r="K32" s="447"/>
    </row>
    <row r="33" spans="1:11" s="156" customFormat="1" ht="24" customHeight="1" x14ac:dyDescent="0.2">
      <c r="A33" s="446" t="s">
        <v>287</v>
      </c>
      <c r="B33" s="447"/>
      <c r="C33" s="447"/>
      <c r="D33" s="447"/>
      <c r="E33" s="447"/>
      <c r="F33" s="447"/>
      <c r="G33" s="447"/>
      <c r="H33" s="447"/>
      <c r="I33" s="447"/>
      <c r="J33" s="447"/>
      <c r="K33" s="447"/>
    </row>
    <row r="34" spans="1:11" s="156" customFormat="1" x14ac:dyDescent="0.2">
      <c r="A34" s="446" t="s">
        <v>288</v>
      </c>
      <c r="B34" s="446"/>
      <c r="C34" s="446"/>
      <c r="D34" s="446"/>
      <c r="E34" s="446"/>
      <c r="F34" s="446"/>
      <c r="G34" s="446"/>
      <c r="H34" s="446"/>
      <c r="I34" s="446"/>
      <c r="J34" s="446"/>
      <c r="K34" s="446"/>
    </row>
    <row r="35" spans="1:11" s="156" customFormat="1" ht="24" customHeight="1" x14ac:dyDescent="0.2">
      <c r="A35" s="447" t="s">
        <v>277</v>
      </c>
      <c r="B35" s="448"/>
      <c r="C35" s="448"/>
      <c r="D35" s="448"/>
      <c r="E35" s="448"/>
      <c r="F35" s="448"/>
      <c r="G35" s="448"/>
      <c r="H35" s="448"/>
      <c r="I35" s="448"/>
      <c r="J35" s="448"/>
      <c r="K35" s="448"/>
    </row>
    <row r="36" spans="1:11" s="156" customFormat="1" x14ac:dyDescent="0.2">
      <c r="A36" s="155" t="s">
        <v>278</v>
      </c>
      <c r="B36" s="155"/>
      <c r="C36" s="155"/>
      <c r="D36" s="155"/>
      <c r="E36" s="155"/>
      <c r="F36" s="155"/>
      <c r="G36" s="155"/>
      <c r="H36" s="155"/>
      <c r="I36" s="155"/>
      <c r="J36" s="155"/>
    </row>
  </sheetData>
  <mergeCells count="11">
    <mergeCell ref="A3:B3"/>
    <mergeCell ref="A4:A9"/>
    <mergeCell ref="A10:A15"/>
    <mergeCell ref="A16:A21"/>
    <mergeCell ref="A22:A27"/>
    <mergeCell ref="A32:K32"/>
    <mergeCell ref="A33:K33"/>
    <mergeCell ref="A35:K35"/>
    <mergeCell ref="A31:K31"/>
    <mergeCell ref="A30:K30"/>
    <mergeCell ref="A34:K34"/>
  </mergeCells>
  <pageMargins left="0.78740157499999996" right="0.78740157499999996" top="0.984251969" bottom="0.984251969" header="0.5" footer="0.5"/>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33"/>
  <sheetViews>
    <sheetView showGridLines="0" zoomScaleNormal="100" workbookViewId="0">
      <pane xSplit="2" ySplit="2" topLeftCell="C3" activePane="bottomRight" state="frozen"/>
      <selection pane="topRight" activeCell="B1" sqref="B1"/>
      <selection pane="bottomLeft" activeCell="A3" sqref="A3"/>
      <selection pane="bottomRight"/>
    </sheetView>
  </sheetViews>
  <sheetFormatPr baseColWidth="10" defaultColWidth="11.42578125" defaultRowHeight="12.75" x14ac:dyDescent="0.2"/>
  <cols>
    <col min="1" max="1" width="11.42578125" style="5"/>
    <col min="2" max="2" width="35.85546875" style="5" customWidth="1"/>
    <col min="3" max="7" width="14.42578125" style="5" customWidth="1"/>
    <col min="8" max="16384" width="11.42578125" style="5"/>
  </cols>
  <sheetData>
    <row r="1" spans="1:8" x14ac:dyDescent="0.2">
      <c r="A1" s="13" t="s">
        <v>267</v>
      </c>
      <c r="C1" s="13"/>
      <c r="D1" s="13"/>
      <c r="E1" s="13"/>
      <c r="F1" s="13"/>
      <c r="G1" s="13"/>
      <c r="H1" s="4"/>
    </row>
    <row r="2" spans="1:8" s="1" customFormat="1" ht="38.25" x14ac:dyDescent="0.2">
      <c r="A2" s="461"/>
      <c r="B2" s="462"/>
      <c r="C2" s="27" t="s">
        <v>0</v>
      </c>
      <c r="D2" s="28" t="s">
        <v>1</v>
      </c>
      <c r="E2" s="28" t="s">
        <v>2</v>
      </c>
      <c r="F2" s="28" t="s">
        <v>219</v>
      </c>
      <c r="G2" s="27" t="s">
        <v>209</v>
      </c>
      <c r="H2" s="7"/>
    </row>
    <row r="3" spans="1:8" x14ac:dyDescent="0.2">
      <c r="A3" s="459" t="s">
        <v>18</v>
      </c>
      <c r="B3" s="29" t="s">
        <v>10</v>
      </c>
      <c r="C3" s="8">
        <v>69</v>
      </c>
      <c r="D3" s="8">
        <v>21</v>
      </c>
      <c r="E3" s="8">
        <v>10</v>
      </c>
      <c r="F3" s="8">
        <v>0</v>
      </c>
      <c r="G3" s="411">
        <v>1501.7360000000001</v>
      </c>
    </row>
    <row r="4" spans="1:8" x14ac:dyDescent="0.2">
      <c r="A4" s="459"/>
      <c r="B4" s="29" t="s">
        <v>11</v>
      </c>
      <c r="C4" s="8">
        <v>33</v>
      </c>
      <c r="D4" s="8">
        <v>24</v>
      </c>
      <c r="E4" s="8">
        <v>32</v>
      </c>
      <c r="F4" s="8">
        <v>11</v>
      </c>
      <c r="G4" s="411">
        <v>598.02300000000002</v>
      </c>
    </row>
    <row r="5" spans="1:8" ht="14.25" x14ac:dyDescent="0.2">
      <c r="A5" s="459"/>
      <c r="B5" s="29" t="s">
        <v>14</v>
      </c>
      <c r="C5" s="8">
        <v>84</v>
      </c>
      <c r="D5" s="8">
        <v>2</v>
      </c>
      <c r="E5" s="8">
        <v>14</v>
      </c>
      <c r="F5" s="8">
        <v>0</v>
      </c>
      <c r="G5" s="411">
        <v>169.25700000000001</v>
      </c>
    </row>
    <row r="6" spans="1:8" s="1" customFormat="1" x14ac:dyDescent="0.2">
      <c r="A6" s="459"/>
      <c r="B6" s="30" t="s">
        <v>4</v>
      </c>
      <c r="C6" s="9">
        <v>60</v>
      </c>
      <c r="D6" s="9">
        <v>20</v>
      </c>
      <c r="E6" s="9">
        <v>16</v>
      </c>
      <c r="F6" s="9">
        <v>3</v>
      </c>
      <c r="G6" s="412">
        <v>2269.0160000000001</v>
      </c>
    </row>
    <row r="7" spans="1:8" s="2" customFormat="1" x14ac:dyDescent="0.2">
      <c r="A7" s="459"/>
      <c r="B7" s="31" t="s">
        <v>5</v>
      </c>
      <c r="C7" s="10">
        <v>100</v>
      </c>
      <c r="D7" s="10">
        <v>0</v>
      </c>
      <c r="E7" s="10">
        <v>0</v>
      </c>
      <c r="F7" s="10">
        <v>0</v>
      </c>
      <c r="G7" s="413">
        <v>972.899</v>
      </c>
    </row>
    <row r="8" spans="1:8" s="2" customFormat="1" x14ac:dyDescent="0.2">
      <c r="A8" s="459"/>
      <c r="B8" s="31" t="s">
        <v>6</v>
      </c>
      <c r="C8" s="10">
        <v>31</v>
      </c>
      <c r="D8" s="10">
        <v>36</v>
      </c>
      <c r="E8" s="10">
        <v>28</v>
      </c>
      <c r="F8" s="10">
        <v>5</v>
      </c>
      <c r="G8" s="413">
        <v>1296.117</v>
      </c>
    </row>
    <row r="9" spans="1:8" x14ac:dyDescent="0.2">
      <c r="A9" s="459"/>
      <c r="B9" s="32" t="s">
        <v>25</v>
      </c>
      <c r="C9" s="8">
        <v>12</v>
      </c>
      <c r="D9" s="8">
        <v>56</v>
      </c>
      <c r="E9" s="8">
        <v>31</v>
      </c>
      <c r="F9" s="8">
        <v>0</v>
      </c>
      <c r="G9" s="411">
        <v>312.85399999999998</v>
      </c>
    </row>
    <row r="10" spans="1:8" s="1" customFormat="1" x14ac:dyDescent="0.2">
      <c r="A10" s="460"/>
      <c r="B10" s="11" t="s">
        <v>3</v>
      </c>
      <c r="C10" s="12">
        <v>55</v>
      </c>
      <c r="D10" s="12">
        <v>25</v>
      </c>
      <c r="E10" s="12">
        <v>18</v>
      </c>
      <c r="F10" s="12">
        <v>3</v>
      </c>
      <c r="G10" s="414">
        <v>2581.87</v>
      </c>
    </row>
    <row r="11" spans="1:8" ht="14.25" x14ac:dyDescent="0.2">
      <c r="A11" s="458" t="s">
        <v>20</v>
      </c>
      <c r="B11" s="33" t="s">
        <v>15</v>
      </c>
      <c r="C11" s="8">
        <v>13</v>
      </c>
      <c r="D11" s="8">
        <v>15</v>
      </c>
      <c r="E11" s="8">
        <v>73</v>
      </c>
      <c r="F11" s="8">
        <v>0</v>
      </c>
      <c r="G11" s="411">
        <v>1417.086</v>
      </c>
    </row>
    <row r="12" spans="1:8" ht="14.25" x14ac:dyDescent="0.2">
      <c r="A12" s="459"/>
      <c r="B12" s="29" t="s">
        <v>16</v>
      </c>
      <c r="C12" s="8">
        <v>16</v>
      </c>
      <c r="D12" s="8">
        <v>18</v>
      </c>
      <c r="E12" s="8">
        <v>60</v>
      </c>
      <c r="F12" s="8">
        <v>6</v>
      </c>
      <c r="G12" s="411">
        <v>538.923</v>
      </c>
    </row>
    <row r="13" spans="1:8" ht="14.25" x14ac:dyDescent="0.2">
      <c r="A13" s="459"/>
      <c r="B13" s="29" t="s">
        <v>14</v>
      </c>
      <c r="C13" s="8">
        <v>4</v>
      </c>
      <c r="D13" s="8">
        <v>0</v>
      </c>
      <c r="E13" s="8">
        <v>85</v>
      </c>
      <c r="F13" s="8">
        <v>10</v>
      </c>
      <c r="G13" s="411">
        <v>61.820999999999998</v>
      </c>
    </row>
    <row r="14" spans="1:8" s="1" customFormat="1" x14ac:dyDescent="0.2">
      <c r="A14" s="459"/>
      <c r="B14" s="11" t="s">
        <v>3</v>
      </c>
      <c r="C14" s="12">
        <v>13</v>
      </c>
      <c r="D14" s="12">
        <v>15</v>
      </c>
      <c r="E14" s="12">
        <v>70</v>
      </c>
      <c r="F14" s="12">
        <v>2</v>
      </c>
      <c r="G14" s="414">
        <v>2017.83</v>
      </c>
      <c r="H14" s="5"/>
    </row>
    <row r="15" spans="1:8" x14ac:dyDescent="0.2">
      <c r="A15" s="458" t="s">
        <v>21</v>
      </c>
      <c r="B15" s="29" t="s">
        <v>10</v>
      </c>
      <c r="C15" s="8">
        <v>43</v>
      </c>
      <c r="D15" s="8">
        <v>34</v>
      </c>
      <c r="E15" s="8">
        <v>23</v>
      </c>
      <c r="F15" s="8">
        <v>0</v>
      </c>
      <c r="G15" s="411">
        <v>827.01400000000001</v>
      </c>
    </row>
    <row r="16" spans="1:8" x14ac:dyDescent="0.2">
      <c r="A16" s="459"/>
      <c r="B16" s="29" t="s">
        <v>11</v>
      </c>
      <c r="C16" s="8">
        <v>31</v>
      </c>
      <c r="D16" s="8">
        <v>26</v>
      </c>
      <c r="E16" s="8">
        <v>43</v>
      </c>
      <c r="F16" s="8">
        <v>0</v>
      </c>
      <c r="G16" s="411">
        <v>270.78100000000001</v>
      </c>
    </row>
    <row r="17" spans="1:8" ht="14.25" x14ac:dyDescent="0.2">
      <c r="A17" s="459"/>
      <c r="B17" s="29" t="s">
        <v>14</v>
      </c>
      <c r="C17" s="8">
        <v>91</v>
      </c>
      <c r="D17" s="8">
        <v>0</v>
      </c>
      <c r="E17" s="8">
        <v>3</v>
      </c>
      <c r="F17" s="8">
        <v>6</v>
      </c>
      <c r="G17" s="411">
        <v>150.79599999999999</v>
      </c>
    </row>
    <row r="18" spans="1:8" s="1" customFormat="1" x14ac:dyDescent="0.2">
      <c r="A18" s="460"/>
      <c r="B18" s="11" t="s">
        <v>3</v>
      </c>
      <c r="C18" s="12">
        <v>46</v>
      </c>
      <c r="D18" s="12">
        <v>28</v>
      </c>
      <c r="E18" s="12">
        <v>25</v>
      </c>
      <c r="F18" s="12">
        <v>1</v>
      </c>
      <c r="G18" s="414">
        <v>1248.5909999999999</v>
      </c>
      <c r="H18" s="5"/>
    </row>
    <row r="19" spans="1:8" ht="14.25" x14ac:dyDescent="0.2">
      <c r="A19" s="463" t="s">
        <v>158</v>
      </c>
      <c r="B19" s="33" t="s">
        <v>15</v>
      </c>
      <c r="C19" s="8">
        <v>42</v>
      </c>
      <c r="D19" s="8">
        <v>21</v>
      </c>
      <c r="E19" s="8">
        <v>37</v>
      </c>
      <c r="F19" s="8">
        <v>0</v>
      </c>
      <c r="G19" s="411">
        <v>3745.8359999999998</v>
      </c>
    </row>
    <row r="20" spans="1:8" ht="14.25" x14ac:dyDescent="0.2">
      <c r="A20" s="459"/>
      <c r="B20" s="29" t="s">
        <v>16</v>
      </c>
      <c r="C20" s="8">
        <v>26</v>
      </c>
      <c r="D20" s="8">
        <v>22</v>
      </c>
      <c r="E20" s="8">
        <v>45</v>
      </c>
      <c r="F20" s="8">
        <v>7</v>
      </c>
      <c r="G20" s="411">
        <v>1407.7270000000001</v>
      </c>
    </row>
    <row r="21" spans="1:8" ht="14.25" x14ac:dyDescent="0.2">
      <c r="A21" s="459"/>
      <c r="B21" s="29" t="s">
        <v>14</v>
      </c>
      <c r="C21" s="8">
        <v>74</v>
      </c>
      <c r="D21" s="8">
        <v>1</v>
      </c>
      <c r="E21" s="8">
        <v>21</v>
      </c>
      <c r="F21" s="8">
        <v>4</v>
      </c>
      <c r="G21" s="411">
        <v>381.87400000000002</v>
      </c>
    </row>
    <row r="22" spans="1:8" s="1" customFormat="1" x14ac:dyDescent="0.2">
      <c r="A22" s="459"/>
      <c r="B22" s="30" t="s">
        <v>4</v>
      </c>
      <c r="C22" s="9">
        <v>40</v>
      </c>
      <c r="D22" s="9">
        <v>20</v>
      </c>
      <c r="E22" s="9">
        <v>38</v>
      </c>
      <c r="F22" s="9">
        <v>2</v>
      </c>
      <c r="G22" s="412">
        <v>5535.4369999999999</v>
      </c>
      <c r="H22" s="5"/>
    </row>
    <row r="23" spans="1:8" s="2" customFormat="1" x14ac:dyDescent="0.2">
      <c r="A23" s="459"/>
      <c r="B23" s="31" t="s">
        <v>5</v>
      </c>
      <c r="C23" s="10">
        <v>100</v>
      </c>
      <c r="D23" s="10">
        <v>0</v>
      </c>
      <c r="E23" s="10">
        <v>0</v>
      </c>
      <c r="F23" s="10">
        <v>0</v>
      </c>
      <c r="G23" s="413">
        <v>972.899</v>
      </c>
      <c r="H23" s="5"/>
    </row>
    <row r="24" spans="1:8" s="2" customFormat="1" x14ac:dyDescent="0.2">
      <c r="A24" s="459"/>
      <c r="B24" s="31" t="s">
        <v>6</v>
      </c>
      <c r="C24" s="10">
        <v>27</v>
      </c>
      <c r="D24" s="10">
        <v>25</v>
      </c>
      <c r="E24" s="10">
        <v>46</v>
      </c>
      <c r="F24" s="10">
        <v>3</v>
      </c>
      <c r="G24" s="413">
        <v>4562.5379999999996</v>
      </c>
      <c r="H24" s="5"/>
    </row>
    <row r="25" spans="1:8" s="2" customFormat="1" x14ac:dyDescent="0.2">
      <c r="A25" s="459"/>
      <c r="B25" s="29" t="s">
        <v>25</v>
      </c>
      <c r="C25" s="8">
        <v>12</v>
      </c>
      <c r="D25" s="8">
        <v>56</v>
      </c>
      <c r="E25" s="8">
        <v>31</v>
      </c>
      <c r="F25" s="8">
        <v>0</v>
      </c>
      <c r="G25" s="411">
        <v>312.85399999999998</v>
      </c>
      <c r="H25" s="5"/>
    </row>
    <row r="26" spans="1:8" s="3" customFormat="1" x14ac:dyDescent="0.2">
      <c r="A26" s="460"/>
      <c r="B26" s="11" t="s">
        <v>3</v>
      </c>
      <c r="C26" s="12">
        <v>39</v>
      </c>
      <c r="D26" s="12">
        <v>22</v>
      </c>
      <c r="E26" s="12">
        <v>37</v>
      </c>
      <c r="F26" s="12">
        <v>2</v>
      </c>
      <c r="G26" s="414">
        <v>5848.2910000000002</v>
      </c>
      <c r="H26" s="5"/>
    </row>
    <row r="27" spans="1:8" s="150" customFormat="1" x14ac:dyDescent="0.2">
      <c r="A27" s="148" t="s">
        <v>12</v>
      </c>
      <c r="B27" s="148"/>
      <c r="C27" s="148"/>
      <c r="D27" s="148"/>
      <c r="E27" s="148"/>
      <c r="F27" s="148"/>
      <c r="H27" s="149"/>
    </row>
    <row r="28" spans="1:8" s="150" customFormat="1" x14ac:dyDescent="0.2">
      <c r="A28" s="197" t="s">
        <v>218</v>
      </c>
      <c r="B28" s="168"/>
      <c r="C28" s="168"/>
      <c r="D28" s="168"/>
      <c r="E28" s="168"/>
      <c r="F28" s="168"/>
      <c r="H28" s="151"/>
    </row>
    <row r="29" spans="1:8" s="150" customFormat="1" ht="24" customHeight="1" x14ac:dyDescent="0.2">
      <c r="A29" s="464" t="s">
        <v>237</v>
      </c>
      <c r="B29" s="464"/>
      <c r="C29" s="464"/>
      <c r="D29" s="464"/>
      <c r="E29" s="464"/>
      <c r="F29" s="464"/>
      <c r="G29" s="464"/>
      <c r="H29" s="152"/>
    </row>
    <row r="30" spans="1:8" s="150" customFormat="1" ht="24" customHeight="1" x14ac:dyDescent="0.2">
      <c r="A30" s="465" t="s">
        <v>238</v>
      </c>
      <c r="B30" s="466"/>
      <c r="C30" s="466"/>
      <c r="D30" s="466"/>
      <c r="E30" s="466"/>
      <c r="F30" s="466"/>
      <c r="G30" s="466"/>
    </row>
    <row r="31" spans="1:8" s="150" customFormat="1" x14ac:dyDescent="0.2">
      <c r="A31" s="456" t="s">
        <v>239</v>
      </c>
      <c r="B31" s="457"/>
      <c r="C31" s="457"/>
      <c r="D31" s="457"/>
      <c r="E31" s="457"/>
      <c r="F31" s="457"/>
      <c r="G31" s="457"/>
      <c r="H31" s="153"/>
    </row>
    <row r="32" spans="1:8" s="150" customFormat="1" x14ac:dyDescent="0.2">
      <c r="A32" s="415" t="s">
        <v>266</v>
      </c>
      <c r="B32" s="168"/>
      <c r="C32" s="168"/>
      <c r="D32" s="168"/>
      <c r="E32" s="168"/>
      <c r="F32" s="168"/>
      <c r="H32" s="152"/>
    </row>
    <row r="33" spans="8:8" x14ac:dyDescent="0.2">
      <c r="H33" s="6"/>
    </row>
  </sheetData>
  <mergeCells count="8">
    <mergeCell ref="A31:G31"/>
    <mergeCell ref="A11:A14"/>
    <mergeCell ref="A15:A18"/>
    <mergeCell ref="A2:B2"/>
    <mergeCell ref="A3:A10"/>
    <mergeCell ref="A19:A26"/>
    <mergeCell ref="A29:G29"/>
    <mergeCell ref="A30:G30"/>
  </mergeCells>
  <phoneticPr fontId="10" type="noConversion"/>
  <pageMargins left="0.79" right="0.79" top="0.98" bottom="0.98" header="0.49" footer="0.49"/>
  <pageSetup paperSize="9" scale="67"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1"/>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42578125" defaultRowHeight="12.75" x14ac:dyDescent="0.2"/>
  <cols>
    <col min="1" max="1" width="74.5703125" style="95" customWidth="1"/>
    <col min="2" max="17" width="10.7109375" style="95" customWidth="1"/>
    <col min="18" max="16384" width="11.42578125" style="95"/>
  </cols>
  <sheetData>
    <row r="1" spans="1:18" x14ac:dyDescent="0.2">
      <c r="A1" s="101" t="s">
        <v>188</v>
      </c>
      <c r="B1" s="101"/>
      <c r="C1" s="101"/>
      <c r="D1" s="101"/>
      <c r="E1" s="101"/>
      <c r="F1" s="96"/>
      <c r="G1" s="103"/>
      <c r="H1" s="103"/>
      <c r="I1" s="103"/>
      <c r="J1" s="103"/>
      <c r="K1" s="103"/>
    </row>
    <row r="2" spans="1:18" x14ac:dyDescent="0.2">
      <c r="A2" s="113" t="s">
        <v>26</v>
      </c>
      <c r="B2" s="114"/>
      <c r="C2" s="115"/>
      <c r="D2" s="114"/>
      <c r="E2" s="114"/>
      <c r="F2" s="96"/>
      <c r="G2" s="103"/>
      <c r="H2" s="103"/>
      <c r="I2" s="103"/>
      <c r="J2" s="103"/>
      <c r="K2" s="103"/>
    </row>
    <row r="3" spans="1:18" ht="39.75" x14ac:dyDescent="0.2">
      <c r="A3" s="116"/>
      <c r="B3" s="272">
        <v>2012</v>
      </c>
      <c r="C3" s="272">
        <v>2013</v>
      </c>
      <c r="D3" s="272">
        <v>2014</v>
      </c>
      <c r="E3" s="272">
        <v>2015</v>
      </c>
      <c r="F3" s="272" t="s">
        <v>189</v>
      </c>
      <c r="G3" s="272" t="s">
        <v>190</v>
      </c>
      <c r="H3" s="272" t="s">
        <v>191</v>
      </c>
      <c r="I3" s="272">
        <v>2019</v>
      </c>
      <c r="J3" s="273">
        <v>2020</v>
      </c>
      <c r="K3" s="274" t="s">
        <v>230</v>
      </c>
      <c r="L3" s="274" t="s">
        <v>254</v>
      </c>
      <c r="M3" s="274" t="s">
        <v>232</v>
      </c>
      <c r="N3" s="274" t="s">
        <v>256</v>
      </c>
      <c r="O3" s="274" t="s">
        <v>261</v>
      </c>
      <c r="P3" s="274" t="s">
        <v>290</v>
      </c>
      <c r="Q3" s="273" t="s">
        <v>291</v>
      </c>
    </row>
    <row r="4" spans="1:18" x14ac:dyDescent="0.2">
      <c r="A4" s="104" t="s">
        <v>174</v>
      </c>
      <c r="B4" s="105">
        <v>103.2</v>
      </c>
      <c r="C4" s="105">
        <v>103.1</v>
      </c>
      <c r="D4" s="105">
        <v>103.7</v>
      </c>
      <c r="E4" s="105">
        <v>104</v>
      </c>
      <c r="F4" s="105">
        <v>107.5</v>
      </c>
      <c r="G4" s="174">
        <v>91.5</v>
      </c>
      <c r="H4" s="174">
        <v>91.2</v>
      </c>
      <c r="I4" s="416">
        <v>91.7</v>
      </c>
      <c r="J4" s="175">
        <v>91.8</v>
      </c>
      <c r="K4" s="175">
        <v>92.233999999999995</v>
      </c>
      <c r="L4" s="175">
        <v>86.4</v>
      </c>
      <c r="M4" s="175">
        <v>86.013000000000005</v>
      </c>
      <c r="N4" s="175">
        <v>85.793999999999997</v>
      </c>
      <c r="O4" s="175">
        <v>88.26</v>
      </c>
      <c r="P4" s="175">
        <v>90.846999999999994</v>
      </c>
      <c r="Q4" s="175">
        <v>91.777000000000001</v>
      </c>
      <c r="R4" s="390"/>
    </row>
    <row r="5" spans="1:18" x14ac:dyDescent="0.2">
      <c r="A5" s="106" t="s">
        <v>175</v>
      </c>
      <c r="B5" s="107">
        <v>10.1</v>
      </c>
      <c r="C5" s="107">
        <v>10.5</v>
      </c>
      <c r="D5" s="107">
        <v>10.6</v>
      </c>
      <c r="E5" s="107">
        <v>10.6</v>
      </c>
      <c r="F5" s="107">
        <v>10.8</v>
      </c>
      <c r="G5" s="176">
        <v>11.6</v>
      </c>
      <c r="H5" s="176">
        <v>11.6</v>
      </c>
      <c r="I5" s="176">
        <v>11.6</v>
      </c>
      <c r="J5" s="177">
        <v>11.6</v>
      </c>
      <c r="K5" s="178">
        <v>11.872</v>
      </c>
      <c r="L5" s="177">
        <v>12.047000000000001</v>
      </c>
      <c r="M5" s="178">
        <v>11.571999999999999</v>
      </c>
      <c r="N5" s="177">
        <v>12.007999999999999</v>
      </c>
      <c r="O5" s="178">
        <v>12.587999999999999</v>
      </c>
      <c r="P5" s="177">
        <v>12.941000000000001</v>
      </c>
      <c r="Q5" s="178">
        <v>13.073</v>
      </c>
    </row>
    <row r="6" spans="1:18" x14ac:dyDescent="0.2">
      <c r="A6" s="108" t="s">
        <v>228</v>
      </c>
      <c r="B6" s="109">
        <v>0.5</v>
      </c>
      <c r="C6" s="109">
        <v>0.4</v>
      </c>
      <c r="D6" s="109">
        <v>0.4</v>
      </c>
      <c r="E6" s="109">
        <v>0.4</v>
      </c>
      <c r="F6" s="109">
        <v>0.4</v>
      </c>
      <c r="G6" s="179">
        <v>0.5</v>
      </c>
      <c r="H6" s="179">
        <v>0.5</v>
      </c>
      <c r="I6" s="179">
        <v>0.5</v>
      </c>
      <c r="J6" s="180">
        <v>0.5</v>
      </c>
      <c r="K6" s="181">
        <v>0.499</v>
      </c>
      <c r="L6" s="180">
        <v>0.55400000000000005</v>
      </c>
      <c r="M6" s="181">
        <v>0.48899999999999999</v>
      </c>
      <c r="N6" s="180">
        <v>0.436</v>
      </c>
      <c r="O6" s="181">
        <v>0.41</v>
      </c>
      <c r="P6" s="180">
        <v>0.46600000000000003</v>
      </c>
      <c r="Q6" s="181">
        <v>0.44</v>
      </c>
    </row>
    <row r="7" spans="1:18" x14ac:dyDescent="0.2">
      <c r="A7" s="108" t="s">
        <v>245</v>
      </c>
      <c r="B7" s="109">
        <v>9.6999999999999993</v>
      </c>
      <c r="C7" s="109">
        <v>10.1</v>
      </c>
      <c r="D7" s="109">
        <v>10.1</v>
      </c>
      <c r="E7" s="109">
        <v>10.199999999999999</v>
      </c>
      <c r="F7" s="109">
        <v>10.3</v>
      </c>
      <c r="G7" s="109">
        <v>11</v>
      </c>
      <c r="H7" s="109">
        <v>11.1</v>
      </c>
      <c r="I7" s="109">
        <v>11.1</v>
      </c>
      <c r="J7" s="109">
        <v>11.100000000000001</v>
      </c>
      <c r="K7" s="109">
        <v>11.372999999999999</v>
      </c>
      <c r="L7" s="109">
        <v>11.493</v>
      </c>
      <c r="M7" s="109">
        <v>11.083</v>
      </c>
      <c r="N7" s="109">
        <v>11.571999999999999</v>
      </c>
      <c r="O7" s="109">
        <v>12.178000000000001</v>
      </c>
      <c r="P7" s="109">
        <v>12.475</v>
      </c>
      <c r="Q7" s="109">
        <v>12.632999999999999</v>
      </c>
    </row>
    <row r="8" spans="1:18" x14ac:dyDescent="0.2">
      <c r="A8" s="106" t="s">
        <v>176</v>
      </c>
      <c r="B8" s="107">
        <v>12.5</v>
      </c>
      <c r="C8" s="107">
        <v>12.4</v>
      </c>
      <c r="D8" s="107">
        <v>12.3</v>
      </c>
      <c r="E8" s="107">
        <v>12.2</v>
      </c>
      <c r="F8" s="107">
        <v>12.5</v>
      </c>
      <c r="G8" s="176">
        <v>12.9</v>
      </c>
      <c r="H8" s="176">
        <v>12.8</v>
      </c>
      <c r="I8" s="176">
        <v>13.1</v>
      </c>
      <c r="J8" s="177">
        <v>13.2</v>
      </c>
      <c r="K8" s="178">
        <v>13.148</v>
      </c>
      <c r="L8" s="177">
        <v>13.201000000000001</v>
      </c>
      <c r="M8" s="178">
        <v>13.391999999999999</v>
      </c>
      <c r="N8" s="177">
        <v>13.4</v>
      </c>
      <c r="O8" s="178">
        <v>13.175000000000001</v>
      </c>
      <c r="P8" s="177">
        <v>13.869</v>
      </c>
      <c r="Q8" s="178">
        <v>14.186999999999999</v>
      </c>
    </row>
    <row r="9" spans="1:18" x14ac:dyDescent="0.2">
      <c r="A9" s="106" t="s">
        <v>177</v>
      </c>
      <c r="B9" s="107">
        <v>80.599999999999994</v>
      </c>
      <c r="C9" s="107">
        <v>80.2</v>
      </c>
      <c r="D9" s="107">
        <v>80.8</v>
      </c>
      <c r="E9" s="107">
        <v>81.3</v>
      </c>
      <c r="F9" s="107">
        <v>84.1</v>
      </c>
      <c r="G9" s="176">
        <v>67</v>
      </c>
      <c r="H9" s="176">
        <v>66.8</v>
      </c>
      <c r="I9" s="176">
        <v>67.099999999999994</v>
      </c>
      <c r="J9" s="177">
        <v>67</v>
      </c>
      <c r="K9" s="177">
        <v>67.213999999999999</v>
      </c>
      <c r="L9" s="177">
        <v>61.145000000000003</v>
      </c>
      <c r="M9" s="177">
        <v>61.048999999999999</v>
      </c>
      <c r="N9" s="177">
        <v>60.386000000000003</v>
      </c>
      <c r="O9" s="177">
        <v>62.497</v>
      </c>
      <c r="P9" s="177">
        <v>64.037000000000006</v>
      </c>
      <c r="Q9" s="177">
        <v>64.516999999999996</v>
      </c>
    </row>
    <row r="10" spans="1:18" x14ac:dyDescent="0.2">
      <c r="A10" s="104" t="s">
        <v>178</v>
      </c>
      <c r="B10" s="105">
        <v>10.9</v>
      </c>
      <c r="C10" s="105">
        <v>12.6</v>
      </c>
      <c r="D10" s="105">
        <v>12.3</v>
      </c>
      <c r="E10" s="105">
        <v>12.5</v>
      </c>
      <c r="F10" s="105">
        <v>11.4</v>
      </c>
      <c r="G10" s="174">
        <v>12.2</v>
      </c>
      <c r="H10" s="174">
        <v>12.2</v>
      </c>
      <c r="I10" s="416">
        <v>12</v>
      </c>
      <c r="J10" s="175">
        <v>11.8</v>
      </c>
      <c r="K10" s="175">
        <v>11.037000000000001</v>
      </c>
      <c r="L10" s="175">
        <v>10.974</v>
      </c>
      <c r="M10" s="175">
        <v>10.39</v>
      </c>
      <c r="N10" s="175">
        <v>11.37</v>
      </c>
      <c r="O10" s="175">
        <v>11.143000000000001</v>
      </c>
      <c r="P10" s="175">
        <v>11.833</v>
      </c>
      <c r="Q10" s="175">
        <v>11.648</v>
      </c>
    </row>
    <row r="11" spans="1:18" x14ac:dyDescent="0.2">
      <c r="A11" s="106" t="s">
        <v>179</v>
      </c>
      <c r="B11" s="107">
        <v>5.9</v>
      </c>
      <c r="C11" s="107">
        <v>6.6</v>
      </c>
      <c r="D11" s="107">
        <v>6.7</v>
      </c>
      <c r="E11" s="107">
        <v>6.8</v>
      </c>
      <c r="F11" s="107">
        <v>6</v>
      </c>
      <c r="G11" s="176">
        <v>6.8</v>
      </c>
      <c r="H11" s="176">
        <v>6.8</v>
      </c>
      <c r="I11" s="176">
        <v>6.7</v>
      </c>
      <c r="J11" s="177">
        <v>6.5</v>
      </c>
      <c r="K11" s="178">
        <v>5.8339999999999996</v>
      </c>
      <c r="L11" s="177">
        <v>6.0060000000000002</v>
      </c>
      <c r="M11" s="178">
        <v>5.6230000000000002</v>
      </c>
      <c r="N11" s="177">
        <v>6.7450000000000001</v>
      </c>
      <c r="O11" s="178">
        <v>6.5030000000000001</v>
      </c>
      <c r="P11" s="177">
        <v>6.9690000000000003</v>
      </c>
      <c r="Q11" s="178">
        <v>6.7830000000000004</v>
      </c>
    </row>
    <row r="12" spans="1:18" ht="14.25" x14ac:dyDescent="0.2">
      <c r="A12" s="110" t="s">
        <v>192</v>
      </c>
      <c r="B12" s="109">
        <v>0.8</v>
      </c>
      <c r="C12" s="109">
        <v>1</v>
      </c>
      <c r="D12" s="109">
        <v>1.1000000000000001</v>
      </c>
      <c r="E12" s="109">
        <v>1</v>
      </c>
      <c r="F12" s="109">
        <v>1.1000000000000001</v>
      </c>
      <c r="G12" s="179">
        <v>1.2</v>
      </c>
      <c r="H12" s="179">
        <v>1.1000000000000001</v>
      </c>
      <c r="I12" s="179">
        <v>1.3</v>
      </c>
      <c r="J12" s="180">
        <v>1.2</v>
      </c>
      <c r="K12" s="181">
        <v>1.2709999999999999</v>
      </c>
      <c r="L12" s="180">
        <v>1.276</v>
      </c>
      <c r="M12" s="181">
        <v>1.2589999999999999</v>
      </c>
      <c r="N12" s="180">
        <v>1.71</v>
      </c>
      <c r="O12" s="181">
        <v>1.59</v>
      </c>
      <c r="P12" s="180">
        <v>1.593</v>
      </c>
      <c r="Q12" s="181">
        <v>1.627</v>
      </c>
    </row>
    <row r="13" spans="1:18" x14ac:dyDescent="0.2">
      <c r="A13" s="108" t="s">
        <v>180</v>
      </c>
      <c r="B13" s="109">
        <v>5.0999999999999996</v>
      </c>
      <c r="C13" s="109">
        <v>5.6</v>
      </c>
      <c r="D13" s="109">
        <v>5.7</v>
      </c>
      <c r="E13" s="109">
        <v>5.8</v>
      </c>
      <c r="F13" s="109">
        <v>4.9000000000000004</v>
      </c>
      <c r="G13" s="179">
        <v>5.6</v>
      </c>
      <c r="H13" s="179">
        <v>5.7</v>
      </c>
      <c r="I13" s="179">
        <v>5.3</v>
      </c>
      <c r="J13" s="180">
        <v>5.3</v>
      </c>
      <c r="K13" s="181">
        <v>4.5629999999999997</v>
      </c>
      <c r="L13" s="180">
        <v>4.7300000000000004</v>
      </c>
      <c r="M13" s="181">
        <v>4.3639999999999999</v>
      </c>
      <c r="N13" s="180">
        <v>5.0350000000000001</v>
      </c>
      <c r="O13" s="181">
        <v>4.9130000000000003</v>
      </c>
      <c r="P13" s="180">
        <v>5.3760000000000003</v>
      </c>
      <c r="Q13" s="181">
        <v>5.1559999999999997</v>
      </c>
    </row>
    <row r="14" spans="1:18" x14ac:dyDescent="0.2">
      <c r="A14" s="106" t="s">
        <v>181</v>
      </c>
      <c r="B14" s="118">
        <v>5</v>
      </c>
      <c r="C14" s="118">
        <v>6</v>
      </c>
      <c r="D14" s="118">
        <v>5.6</v>
      </c>
      <c r="E14" s="118">
        <v>5.7</v>
      </c>
      <c r="F14" s="118">
        <v>5.4</v>
      </c>
      <c r="G14" s="182">
        <v>5.4</v>
      </c>
      <c r="H14" s="182">
        <v>5.4</v>
      </c>
      <c r="I14" s="182">
        <v>5.3</v>
      </c>
      <c r="J14" s="183">
        <v>5.4</v>
      </c>
      <c r="K14" s="184">
        <v>5.2030000000000003</v>
      </c>
      <c r="L14" s="183">
        <v>4.968</v>
      </c>
      <c r="M14" s="184">
        <v>4.7670000000000003</v>
      </c>
      <c r="N14" s="183">
        <v>4.625</v>
      </c>
      <c r="O14" s="184">
        <v>4.6399999999999997</v>
      </c>
      <c r="P14" s="183">
        <v>4.8639999999999999</v>
      </c>
      <c r="Q14" s="184">
        <v>4.8650000000000002</v>
      </c>
    </row>
    <row r="15" spans="1:18" x14ac:dyDescent="0.2">
      <c r="A15" s="104" t="s">
        <v>182</v>
      </c>
      <c r="B15" s="107">
        <v>5.6</v>
      </c>
      <c r="C15" s="107">
        <v>5.6</v>
      </c>
      <c r="D15" s="107">
        <v>5.6</v>
      </c>
      <c r="E15" s="107">
        <v>5.6</v>
      </c>
      <c r="F15" s="107">
        <v>5.8</v>
      </c>
      <c r="G15" s="176">
        <v>5.9</v>
      </c>
      <c r="H15" s="176">
        <v>4.3</v>
      </c>
      <c r="I15" s="417">
        <v>4.2</v>
      </c>
      <c r="J15" s="177">
        <v>4.2</v>
      </c>
      <c r="K15" s="177">
        <v>4.165</v>
      </c>
      <c r="L15" s="177">
        <v>4.1390000000000002</v>
      </c>
      <c r="M15" s="177">
        <v>4.0590000000000002</v>
      </c>
      <c r="N15" s="177">
        <v>4.1740000000000004</v>
      </c>
      <c r="O15" s="177">
        <v>4.194</v>
      </c>
      <c r="P15" s="177">
        <v>4.194</v>
      </c>
      <c r="Q15" s="177">
        <v>5.3609999999999998</v>
      </c>
    </row>
    <row r="16" spans="1:18" x14ac:dyDescent="0.2">
      <c r="A16" s="106" t="s">
        <v>183</v>
      </c>
      <c r="B16" s="107">
        <v>5.6</v>
      </c>
      <c r="C16" s="107">
        <v>5.6</v>
      </c>
      <c r="D16" s="107">
        <v>5.6</v>
      </c>
      <c r="E16" s="107">
        <v>5.6</v>
      </c>
      <c r="F16" s="107">
        <v>5.8</v>
      </c>
      <c r="G16" s="176">
        <v>5.9</v>
      </c>
      <c r="H16" s="176">
        <v>4.3</v>
      </c>
      <c r="I16" s="176">
        <v>4.2</v>
      </c>
      <c r="J16" s="177">
        <v>4.2</v>
      </c>
      <c r="K16" s="178">
        <v>4.165</v>
      </c>
      <c r="L16" s="177">
        <v>4.1390000000000002</v>
      </c>
      <c r="M16" s="178">
        <v>4.0590000000000002</v>
      </c>
      <c r="N16" s="177">
        <v>4.1740000000000004</v>
      </c>
      <c r="O16" s="178">
        <v>4.194</v>
      </c>
      <c r="P16" s="177">
        <v>4.194</v>
      </c>
      <c r="Q16" s="178">
        <v>5.3609999999999998</v>
      </c>
    </row>
    <row r="17" spans="1:18" x14ac:dyDescent="0.2">
      <c r="A17" s="108" t="s">
        <v>215</v>
      </c>
      <c r="B17" s="109">
        <v>4.4000000000000004</v>
      </c>
      <c r="C17" s="109">
        <v>4.3</v>
      </c>
      <c r="D17" s="109">
        <v>4.0999999999999996</v>
      </c>
      <c r="E17" s="109">
        <v>4.0999999999999996</v>
      </c>
      <c r="F17" s="109">
        <v>4.2</v>
      </c>
      <c r="G17" s="179">
        <v>4.2</v>
      </c>
      <c r="H17" s="179">
        <v>4.2</v>
      </c>
      <c r="I17" s="179">
        <v>4.0999999999999996</v>
      </c>
      <c r="J17" s="180">
        <v>4.0999999999999996</v>
      </c>
      <c r="K17" s="181">
        <v>4.0949999999999998</v>
      </c>
      <c r="L17" s="180">
        <v>4.069</v>
      </c>
      <c r="M17" s="181">
        <v>3.988</v>
      </c>
      <c r="N17" s="180">
        <v>4.1040000000000001</v>
      </c>
      <c r="O17" s="181">
        <v>4.1239999999999997</v>
      </c>
      <c r="P17" s="180">
        <v>4.1239999999999997</v>
      </c>
      <c r="Q17" s="181">
        <v>4.2380000000000004</v>
      </c>
    </row>
    <row r="18" spans="1:18" x14ac:dyDescent="0.2">
      <c r="A18" s="108" t="s">
        <v>184</v>
      </c>
      <c r="B18" s="109">
        <v>1.2</v>
      </c>
      <c r="C18" s="109">
        <v>1.3</v>
      </c>
      <c r="D18" s="109">
        <v>1.4</v>
      </c>
      <c r="E18" s="109">
        <v>1.5</v>
      </c>
      <c r="F18" s="109">
        <v>1.5</v>
      </c>
      <c r="G18" s="179">
        <v>1.7</v>
      </c>
      <c r="H18" s="179">
        <v>0.1</v>
      </c>
      <c r="I18" s="179">
        <v>0.1</v>
      </c>
      <c r="J18" s="180">
        <v>0.1</v>
      </c>
      <c r="K18" s="181">
        <v>7.0000000000000007E-2</v>
      </c>
      <c r="L18" s="180">
        <v>7.0000000000000007E-2</v>
      </c>
      <c r="M18" s="181">
        <v>7.0999999999999994E-2</v>
      </c>
      <c r="N18" s="180">
        <v>7.0000000000000007E-2</v>
      </c>
      <c r="O18" s="181">
        <v>7.0000000000000007E-2</v>
      </c>
      <c r="P18" s="180">
        <v>7.0000000000000007E-2</v>
      </c>
      <c r="Q18" s="180">
        <v>1.123</v>
      </c>
    </row>
    <row r="19" spans="1:18" x14ac:dyDescent="0.2">
      <c r="A19" s="111" t="s">
        <v>185</v>
      </c>
      <c r="B19" s="112">
        <v>119.7</v>
      </c>
      <c r="C19" s="112">
        <v>121.3</v>
      </c>
      <c r="D19" s="112">
        <v>121.6</v>
      </c>
      <c r="E19" s="112">
        <v>122.1</v>
      </c>
      <c r="F19" s="112">
        <v>124.6</v>
      </c>
      <c r="G19" s="185">
        <v>109.6</v>
      </c>
      <c r="H19" s="185">
        <v>107.6</v>
      </c>
      <c r="I19" s="185">
        <v>107.9</v>
      </c>
      <c r="J19" s="186">
        <v>107.8</v>
      </c>
      <c r="K19" s="186">
        <v>107.43600000000001</v>
      </c>
      <c r="L19" s="186">
        <f t="shared" ref="L19:O19" si="0">L4+L10+L15</f>
        <v>101.51300000000001</v>
      </c>
      <c r="M19" s="186">
        <f t="shared" si="0"/>
        <v>100.462</v>
      </c>
      <c r="N19" s="186">
        <f t="shared" si="0"/>
        <v>101.33800000000001</v>
      </c>
      <c r="O19" s="186">
        <f t="shared" si="0"/>
        <v>103.59700000000001</v>
      </c>
      <c r="P19" s="186">
        <v>106.874</v>
      </c>
      <c r="Q19" s="186">
        <v>108.786</v>
      </c>
    </row>
    <row r="20" spans="1:18" x14ac:dyDescent="0.2">
      <c r="A20" s="117" t="s">
        <v>186</v>
      </c>
      <c r="B20" s="112">
        <v>21.7</v>
      </c>
      <c r="C20" s="112">
        <v>22.7</v>
      </c>
      <c r="D20" s="112">
        <v>22.9</v>
      </c>
      <c r="E20" s="112">
        <v>23</v>
      </c>
      <c r="F20" s="112">
        <v>22.5</v>
      </c>
      <c r="G20" s="185">
        <v>24.3</v>
      </c>
      <c r="H20" s="185">
        <v>22.7</v>
      </c>
      <c r="I20" s="185">
        <v>22.4</v>
      </c>
      <c r="J20" s="418">
        <v>22.3</v>
      </c>
      <c r="K20" s="418">
        <v>21.870999999999999</v>
      </c>
      <c r="L20" s="418">
        <f>L16+L11+L5</f>
        <v>22.192</v>
      </c>
      <c r="M20" s="418">
        <f>M5+M11+M16</f>
        <v>21.254000000000001</v>
      </c>
      <c r="N20" s="418">
        <f>N16+N11+N5</f>
        <v>22.927</v>
      </c>
      <c r="O20" s="418">
        <f>O5+O11+O16</f>
        <v>23.285</v>
      </c>
      <c r="P20" s="418">
        <f>P16+P11+P5</f>
        <v>24.103999999999999</v>
      </c>
      <c r="Q20" s="418">
        <f>Q5+Q11+Q16</f>
        <v>25.217000000000002</v>
      </c>
    </row>
    <row r="21" spans="1:18" s="146" customFormat="1" x14ac:dyDescent="0.2">
      <c r="A21" s="142" t="s">
        <v>12</v>
      </c>
      <c r="B21" s="142"/>
      <c r="C21" s="142"/>
      <c r="D21" s="143"/>
      <c r="E21" s="143"/>
      <c r="F21" s="144"/>
      <c r="G21" s="145"/>
      <c r="H21" s="145"/>
      <c r="I21" s="145"/>
      <c r="J21" s="400"/>
      <c r="K21" s="400"/>
      <c r="L21" s="400"/>
      <c r="M21" s="400"/>
      <c r="N21" s="400"/>
      <c r="O21" s="400"/>
      <c r="P21" s="400"/>
      <c r="Q21" s="400"/>
    </row>
    <row r="22" spans="1:18" s="146" customFormat="1" x14ac:dyDescent="0.2">
      <c r="A22" s="193" t="s">
        <v>28</v>
      </c>
      <c r="B22" s="147"/>
      <c r="C22" s="147"/>
      <c r="D22" s="147"/>
      <c r="E22" s="147"/>
      <c r="F22" s="147"/>
      <c r="G22" s="145"/>
      <c r="H22" s="145"/>
      <c r="I22" s="145"/>
      <c r="J22" s="419"/>
      <c r="K22" s="399"/>
      <c r="L22" s="399"/>
      <c r="M22" s="399"/>
      <c r="N22" s="399"/>
      <c r="O22" s="399"/>
      <c r="P22" s="399"/>
      <c r="Q22" s="399"/>
    </row>
    <row r="23" spans="1:18" s="146" customFormat="1" ht="23.25" customHeight="1" x14ac:dyDescent="0.2">
      <c r="A23" s="470" t="s">
        <v>227</v>
      </c>
      <c r="B23" s="471"/>
      <c r="C23" s="471"/>
      <c r="D23" s="471"/>
      <c r="E23" s="471"/>
      <c r="F23" s="471"/>
      <c r="G23" s="471"/>
      <c r="H23" s="471"/>
      <c r="I23" s="471"/>
      <c r="J23" s="471"/>
    </row>
    <row r="24" spans="1:18" s="146" customFormat="1" ht="45" customHeight="1" x14ac:dyDescent="0.2">
      <c r="A24" s="470" t="s">
        <v>252</v>
      </c>
      <c r="B24" s="471"/>
      <c r="C24" s="471"/>
      <c r="D24" s="471"/>
      <c r="E24" s="471"/>
      <c r="F24" s="471"/>
      <c r="G24" s="471"/>
      <c r="H24" s="471"/>
      <c r="I24" s="471"/>
      <c r="J24" s="471"/>
      <c r="O24" s="420"/>
    </row>
    <row r="25" spans="1:18" s="146" customFormat="1" ht="12.75" customHeight="1" x14ac:dyDescent="0.2">
      <c r="A25" s="393" t="s">
        <v>253</v>
      </c>
      <c r="B25" s="140"/>
      <c r="C25" s="140"/>
      <c r="D25" s="140"/>
      <c r="E25" s="140"/>
      <c r="F25" s="140"/>
      <c r="G25" s="141"/>
      <c r="H25" s="141"/>
      <c r="I25" s="141"/>
      <c r="J25" s="141"/>
      <c r="K25" s="141"/>
    </row>
    <row r="26" spans="1:18" s="287" customFormat="1" ht="38.25" customHeight="1" x14ac:dyDescent="0.2">
      <c r="A26" s="467" t="s">
        <v>293</v>
      </c>
      <c r="B26" s="468"/>
      <c r="C26" s="468"/>
      <c r="D26" s="468"/>
      <c r="E26" s="468"/>
      <c r="F26" s="468"/>
      <c r="G26" s="468"/>
      <c r="H26" s="468"/>
      <c r="I26" s="468"/>
      <c r="J26" s="468"/>
      <c r="K26" s="468"/>
    </row>
    <row r="27" spans="1:18" s="146" customFormat="1" x14ac:dyDescent="0.2">
      <c r="A27" s="467" t="s">
        <v>255</v>
      </c>
      <c r="B27" s="468"/>
      <c r="C27" s="468"/>
      <c r="D27" s="468"/>
      <c r="E27" s="468"/>
      <c r="F27" s="468"/>
      <c r="G27" s="468"/>
      <c r="H27" s="468"/>
      <c r="I27" s="468"/>
      <c r="J27" s="468"/>
      <c r="K27" s="468"/>
    </row>
    <row r="28" spans="1:18" s="146" customFormat="1" ht="40.5" customHeight="1" x14ac:dyDescent="0.2">
      <c r="A28" s="467" t="s">
        <v>294</v>
      </c>
      <c r="B28" s="468"/>
      <c r="C28" s="468"/>
      <c r="D28" s="468"/>
      <c r="E28" s="468"/>
      <c r="F28" s="468"/>
      <c r="G28" s="468"/>
      <c r="H28" s="468"/>
      <c r="I28" s="468"/>
      <c r="J28" s="468"/>
      <c r="K28" s="468"/>
    </row>
    <row r="29" spans="1:18" s="146" customFormat="1" x14ac:dyDescent="0.2">
      <c r="A29" s="401" t="s">
        <v>292</v>
      </c>
      <c r="B29" s="402"/>
      <c r="C29" s="402"/>
      <c r="D29" s="402"/>
      <c r="E29" s="402"/>
      <c r="F29" s="402"/>
      <c r="G29" s="402"/>
      <c r="H29" s="402"/>
      <c r="I29" s="402"/>
      <c r="J29" s="402"/>
      <c r="K29" s="402"/>
    </row>
    <row r="30" spans="1:18" s="146" customFormat="1" ht="24" customHeight="1" x14ac:dyDescent="0.2">
      <c r="A30" s="468" t="s">
        <v>277</v>
      </c>
      <c r="B30" s="469"/>
      <c r="C30" s="469"/>
      <c r="D30" s="469"/>
      <c r="E30" s="469"/>
      <c r="F30" s="469"/>
      <c r="G30" s="469"/>
      <c r="H30" s="469"/>
      <c r="I30" s="469"/>
      <c r="J30" s="469"/>
      <c r="K30" s="469"/>
    </row>
    <row r="31" spans="1:18" s="146" customFormat="1" x14ac:dyDescent="0.2">
      <c r="A31" s="421" t="s">
        <v>284</v>
      </c>
      <c r="B31" s="141"/>
      <c r="C31" s="141"/>
      <c r="D31" s="141"/>
      <c r="E31" s="141"/>
      <c r="F31" s="141"/>
      <c r="G31" s="141"/>
      <c r="H31" s="141"/>
      <c r="I31" s="141"/>
      <c r="J31" s="95"/>
      <c r="K31" s="95"/>
      <c r="L31" s="95"/>
      <c r="M31" s="95"/>
      <c r="N31" s="95"/>
      <c r="O31" s="95"/>
      <c r="P31" s="95"/>
      <c r="Q31" s="95"/>
      <c r="R31" s="95"/>
    </row>
  </sheetData>
  <mergeCells count="6">
    <mergeCell ref="A28:K28"/>
    <mergeCell ref="A30:K30"/>
    <mergeCell ref="A23:J23"/>
    <mergeCell ref="A24:J24"/>
    <mergeCell ref="A26:K26"/>
    <mergeCell ref="A27:K2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CA6C-5B01-41E6-8A36-FB5ACD9169A4}">
  <dimension ref="A1:Q49"/>
  <sheetViews>
    <sheetView showGridLines="0" zoomScaleNormal="100" workbookViewId="0"/>
  </sheetViews>
  <sheetFormatPr baseColWidth="10" defaultRowHeight="12.75" x14ac:dyDescent="0.2"/>
  <cols>
    <col min="1" max="1" width="15" style="294" customWidth="1"/>
    <col min="2" max="2" width="43" style="294" customWidth="1"/>
    <col min="3" max="17" width="9.7109375" style="294" customWidth="1"/>
    <col min="18" max="16384" width="11.42578125" style="294"/>
  </cols>
  <sheetData>
    <row r="1" spans="1:17" x14ac:dyDescent="0.2">
      <c r="A1" s="293" t="s">
        <v>221</v>
      </c>
    </row>
    <row r="2" spans="1:17" x14ac:dyDescent="0.2">
      <c r="A2" s="294" t="s">
        <v>263</v>
      </c>
    </row>
    <row r="3" spans="1:17" x14ac:dyDescent="0.2">
      <c r="A3" s="295" t="s">
        <v>17</v>
      </c>
      <c r="B3" s="296"/>
      <c r="C3" s="331">
        <v>2010</v>
      </c>
      <c r="D3" s="331">
        <v>2011</v>
      </c>
      <c r="E3" s="342">
        <v>2012</v>
      </c>
      <c r="F3" s="342">
        <v>2013</v>
      </c>
      <c r="G3" s="342">
        <v>2014</v>
      </c>
      <c r="H3" s="342">
        <v>2015</v>
      </c>
      <c r="I3" s="342">
        <v>2016</v>
      </c>
      <c r="J3" s="342">
        <v>2017</v>
      </c>
      <c r="K3" s="342">
        <v>2018</v>
      </c>
      <c r="L3" s="342">
        <v>2019</v>
      </c>
      <c r="M3" s="342">
        <v>2020</v>
      </c>
      <c r="N3" s="343">
        <v>2021</v>
      </c>
      <c r="O3" s="343">
        <v>2022</v>
      </c>
      <c r="P3" s="343">
        <v>2023</v>
      </c>
      <c r="Q3" s="343">
        <v>2024</v>
      </c>
    </row>
    <row r="4" spans="1:17" x14ac:dyDescent="0.2">
      <c r="A4" s="297" t="s">
        <v>18</v>
      </c>
      <c r="B4" s="298" t="s">
        <v>157</v>
      </c>
      <c r="C4" s="300">
        <v>92.238230404025714</v>
      </c>
      <c r="D4" s="299">
        <v>100</v>
      </c>
      <c r="E4" s="299">
        <v>100.05841335668183</v>
      </c>
      <c r="F4" s="300">
        <v>100.8415569308965</v>
      </c>
      <c r="G4" s="326">
        <v>102.26054632925157</v>
      </c>
      <c r="H4" s="300">
        <v>104.26392216609877</v>
      </c>
      <c r="I4" s="326">
        <v>102.71356593312809</v>
      </c>
      <c r="J4" s="300">
        <v>102.07999595405323</v>
      </c>
      <c r="K4" s="326">
        <v>100.62509877799765</v>
      </c>
      <c r="L4" s="300">
        <v>101.4442765657498</v>
      </c>
      <c r="M4" s="326">
        <v>101.9199281844446</v>
      </c>
      <c r="N4" s="300">
        <v>103.54867463633892</v>
      </c>
      <c r="O4" s="326">
        <v>104.60855447598361</v>
      </c>
      <c r="P4" s="300">
        <v>107.20986323317955</v>
      </c>
      <c r="Q4" s="347">
        <v>108.50565980415979</v>
      </c>
    </row>
    <row r="5" spans="1:17" x14ac:dyDescent="0.2">
      <c r="A5" s="302"/>
      <c r="B5" s="303" t="s">
        <v>159</v>
      </c>
      <c r="C5" s="304">
        <v>92.854154138819595</v>
      </c>
      <c r="D5" s="224">
        <v>100</v>
      </c>
      <c r="E5" s="224">
        <v>99.688013736998684</v>
      </c>
      <c r="F5" s="304">
        <v>101.48059145919029</v>
      </c>
      <c r="G5" s="344">
        <v>101.74296173166668</v>
      </c>
      <c r="H5" s="304">
        <v>100.56886905265469</v>
      </c>
      <c r="I5" s="344">
        <v>103.5849267992656</v>
      </c>
      <c r="J5" s="304">
        <v>105.49834346612279</v>
      </c>
      <c r="K5" s="344">
        <v>116.95334953665066</v>
      </c>
      <c r="L5" s="304">
        <v>119.1330234429839</v>
      </c>
      <c r="M5" s="344">
        <v>122.39373146545513</v>
      </c>
      <c r="N5" s="304">
        <v>121.50590247371153</v>
      </c>
      <c r="O5" s="344">
        <v>122.75546896939322</v>
      </c>
      <c r="P5" s="304">
        <v>121.55814046508858</v>
      </c>
      <c r="Q5" s="348">
        <v>123.24349921084402</v>
      </c>
    </row>
    <row r="6" spans="1:17" x14ac:dyDescent="0.2">
      <c r="A6" s="302"/>
      <c r="B6" s="306" t="s">
        <v>155</v>
      </c>
      <c r="C6" s="304">
        <v>104.38824076848408</v>
      </c>
      <c r="D6" s="224">
        <v>100</v>
      </c>
      <c r="E6" s="224">
        <v>97.957143508079611</v>
      </c>
      <c r="F6" s="304">
        <v>96.643888483094486</v>
      </c>
      <c r="G6" s="344">
        <v>95.774414516915215</v>
      </c>
      <c r="H6" s="304">
        <v>95.72940125457211</v>
      </c>
      <c r="I6" s="344">
        <v>97.481604626148297</v>
      </c>
      <c r="J6" s="304">
        <v>98.832278651424772</v>
      </c>
      <c r="K6" s="344">
        <v>89.682849808969806</v>
      </c>
      <c r="L6" s="304">
        <v>89.067438427794457</v>
      </c>
      <c r="M6" s="344">
        <v>88.79763500871961</v>
      </c>
      <c r="N6" s="304">
        <v>87.927884887556615</v>
      </c>
      <c r="O6" s="344">
        <v>87.387792962790144</v>
      </c>
      <c r="P6" s="304">
        <v>88.380442278658762</v>
      </c>
      <c r="Q6" s="348">
        <v>88.032872581655226</v>
      </c>
    </row>
    <row r="7" spans="1:17" x14ac:dyDescent="0.2">
      <c r="A7" s="302"/>
      <c r="B7" s="307" t="s">
        <v>154</v>
      </c>
      <c r="C7" s="304">
        <v>110.60399636693916</v>
      </c>
      <c r="D7" s="224">
        <v>100</v>
      </c>
      <c r="E7" s="224">
        <v>4.3256130790190737</v>
      </c>
      <c r="F7" s="304">
        <v>3.6671207992733881</v>
      </c>
      <c r="G7" s="344">
        <v>2.1911898274296093</v>
      </c>
      <c r="H7" s="304">
        <v>4.4959128065395095</v>
      </c>
      <c r="I7" s="344">
        <v>25.510899182561307</v>
      </c>
      <c r="J7" s="304">
        <v>48.77384196185286</v>
      </c>
      <c r="K7" s="344">
        <v>21.582652134423249</v>
      </c>
      <c r="L7" s="304">
        <v>22.899636693914619</v>
      </c>
      <c r="M7" s="344">
        <v>17.029972752043594</v>
      </c>
      <c r="N7" s="304">
        <v>4.1099000908265202</v>
      </c>
      <c r="O7" s="344">
        <v>8.676455747300432</v>
      </c>
      <c r="P7" s="304">
        <v>8.9047835301241278</v>
      </c>
      <c r="Q7" s="348">
        <v>13.125011182291876</v>
      </c>
    </row>
    <row r="8" spans="1:17" x14ac:dyDescent="0.2">
      <c r="A8" s="308"/>
      <c r="B8" s="309" t="s">
        <v>3</v>
      </c>
      <c r="C8" s="356">
        <v>96.198729963913365</v>
      </c>
      <c r="D8" s="225">
        <v>100</v>
      </c>
      <c r="E8" s="224">
        <v>98.93737034492419</v>
      </c>
      <c r="F8" s="356">
        <v>99.450362533935433</v>
      </c>
      <c r="G8" s="344">
        <v>99.745984444726076</v>
      </c>
      <c r="H8" s="356">
        <v>99.973276879873509</v>
      </c>
      <c r="I8" s="344">
        <v>101.16814637432711</v>
      </c>
      <c r="J8" s="356">
        <v>102.15023146140862</v>
      </c>
      <c r="K8" s="344">
        <v>102.98544361213203</v>
      </c>
      <c r="L8" s="356">
        <v>103.86943275278986</v>
      </c>
      <c r="M8" s="344">
        <v>105.11232882194813</v>
      </c>
      <c r="N8" s="356">
        <v>105.01556694704401</v>
      </c>
      <c r="O8" s="344">
        <v>105.65255664430958</v>
      </c>
      <c r="P8" s="356">
        <v>106.47106551469973</v>
      </c>
      <c r="Q8" s="348">
        <v>107.34642782630138</v>
      </c>
    </row>
    <row r="9" spans="1:17" x14ac:dyDescent="0.2">
      <c r="A9" s="297" t="s">
        <v>20</v>
      </c>
      <c r="B9" s="311" t="s">
        <v>157</v>
      </c>
      <c r="C9" s="300">
        <v>92.406945145520311</v>
      </c>
      <c r="D9" s="226">
        <v>100</v>
      </c>
      <c r="E9" s="299">
        <v>98.368125903235381</v>
      </c>
      <c r="F9" s="304">
        <v>103.14688941287105</v>
      </c>
      <c r="G9" s="326">
        <v>104.18202310899675</v>
      </c>
      <c r="H9" s="304">
        <v>106.23776958767519</v>
      </c>
      <c r="I9" s="326">
        <v>106.17830298923377</v>
      </c>
      <c r="J9" s="304">
        <v>106.15686735491185</v>
      </c>
      <c r="K9" s="326">
        <v>108.15245576307399</v>
      </c>
      <c r="L9" s="304">
        <v>111.98251958594651</v>
      </c>
      <c r="M9" s="326">
        <v>112.77909541623158</v>
      </c>
      <c r="N9" s="304">
        <v>115.34099945373703</v>
      </c>
      <c r="O9" s="326">
        <v>118.36907316554721</v>
      </c>
      <c r="P9" s="304">
        <v>123.05119683201356</v>
      </c>
      <c r="Q9" s="347">
        <v>127.77906585296732</v>
      </c>
    </row>
    <row r="10" spans="1:17" x14ac:dyDescent="0.2">
      <c r="A10" s="302"/>
      <c r="B10" s="312" t="s">
        <v>156</v>
      </c>
      <c r="C10" s="304">
        <v>97.432079155498201</v>
      </c>
      <c r="D10" s="226">
        <v>100</v>
      </c>
      <c r="E10" s="224">
        <v>99.906607689790448</v>
      </c>
      <c r="F10" s="304">
        <v>107.34931297822195</v>
      </c>
      <c r="G10" s="344">
        <v>108.89322758676478</v>
      </c>
      <c r="H10" s="304">
        <v>109.80950174834817</v>
      </c>
      <c r="I10" s="344">
        <v>111.12802467910183</v>
      </c>
      <c r="J10" s="304">
        <v>111.10155126833376</v>
      </c>
      <c r="K10" s="344">
        <v>111.94943578543302</v>
      </c>
      <c r="L10" s="304">
        <v>112.68039607164</v>
      </c>
      <c r="M10" s="344">
        <v>114.79165058039277</v>
      </c>
      <c r="N10" s="304">
        <v>115.83918873703448</v>
      </c>
      <c r="O10" s="344">
        <v>120.51023762695614</v>
      </c>
      <c r="P10" s="304">
        <v>122.56979780729381</v>
      </c>
      <c r="Q10" s="348">
        <v>125.11154326453388</v>
      </c>
    </row>
    <row r="11" spans="1:17" x14ac:dyDescent="0.2">
      <c r="A11" s="302"/>
      <c r="B11" s="307" t="s">
        <v>155</v>
      </c>
      <c r="C11" s="304">
        <v>98.93812247742386</v>
      </c>
      <c r="D11" s="226">
        <v>100</v>
      </c>
      <c r="E11" s="224">
        <v>101.73967014140945</v>
      </c>
      <c r="F11" s="304">
        <v>102.58841720142863</v>
      </c>
      <c r="G11" s="344">
        <v>103.48289729666948</v>
      </c>
      <c r="H11" s="304">
        <v>102.57818171259329</v>
      </c>
      <c r="I11" s="344">
        <v>102.07127094282646</v>
      </c>
      <c r="J11" s="304">
        <v>102.95522518075437</v>
      </c>
      <c r="K11" s="344">
        <v>103.62162083684196</v>
      </c>
      <c r="L11" s="304">
        <v>104.50818839106826</v>
      </c>
      <c r="M11" s="344">
        <v>103.99547025174947</v>
      </c>
      <c r="N11" s="304">
        <v>105.64331136211852</v>
      </c>
      <c r="O11" s="344">
        <v>105.08471394583022</v>
      </c>
      <c r="P11" s="304">
        <v>105.58825089303618</v>
      </c>
      <c r="Q11" s="348">
        <v>105.28933622212362</v>
      </c>
    </row>
    <row r="12" spans="1:17" x14ac:dyDescent="0.2">
      <c r="A12" s="302"/>
      <c r="B12" s="307" t="s">
        <v>154</v>
      </c>
      <c r="C12" s="304">
        <v>135.62469189899764</v>
      </c>
      <c r="D12" s="226">
        <v>100</v>
      </c>
      <c r="E12" s="224">
        <v>128.49318069781452</v>
      </c>
      <c r="F12" s="304">
        <v>66.820945390809001</v>
      </c>
      <c r="G12" s="344">
        <v>61.047817275565535</v>
      </c>
      <c r="H12" s="304">
        <v>65.574848003505494</v>
      </c>
      <c r="I12" s="344">
        <v>63.811140932245159</v>
      </c>
      <c r="J12" s="304">
        <v>77.449745303171383</v>
      </c>
      <c r="K12" s="344">
        <v>74.179766664840884</v>
      </c>
      <c r="L12" s="304">
        <v>74.946595826258431</v>
      </c>
      <c r="M12" s="344">
        <v>65.454346278139894</v>
      </c>
      <c r="N12" s="304">
        <v>14.649175658651478</v>
      </c>
      <c r="O12" s="344">
        <v>9.1867711757644859</v>
      </c>
      <c r="P12" s="304">
        <v>11.516180391271721</v>
      </c>
      <c r="Q12" s="348">
        <v>14.584863190143526</v>
      </c>
    </row>
    <row r="13" spans="1:17" x14ac:dyDescent="0.2">
      <c r="A13" s="302"/>
      <c r="B13" s="309" t="s">
        <v>3</v>
      </c>
      <c r="C13" s="224">
        <v>98.930223640287693</v>
      </c>
      <c r="D13" s="224">
        <v>100</v>
      </c>
      <c r="E13" s="225">
        <v>101.7346720832835</v>
      </c>
      <c r="F13" s="356">
        <v>102.62648013315395</v>
      </c>
      <c r="G13" s="353">
        <v>103.49556417538346</v>
      </c>
      <c r="H13" s="356">
        <v>103.2035934522083</v>
      </c>
      <c r="I13" s="353">
        <v>103.01295213810516</v>
      </c>
      <c r="J13" s="356">
        <v>103.90973106464708</v>
      </c>
      <c r="K13" s="353">
        <v>104.62957955669613</v>
      </c>
      <c r="L13" s="356">
        <v>105.72317242441673</v>
      </c>
      <c r="M13" s="353">
        <v>105.52461048265029</v>
      </c>
      <c r="N13" s="356">
        <v>106.10926205423938</v>
      </c>
      <c r="O13" s="353">
        <v>106.61264288306248</v>
      </c>
      <c r="P13" s="356">
        <v>107.66467597724741</v>
      </c>
      <c r="Q13" s="354">
        <v>108.20402571963805</v>
      </c>
    </row>
    <row r="14" spans="1:17" x14ac:dyDescent="0.2">
      <c r="A14" s="297" t="s">
        <v>21</v>
      </c>
      <c r="B14" s="298" t="s">
        <v>157</v>
      </c>
      <c r="C14" s="300">
        <v>98.461097093592073</v>
      </c>
      <c r="D14" s="299">
        <v>100</v>
      </c>
      <c r="E14" s="299">
        <v>103.15136713721394</v>
      </c>
      <c r="F14" s="304">
        <v>107.36201734576031</v>
      </c>
      <c r="G14" s="326">
        <v>109.45189457190988</v>
      </c>
      <c r="H14" s="304">
        <v>111.11438050330661</v>
      </c>
      <c r="I14" s="326">
        <v>111.97357677227622</v>
      </c>
      <c r="J14" s="304">
        <v>112.62900817266318</v>
      </c>
      <c r="K14" s="326">
        <v>114.00681177863929</v>
      </c>
      <c r="L14" s="304">
        <v>116.02680574661069</v>
      </c>
      <c r="M14" s="326">
        <v>118.72797757850834</v>
      </c>
      <c r="N14" s="304">
        <v>122.0360303366902</v>
      </c>
      <c r="O14" s="326">
        <v>123.62981653773227</v>
      </c>
      <c r="P14" s="304">
        <v>128.54984649747706</v>
      </c>
      <c r="Q14" s="347">
        <v>132.13837747578151</v>
      </c>
    </row>
    <row r="15" spans="1:17" x14ac:dyDescent="0.2">
      <c r="A15" s="302"/>
      <c r="B15" s="303" t="s">
        <v>156</v>
      </c>
      <c r="C15" s="304">
        <v>99.229051928307214</v>
      </c>
      <c r="D15" s="224">
        <v>100</v>
      </c>
      <c r="E15" s="224">
        <v>101.80215846719312</v>
      </c>
      <c r="F15" s="304">
        <v>104.02598406566761</v>
      </c>
      <c r="G15" s="344">
        <v>105.23710577051469</v>
      </c>
      <c r="H15" s="304">
        <v>106.26691060891075</v>
      </c>
      <c r="I15" s="344">
        <v>106.96687804683782</v>
      </c>
      <c r="J15" s="304">
        <v>107.34590994595631</v>
      </c>
      <c r="K15" s="344">
        <v>107.59352225582541</v>
      </c>
      <c r="L15" s="304">
        <v>107.79849933353162</v>
      </c>
      <c r="M15" s="344">
        <v>109.49289842273062</v>
      </c>
      <c r="N15" s="304">
        <v>109.60979392190251</v>
      </c>
      <c r="O15" s="344">
        <v>109.50929522188999</v>
      </c>
      <c r="P15" s="304">
        <v>111.84849157905157</v>
      </c>
      <c r="Q15" s="348">
        <v>113.36482705287068</v>
      </c>
    </row>
    <row r="16" spans="1:17" x14ac:dyDescent="0.2">
      <c r="A16" s="302"/>
      <c r="B16" s="303" t="s">
        <v>155</v>
      </c>
      <c r="C16" s="304">
        <v>97.41049396920701</v>
      </c>
      <c r="D16" s="224">
        <v>100</v>
      </c>
      <c r="E16" s="224">
        <v>99.362226383966984</v>
      </c>
      <c r="F16" s="304">
        <v>99.49887951512919</v>
      </c>
      <c r="G16" s="344">
        <v>99.554107205443458</v>
      </c>
      <c r="H16" s="304">
        <v>98.807648327061202</v>
      </c>
      <c r="I16" s="344">
        <v>98.80853338620085</v>
      </c>
      <c r="J16" s="304">
        <v>99.383644815146539</v>
      </c>
      <c r="K16" s="344">
        <v>99.801746752718003</v>
      </c>
      <c r="L16" s="304">
        <v>100.08354958278311</v>
      </c>
      <c r="M16" s="344">
        <v>102.22433062977268</v>
      </c>
      <c r="N16" s="304">
        <v>102.3411584362067</v>
      </c>
      <c r="O16" s="344">
        <v>101.69763383860445</v>
      </c>
      <c r="P16" s="304">
        <v>102.93218572380999</v>
      </c>
      <c r="Q16" s="348">
        <v>101.9465708142703</v>
      </c>
    </row>
    <row r="17" spans="1:17" x14ac:dyDescent="0.2">
      <c r="A17" s="302"/>
      <c r="B17" s="303" t="s">
        <v>154</v>
      </c>
      <c r="C17" s="304">
        <v>161.86239620403325</v>
      </c>
      <c r="D17" s="224">
        <v>100</v>
      </c>
      <c r="E17" s="224">
        <v>50.23724792408067</v>
      </c>
      <c r="F17" s="304">
        <v>35.11269276393832</v>
      </c>
      <c r="G17" s="344">
        <v>38.493475682087791</v>
      </c>
      <c r="H17" s="304">
        <v>23.7841043890866</v>
      </c>
      <c r="I17" s="344">
        <v>38.671411625148288</v>
      </c>
      <c r="J17" s="304">
        <v>36.773428232502972</v>
      </c>
      <c r="K17" s="344">
        <v>31.67259786476869</v>
      </c>
      <c r="L17" s="304">
        <v>61.506524317912223</v>
      </c>
      <c r="M17" s="344">
        <v>41.518386714116261</v>
      </c>
      <c r="N17" s="304">
        <v>56.583629893238445</v>
      </c>
      <c r="O17" s="344">
        <v>3936.3626706326027</v>
      </c>
      <c r="P17" s="304">
        <v>2344.4512964797118</v>
      </c>
      <c r="Q17" s="348">
        <v>2010.5032920392878</v>
      </c>
    </row>
    <row r="18" spans="1:17" x14ac:dyDescent="0.2">
      <c r="A18" s="302"/>
      <c r="B18" s="309" t="s">
        <v>3</v>
      </c>
      <c r="C18" s="224">
        <v>9.8320492138568021</v>
      </c>
      <c r="D18" s="225">
        <v>10</v>
      </c>
      <c r="E18" s="225">
        <v>10.066714596108859</v>
      </c>
      <c r="F18" s="356">
        <v>10.206022818428279</v>
      </c>
      <c r="G18" s="353">
        <v>10.280219011579208</v>
      </c>
      <c r="H18" s="356">
        <v>10.299618040122608</v>
      </c>
      <c r="I18" s="353">
        <v>10.338681716039304</v>
      </c>
      <c r="J18" s="356">
        <v>10.389379496705439</v>
      </c>
      <c r="K18" s="353">
        <v>10.435473217653382</v>
      </c>
      <c r="L18" s="356">
        <v>10.486082458709552</v>
      </c>
      <c r="M18" s="353">
        <v>10.686730922812938</v>
      </c>
      <c r="N18" s="356">
        <v>10.739057832302437</v>
      </c>
      <c r="O18" s="353">
        <v>10.763575763548275</v>
      </c>
      <c r="P18" s="356">
        <v>10.974795202042033</v>
      </c>
      <c r="Q18" s="354">
        <v>11.027113873719077</v>
      </c>
    </row>
    <row r="19" spans="1:17" ht="25.5" x14ac:dyDescent="0.2">
      <c r="A19" s="313" t="s">
        <v>158</v>
      </c>
      <c r="B19" s="314" t="s">
        <v>157</v>
      </c>
      <c r="C19" s="315">
        <v>93.050514477705974</v>
      </c>
      <c r="D19" s="210">
        <v>100</v>
      </c>
      <c r="E19" s="323">
        <v>100.22268368370705</v>
      </c>
      <c r="F19" s="318">
        <v>101.97998086749574</v>
      </c>
      <c r="G19" s="346">
        <v>103.43227793462282</v>
      </c>
      <c r="H19" s="318">
        <v>105.39947268951677</v>
      </c>
      <c r="I19" s="346">
        <v>104.35605123777968</v>
      </c>
      <c r="J19" s="318">
        <v>103.96864135887445</v>
      </c>
      <c r="K19" s="346">
        <v>103.33885531626963</v>
      </c>
      <c r="L19" s="318">
        <v>104.71676894001259</v>
      </c>
      <c r="M19" s="346">
        <v>105.5180942159173</v>
      </c>
      <c r="N19" s="318">
        <v>107.48584894654564</v>
      </c>
      <c r="O19" s="346">
        <v>108.8774777769344</v>
      </c>
      <c r="P19" s="318">
        <v>112.05756371234588</v>
      </c>
      <c r="Q19" s="349">
        <v>114.11378932976902</v>
      </c>
    </row>
    <row r="20" spans="1:17" x14ac:dyDescent="0.2">
      <c r="A20" s="316"/>
      <c r="B20" s="317" t="s">
        <v>156</v>
      </c>
      <c r="C20" s="318">
        <v>95.374772967895851</v>
      </c>
      <c r="D20" s="210">
        <v>100</v>
      </c>
      <c r="E20" s="323">
        <v>100.29932014291107</v>
      </c>
      <c r="F20" s="318">
        <v>103.18543994977014</v>
      </c>
      <c r="G20" s="346">
        <v>103.92668626546329</v>
      </c>
      <c r="H20" s="318">
        <v>103.71176042186983</v>
      </c>
      <c r="I20" s="346">
        <v>105.80611172330875</v>
      </c>
      <c r="J20" s="318">
        <v>106.96799498718201</v>
      </c>
      <c r="K20" s="346">
        <v>113.54935223562281</v>
      </c>
      <c r="L20" s="318">
        <v>114.94293852307437</v>
      </c>
      <c r="M20" s="346">
        <v>117.57371473455835</v>
      </c>
      <c r="N20" s="318">
        <v>117.29930616192777</v>
      </c>
      <c r="O20" s="346">
        <v>118.77232435674765</v>
      </c>
      <c r="P20" s="318">
        <v>119.18335019574761</v>
      </c>
      <c r="Q20" s="349">
        <v>120.97969920692566</v>
      </c>
    </row>
    <row r="21" spans="1:17" x14ac:dyDescent="0.2">
      <c r="A21" s="316"/>
      <c r="B21" s="320" t="s">
        <v>155</v>
      </c>
      <c r="C21" s="318">
        <v>100.09464792957652</v>
      </c>
      <c r="D21" s="211">
        <v>100</v>
      </c>
      <c r="E21" s="323">
        <v>100.20875793342022</v>
      </c>
      <c r="F21" s="318">
        <v>100.3194930110904</v>
      </c>
      <c r="G21" s="346">
        <v>100.5571253128838</v>
      </c>
      <c r="H21" s="318">
        <v>99.919414262813021</v>
      </c>
      <c r="I21" s="346">
        <v>100.1336095772905</v>
      </c>
      <c r="J21" s="318">
        <v>101.07888889930533</v>
      </c>
      <c r="K21" s="346">
        <v>99.026896286643733</v>
      </c>
      <c r="L21" s="318">
        <v>99.377438618530221</v>
      </c>
      <c r="M21" s="346">
        <v>99.492823594483866</v>
      </c>
      <c r="N21" s="318">
        <v>100.13259709943844</v>
      </c>
      <c r="O21" s="346">
        <v>99.560832566105375</v>
      </c>
      <c r="P21" s="318">
        <v>100.36200094310347</v>
      </c>
      <c r="Q21" s="349">
        <v>99.909457380801996</v>
      </c>
    </row>
    <row r="22" spans="1:17" x14ac:dyDescent="0.2">
      <c r="A22" s="316"/>
      <c r="B22" s="320" t="s">
        <v>154</v>
      </c>
      <c r="C22" s="318">
        <v>131.87755275697754</v>
      </c>
      <c r="D22" s="211">
        <v>100</v>
      </c>
      <c r="E22" s="323">
        <v>102.42086453369639</v>
      </c>
      <c r="F22" s="318">
        <v>53.850408441116407</v>
      </c>
      <c r="G22" s="346">
        <v>49.210772634445199</v>
      </c>
      <c r="H22" s="318">
        <v>52.631466984343085</v>
      </c>
      <c r="I22" s="346">
        <v>55.733066712049009</v>
      </c>
      <c r="J22" s="318">
        <v>70.617767188563633</v>
      </c>
      <c r="K22" s="346">
        <v>62.799948944860439</v>
      </c>
      <c r="L22" s="318">
        <v>64.712389380530965</v>
      </c>
      <c r="M22" s="346">
        <v>55.735194009530282</v>
      </c>
      <c r="N22" s="318">
        <v>14.178437712729744</v>
      </c>
      <c r="O22" s="346">
        <v>287.66211074906499</v>
      </c>
      <c r="P22" s="318">
        <v>301.44408751278166</v>
      </c>
      <c r="Q22" s="349">
        <v>373.09535444619956</v>
      </c>
    </row>
    <row r="23" spans="1:17" x14ac:dyDescent="0.2">
      <c r="A23" s="321"/>
      <c r="B23" s="322" t="s">
        <v>3</v>
      </c>
      <c r="C23" s="323">
        <v>97.579054011058119</v>
      </c>
      <c r="D23" s="212">
        <v>100</v>
      </c>
      <c r="E23" s="350">
        <v>100.25755895985891</v>
      </c>
      <c r="F23" s="355">
        <v>101.08545370367432</v>
      </c>
      <c r="G23" s="351">
        <v>101.67105417602126</v>
      </c>
      <c r="H23" s="355">
        <v>101.71393712702515</v>
      </c>
      <c r="I23" s="351">
        <v>102.26598514249437</v>
      </c>
      <c r="J23" s="355">
        <v>103.11879230562667</v>
      </c>
      <c r="K23" s="351">
        <v>103.83571015230538</v>
      </c>
      <c r="L23" s="355">
        <v>104.71165694087061</v>
      </c>
      <c r="M23" s="351">
        <v>105.62492570594051</v>
      </c>
      <c r="N23" s="355">
        <v>105.88976245121785</v>
      </c>
      <c r="O23" s="351">
        <v>106.39881211064464</v>
      </c>
      <c r="P23" s="355">
        <v>107.56828359820989</v>
      </c>
      <c r="Q23" s="352">
        <v>108.25383240846573</v>
      </c>
    </row>
    <row r="24" spans="1:17" x14ac:dyDescent="0.2">
      <c r="C24" s="325"/>
      <c r="D24" s="326"/>
      <c r="E24" s="344"/>
      <c r="F24" s="344"/>
      <c r="G24" s="344"/>
      <c r="H24" s="344"/>
      <c r="I24" s="344"/>
      <c r="J24" s="344"/>
      <c r="K24" s="344"/>
      <c r="L24" s="344"/>
      <c r="M24" s="344"/>
      <c r="N24" s="344"/>
      <c r="O24" s="345"/>
      <c r="P24" s="345"/>
    </row>
    <row r="25" spans="1:17" x14ac:dyDescent="0.2">
      <c r="A25" s="294" t="s">
        <v>26</v>
      </c>
    </row>
    <row r="26" spans="1:17" x14ac:dyDescent="0.2">
      <c r="A26" s="295" t="s">
        <v>17</v>
      </c>
      <c r="B26" s="296"/>
      <c r="C26" s="342">
        <v>2010</v>
      </c>
      <c r="D26" s="342">
        <v>2011</v>
      </c>
      <c r="E26" s="342">
        <v>2012</v>
      </c>
      <c r="F26" s="342">
        <v>2013</v>
      </c>
      <c r="G26" s="342">
        <v>2014</v>
      </c>
      <c r="H26" s="342">
        <v>2015</v>
      </c>
      <c r="I26" s="342">
        <v>2016</v>
      </c>
      <c r="J26" s="342">
        <v>2017</v>
      </c>
      <c r="K26" s="342">
        <v>2018</v>
      </c>
      <c r="L26" s="342">
        <v>2019</v>
      </c>
      <c r="M26" s="342">
        <v>2020</v>
      </c>
      <c r="N26" s="343">
        <v>2021</v>
      </c>
      <c r="O26" s="343">
        <v>2022</v>
      </c>
      <c r="P26" s="332">
        <v>2023</v>
      </c>
      <c r="Q26" s="332">
        <v>2024</v>
      </c>
    </row>
    <row r="27" spans="1:17" x14ac:dyDescent="0.2">
      <c r="A27" s="297" t="s">
        <v>18</v>
      </c>
      <c r="B27" s="357" t="s">
        <v>157</v>
      </c>
      <c r="C27" s="368">
        <v>728.98149194286236</v>
      </c>
      <c r="D27" s="301">
        <v>790.32467204731427</v>
      </c>
      <c r="E27" s="327">
        <v>790.78632721694169</v>
      </c>
      <c r="F27" s="301">
        <v>796.97570410151343</v>
      </c>
      <c r="G27" s="327">
        <v>808.1903274104493</v>
      </c>
      <c r="H27" s="301">
        <v>824.02350092288702</v>
      </c>
      <c r="I27" s="327">
        <v>811.77065310909643</v>
      </c>
      <c r="J27" s="301">
        <v>806.76339324978267</v>
      </c>
      <c r="K27" s="327">
        <v>795.26498191449571</v>
      </c>
      <c r="L27" s="301">
        <v>801.73914607903237</v>
      </c>
      <c r="M27" s="327">
        <v>805.49833817456977</v>
      </c>
      <c r="N27" s="301">
        <v>818.37072322898575</v>
      </c>
      <c r="O27" s="363">
        <v>826.74721509575318</v>
      </c>
      <c r="P27" s="363">
        <v>847.30600000000004</v>
      </c>
      <c r="Q27" s="301">
        <v>857.54700000000003</v>
      </c>
    </row>
    <row r="28" spans="1:17" x14ac:dyDescent="0.2">
      <c r="A28" s="302"/>
      <c r="B28" s="303" t="s">
        <v>159</v>
      </c>
      <c r="C28" s="310">
        <v>735.62300559683626</v>
      </c>
      <c r="D28" s="305">
        <v>792.23488967123535</v>
      </c>
      <c r="E28" s="345">
        <v>789.76322564475743</v>
      </c>
      <c r="F28" s="305">
        <v>803.96465178443327</v>
      </c>
      <c r="G28" s="345">
        <v>806.04324062311673</v>
      </c>
      <c r="H28" s="305">
        <v>796.74166878290805</v>
      </c>
      <c r="I28" s="345">
        <v>820.63593054419175</v>
      </c>
      <c r="J28" s="305">
        <v>835.79468496381878</v>
      </c>
      <c r="K28" s="345">
        <v>926.54523966849865</v>
      </c>
      <c r="L28" s="305">
        <v>943.81337683553056</v>
      </c>
      <c r="M28" s="345">
        <v>969.64584343985666</v>
      </c>
      <c r="N28" s="305">
        <v>962.61215240664751</v>
      </c>
      <c r="O28" s="364">
        <v>972.51165415508001</v>
      </c>
      <c r="P28" s="364">
        <v>963.02599999999995</v>
      </c>
      <c r="Q28" s="305">
        <v>976.37800000000004</v>
      </c>
    </row>
    <row r="29" spans="1:17" x14ac:dyDescent="0.2">
      <c r="A29" s="302"/>
      <c r="B29" s="303" t="s">
        <v>155</v>
      </c>
      <c r="C29" s="310">
        <v>885.39517811405256</v>
      </c>
      <c r="D29" s="305">
        <v>848.17520785479383</v>
      </c>
      <c r="E29" s="345">
        <v>830.84820555827287</v>
      </c>
      <c r="F29" s="305">
        <v>819.70950202044173</v>
      </c>
      <c r="G29" s="345">
        <v>812.33483940055737</v>
      </c>
      <c r="H29" s="305">
        <v>811.95304806911656</v>
      </c>
      <c r="I29" s="345">
        <v>826.81480265802156</v>
      </c>
      <c r="J29" s="305">
        <v>838.270884879351</v>
      </c>
      <c r="K29" s="345">
        <v>760.66769777733214</v>
      </c>
      <c r="L29" s="305">
        <v>755.44793101588618</v>
      </c>
      <c r="M29" s="345">
        <v>753.15952530534878</v>
      </c>
      <c r="N29" s="305">
        <v>745.7825204073572</v>
      </c>
      <c r="O29" s="364">
        <v>741.20159460186221</v>
      </c>
      <c r="P29" s="364">
        <v>749.62099999999998</v>
      </c>
      <c r="Q29" s="305">
        <v>746.673</v>
      </c>
    </row>
    <row r="30" spans="1:17" x14ac:dyDescent="0.2">
      <c r="A30" s="302"/>
      <c r="B30" s="358" t="s">
        <v>154</v>
      </c>
      <c r="C30" s="310">
        <v>10.719098172545687</v>
      </c>
      <c r="D30" s="305">
        <v>9.691420314492138</v>
      </c>
      <c r="E30" s="345">
        <v>0.41921334466638338</v>
      </c>
      <c r="F30" s="305">
        <v>0.35539609009774759</v>
      </c>
      <c r="G30" s="345">
        <v>0.2123574160645984</v>
      </c>
      <c r="H30" s="305">
        <v>0.43571780705482366</v>
      </c>
      <c r="I30" s="345">
        <v>2.4723684657883553</v>
      </c>
      <c r="J30" s="305">
        <v>4.726878028049299</v>
      </c>
      <c r="K30" s="345">
        <v>2.0916655333616658</v>
      </c>
      <c r="L30" s="305">
        <v>2.2193000424989373</v>
      </c>
      <c r="M30" s="345">
        <v>1.6504462388440291</v>
      </c>
      <c r="N30" s="305">
        <v>0.39830769230769231</v>
      </c>
      <c r="O30" s="364">
        <v>0.84087179487179486</v>
      </c>
      <c r="P30" s="364">
        <v>0.86299999999999999</v>
      </c>
      <c r="Q30" s="305">
        <v>1.272</v>
      </c>
    </row>
    <row r="31" spans="1:17" x14ac:dyDescent="0.2">
      <c r="A31" s="308"/>
      <c r="B31" s="309" t="s">
        <v>3</v>
      </c>
      <c r="C31" s="371">
        <v>2313.7483003516795</v>
      </c>
      <c r="D31" s="372">
        <v>2405.1755165786767</v>
      </c>
      <c r="E31" s="373">
        <v>2379.6174082828888</v>
      </c>
      <c r="F31" s="372">
        <v>2391.9557708149482</v>
      </c>
      <c r="G31" s="373">
        <v>2399.0659966349267</v>
      </c>
      <c r="H31" s="372">
        <v>2404.5327786361281</v>
      </c>
      <c r="I31" s="373">
        <v>2433.2714871717935</v>
      </c>
      <c r="J31" s="372">
        <v>2456.8923572382482</v>
      </c>
      <c r="K31" s="373">
        <v>2476.9806753989378</v>
      </c>
      <c r="L31" s="372">
        <v>2498.2421657792543</v>
      </c>
      <c r="M31" s="373">
        <v>2528.1359977311677</v>
      </c>
      <c r="N31" s="372">
        <v>2525.8087048065913</v>
      </c>
      <c r="O31" s="374">
        <v>2541.1294250483515</v>
      </c>
      <c r="P31" s="364">
        <v>2560.8159999999998</v>
      </c>
      <c r="Q31" s="305">
        <v>2581.87</v>
      </c>
    </row>
    <row r="32" spans="1:17" x14ac:dyDescent="0.2">
      <c r="A32" s="297" t="s">
        <v>20</v>
      </c>
      <c r="B32" s="359" t="s">
        <v>157</v>
      </c>
      <c r="C32" s="310">
        <v>133.57160706560603</v>
      </c>
      <c r="D32" s="305">
        <v>144.547151575307</v>
      </c>
      <c r="E32" s="345">
        <v>142.18832405113847</v>
      </c>
      <c r="F32" s="305">
        <v>149.09589058483701</v>
      </c>
      <c r="G32" s="345">
        <v>150.59214685758289</v>
      </c>
      <c r="H32" s="305">
        <v>153.56366983612224</v>
      </c>
      <c r="I32" s="345">
        <v>153.47771256193644</v>
      </c>
      <c r="J32" s="305">
        <v>153.44672796310201</v>
      </c>
      <c r="K32" s="345">
        <v>156.33129416426738</v>
      </c>
      <c r="L32" s="305">
        <v>161.86754232374591</v>
      </c>
      <c r="M32" s="345">
        <v>163.01896999656034</v>
      </c>
      <c r="N32" s="305">
        <v>166.72212930886724</v>
      </c>
      <c r="O32" s="364">
        <v>171.09912360688955</v>
      </c>
      <c r="P32" s="363">
        <v>177.86699999999999</v>
      </c>
      <c r="Q32" s="301">
        <v>184.70099999999999</v>
      </c>
    </row>
    <row r="33" spans="1:17" x14ac:dyDescent="0.2">
      <c r="A33" s="302"/>
      <c r="B33" s="312" t="s">
        <v>156</v>
      </c>
      <c r="C33" s="310">
        <v>265.26259182858945</v>
      </c>
      <c r="D33" s="305">
        <v>272.25385532955693</v>
      </c>
      <c r="E33" s="345">
        <v>271.99959116443006</v>
      </c>
      <c r="F33" s="305">
        <v>292.26264325300161</v>
      </c>
      <c r="G33" s="345">
        <v>296.4660102977557</v>
      </c>
      <c r="H33" s="305">
        <v>298.96060202805506</v>
      </c>
      <c r="I33" s="345">
        <v>302.55033154043616</v>
      </c>
      <c r="J33" s="305">
        <v>302.4782566589829</v>
      </c>
      <c r="K33" s="345">
        <v>304.78665494552803</v>
      </c>
      <c r="L33" s="305">
        <v>306.77672250565445</v>
      </c>
      <c r="M33" s="345">
        <v>312.52469430155293</v>
      </c>
      <c r="N33" s="305">
        <v>315.37665731905815</v>
      </c>
      <c r="O33" s="364">
        <v>328.09376800619833</v>
      </c>
      <c r="P33" s="364">
        <v>333.70100000000002</v>
      </c>
      <c r="Q33" s="305">
        <v>340.62099999999998</v>
      </c>
    </row>
    <row r="34" spans="1:17" x14ac:dyDescent="0.2">
      <c r="A34" s="302"/>
      <c r="B34" s="358" t="s">
        <v>155</v>
      </c>
      <c r="C34" s="310">
        <v>1400.0927314870103</v>
      </c>
      <c r="D34" s="305">
        <v>1415.1195680982219</v>
      </c>
      <c r="E34" s="345">
        <v>1439.737980689669</v>
      </c>
      <c r="F34" s="305">
        <v>1451.7487664196588</v>
      </c>
      <c r="G34" s="345">
        <v>1464.4067292801556</v>
      </c>
      <c r="H34" s="305">
        <v>1451.6039220142593</v>
      </c>
      <c r="I34" s="345">
        <v>1444.4305285184917</v>
      </c>
      <c r="J34" s="305">
        <v>1456.939537912443</v>
      </c>
      <c r="K34" s="345">
        <v>1466.369833242695</v>
      </c>
      <c r="L34" s="305">
        <v>1478.9158241869611</v>
      </c>
      <c r="M34" s="345">
        <v>1471.6602494682718</v>
      </c>
      <c r="N34" s="305">
        <v>1494.9791714722712</v>
      </c>
      <c r="O34" s="364">
        <v>1487.0743501274842</v>
      </c>
      <c r="P34" s="364">
        <v>1494.2</v>
      </c>
      <c r="Q34" s="305">
        <v>1489.97</v>
      </c>
    </row>
    <row r="35" spans="1:17" x14ac:dyDescent="0.2">
      <c r="A35" s="302"/>
      <c r="B35" s="358" t="s">
        <v>154</v>
      </c>
      <c r="C35" s="310">
        <v>23.600870543117431</v>
      </c>
      <c r="D35" s="305">
        <v>17.401603065534307</v>
      </c>
      <c r="E35" s="345">
        <v>22.359873271313429</v>
      </c>
      <c r="F35" s="305">
        <v>11.627915681546025</v>
      </c>
      <c r="G35" s="345">
        <v>10.623298842466594</v>
      </c>
      <c r="H35" s="305">
        <v>11.411074760397474</v>
      </c>
      <c r="I35" s="345">
        <v>11.104161456617989</v>
      </c>
      <c r="J35" s="305">
        <v>13.477497252925183</v>
      </c>
      <c r="K35" s="345">
        <v>12.908468549955145</v>
      </c>
      <c r="L35" s="305">
        <v>13.041909116815791</v>
      </c>
      <c r="M35" s="345">
        <v>11.390105528462229</v>
      </c>
      <c r="N35" s="305">
        <v>2.5491914004914005</v>
      </c>
      <c r="O35" s="364">
        <v>1.5986454545454545</v>
      </c>
      <c r="P35" s="364">
        <v>2.004</v>
      </c>
      <c r="Q35" s="305">
        <v>2.5379999999999998</v>
      </c>
    </row>
    <row r="36" spans="1:17" x14ac:dyDescent="0.2">
      <c r="A36" s="302"/>
      <c r="B36" s="309" t="s">
        <v>3</v>
      </c>
      <c r="C36" s="371">
        <v>1844.8885967082051</v>
      </c>
      <c r="D36" s="372">
        <v>1864.838194863743</v>
      </c>
      <c r="E36" s="373">
        <v>1897.1870224284523</v>
      </c>
      <c r="F36" s="372">
        <v>1913.8177995673061</v>
      </c>
      <c r="G36" s="373">
        <v>1930.024810732268</v>
      </c>
      <c r="H36" s="372">
        <v>1924.5800291686776</v>
      </c>
      <c r="I36" s="373">
        <v>1921.0248771280924</v>
      </c>
      <c r="J36" s="372">
        <v>1937.7483530737352</v>
      </c>
      <c r="K36" s="373">
        <v>1951.1723626986166</v>
      </c>
      <c r="L36" s="372">
        <v>1971.5661001921762</v>
      </c>
      <c r="M36" s="373">
        <v>1967.8632412616525</v>
      </c>
      <c r="N36" s="372">
        <v>1978.7660470755172</v>
      </c>
      <c r="O36" s="374">
        <v>1988.1532850370322</v>
      </c>
      <c r="P36" s="364">
        <v>2007.7719999999999</v>
      </c>
      <c r="Q36" s="305">
        <v>2017.83</v>
      </c>
    </row>
    <row r="37" spans="1:17" x14ac:dyDescent="0.2">
      <c r="A37" s="297" t="s">
        <v>21</v>
      </c>
      <c r="B37" s="357" t="s">
        <v>157</v>
      </c>
      <c r="C37" s="310">
        <v>139.05434928308748</v>
      </c>
      <c r="D37" s="305">
        <v>141.22770656405498</v>
      </c>
      <c r="E37" s="345">
        <v>145.67831009735553</v>
      </c>
      <c r="F37" s="305">
        <v>151.62491481832018</v>
      </c>
      <c r="G37" s="345">
        <v>154.57640049481572</v>
      </c>
      <c r="H37" s="305">
        <v>156.92429124767739</v>
      </c>
      <c r="I37" s="345">
        <v>158.13771443322707</v>
      </c>
      <c r="J37" s="305">
        <v>159.06336516809424</v>
      </c>
      <c r="K37" s="345">
        <v>161.00920560177116</v>
      </c>
      <c r="L37" s="305">
        <v>163.86199675546942</v>
      </c>
      <c r="M37" s="345">
        <v>167.67679978401273</v>
      </c>
      <c r="N37" s="305">
        <v>172.34868682632194</v>
      </c>
      <c r="O37" s="364">
        <v>174.59955452558805</v>
      </c>
      <c r="P37" s="363">
        <v>181.548</v>
      </c>
      <c r="Q37" s="301">
        <v>186.61600000000001</v>
      </c>
    </row>
    <row r="38" spans="1:17" x14ac:dyDescent="0.2">
      <c r="A38" s="302"/>
      <c r="B38" s="303" t="s">
        <v>156</v>
      </c>
      <c r="C38" s="310">
        <v>426.01465124750922</v>
      </c>
      <c r="D38" s="305">
        <v>429.32452035851753</v>
      </c>
      <c r="E38" s="345">
        <v>437.06162855389482</v>
      </c>
      <c r="F38" s="305">
        <v>446.60905713815532</v>
      </c>
      <c r="G38" s="345">
        <v>451.80869958844795</v>
      </c>
      <c r="H38" s="305">
        <v>456.2299042715207</v>
      </c>
      <c r="I38" s="345">
        <v>459.2350361170669</v>
      </c>
      <c r="J38" s="305">
        <v>460.86231299996308</v>
      </c>
      <c r="K38" s="345">
        <v>461.92537336165719</v>
      </c>
      <c r="L38" s="305">
        <v>462.80539021736433</v>
      </c>
      <c r="M38" s="345">
        <v>470.07986098002704</v>
      </c>
      <c r="N38" s="305">
        <v>470.58172202116742</v>
      </c>
      <c r="O38" s="364">
        <v>470.15025645937209</v>
      </c>
      <c r="P38" s="364">
        <v>480.19299999999998</v>
      </c>
      <c r="Q38" s="305">
        <v>486.70299999999997</v>
      </c>
    </row>
    <row r="39" spans="1:17" x14ac:dyDescent="0.2">
      <c r="A39" s="302"/>
      <c r="B39" s="303" t="s">
        <v>155</v>
      </c>
      <c r="C39" s="310">
        <v>549.11172634926766</v>
      </c>
      <c r="D39" s="305">
        <v>563.7090050306598</v>
      </c>
      <c r="E39" s="345">
        <v>560.11381772537209</v>
      </c>
      <c r="F39" s="305">
        <v>560.88414373138971</v>
      </c>
      <c r="G39" s="345">
        <v>561.19546719496168</v>
      </c>
      <c r="H39" s="305">
        <v>556.98761127866999</v>
      </c>
      <c r="I39" s="345">
        <v>556.99260043673996</v>
      </c>
      <c r="J39" s="305">
        <v>560.23455535066728</v>
      </c>
      <c r="K39" s="345">
        <v>562.59143362296527</v>
      </c>
      <c r="L39" s="305">
        <v>564.17998155247358</v>
      </c>
      <c r="M39" s="345">
        <v>576.24775709234336</v>
      </c>
      <c r="N39" s="305">
        <v>576.90632595759178</v>
      </c>
      <c r="O39" s="364">
        <v>573.2787198513206</v>
      </c>
      <c r="P39" s="364">
        <v>580.23800000000006</v>
      </c>
      <c r="Q39" s="305">
        <v>574.68200000000002</v>
      </c>
    </row>
    <row r="40" spans="1:17" x14ac:dyDescent="0.2">
      <c r="A40" s="302"/>
      <c r="B40" s="303" t="s">
        <v>154</v>
      </c>
      <c r="C40" s="310">
        <v>4.7499953936167662E-2</v>
      </c>
      <c r="D40" s="305">
        <v>2.9345885795668252E-2</v>
      </c>
      <c r="E40" s="345">
        <v>1.4742565402687433E-2</v>
      </c>
      <c r="F40" s="305">
        <v>1.0304130718289209E-2</v>
      </c>
      <c r="G40" s="345">
        <v>1.1296251412448813E-2</v>
      </c>
      <c r="H40" s="305">
        <v>6.9796561115438738E-3</v>
      </c>
      <c r="I40" s="345">
        <v>1.1348468291088792E-2</v>
      </c>
      <c r="J40" s="305">
        <v>1.0791488252262348E-2</v>
      </c>
      <c r="K40" s="345">
        <v>9.2946043979162812E-3</v>
      </c>
      <c r="L40" s="305">
        <v>1.8049634383219444E-2</v>
      </c>
      <c r="M40" s="345">
        <v>1.218393834932846E-2</v>
      </c>
      <c r="N40" s="305">
        <v>1.6604967407513358E-2</v>
      </c>
      <c r="O40" s="364">
        <v>1.1551604938271605</v>
      </c>
      <c r="P40" s="364">
        <v>0.68799999999999994</v>
      </c>
      <c r="Q40" s="305">
        <v>0.59</v>
      </c>
    </row>
    <row r="41" spans="1:17" x14ac:dyDescent="0.2">
      <c r="A41" s="302"/>
      <c r="B41" s="309" t="s">
        <v>3</v>
      </c>
      <c r="C41" s="371">
        <v>1113.2748152022418</v>
      </c>
      <c r="D41" s="372">
        <v>1132.291744058042</v>
      </c>
      <c r="E41" s="373">
        <v>1139.8457826962647</v>
      </c>
      <c r="F41" s="372">
        <v>1155.6195376974326</v>
      </c>
      <c r="G41" s="373">
        <v>1164.0207113919657</v>
      </c>
      <c r="H41" s="372">
        <v>1166.2172473782095</v>
      </c>
      <c r="I41" s="373">
        <v>1170.6403951515128</v>
      </c>
      <c r="J41" s="372">
        <v>1176.380863000546</v>
      </c>
      <c r="K41" s="373">
        <v>1181.6000169687729</v>
      </c>
      <c r="L41" s="372">
        <v>1187.3304595508673</v>
      </c>
      <c r="M41" s="373">
        <v>1210.0497194870863</v>
      </c>
      <c r="N41" s="372">
        <v>1215.9746522477897</v>
      </c>
      <c r="O41" s="374">
        <v>1218.750797360894</v>
      </c>
      <c r="P41" s="364">
        <v>1242.6669999999999</v>
      </c>
      <c r="Q41" s="305">
        <v>1248.5909999999999</v>
      </c>
    </row>
    <row r="42" spans="1:17" ht="25.5" x14ac:dyDescent="0.2">
      <c r="A42" s="313" t="s">
        <v>158</v>
      </c>
      <c r="B42" s="360" t="s">
        <v>157</v>
      </c>
      <c r="C42" s="324">
        <v>1002.0386501467442</v>
      </c>
      <c r="D42" s="319">
        <v>1076.8759912518519</v>
      </c>
      <c r="E42" s="367">
        <v>1079.2740183781282</v>
      </c>
      <c r="F42" s="319">
        <v>1098.1979298452934</v>
      </c>
      <c r="G42" s="367">
        <v>1113.8373682828396</v>
      </c>
      <c r="H42" s="319">
        <v>1135.0216162994582</v>
      </c>
      <c r="I42" s="367">
        <v>1123.78526119813</v>
      </c>
      <c r="J42" s="319">
        <v>1119.6133372244617</v>
      </c>
      <c r="K42" s="367">
        <v>1112.8313225353952</v>
      </c>
      <c r="L42" s="319">
        <v>1127.6697435296715</v>
      </c>
      <c r="M42" s="367">
        <v>1136.299023037722</v>
      </c>
      <c r="N42" s="319">
        <v>1157.4893012985813</v>
      </c>
      <c r="O42" s="365">
        <v>1172.4754180603768</v>
      </c>
      <c r="P42" s="422">
        <v>1206.721</v>
      </c>
      <c r="Q42" s="427">
        <v>1228.864</v>
      </c>
    </row>
    <row r="43" spans="1:17" x14ac:dyDescent="0.2">
      <c r="A43" s="316"/>
      <c r="B43" s="317" t="s">
        <v>156</v>
      </c>
      <c r="C43" s="324">
        <v>1421.9548393611121</v>
      </c>
      <c r="D43" s="319">
        <v>1490.9129480599204</v>
      </c>
      <c r="E43" s="367">
        <v>1495.3755508267329</v>
      </c>
      <c r="F43" s="319">
        <v>1538.405084723717</v>
      </c>
      <c r="G43" s="367">
        <v>1549.4564220214033</v>
      </c>
      <c r="H43" s="319">
        <v>1546.2520647905415</v>
      </c>
      <c r="I43" s="367">
        <v>1577.4770195215558</v>
      </c>
      <c r="J43" s="319">
        <v>1594.7996875439837</v>
      </c>
      <c r="K43" s="367">
        <v>1692.9219949190676</v>
      </c>
      <c r="L43" s="319">
        <v>1713.6991533210705</v>
      </c>
      <c r="M43" s="367">
        <v>1752.9217364925655</v>
      </c>
      <c r="N43" s="319">
        <v>1748.8305435526297</v>
      </c>
      <c r="O43" s="365">
        <v>1770.7919625464776</v>
      </c>
      <c r="P43" s="423">
        <v>1776.92</v>
      </c>
      <c r="Q43" s="426">
        <v>1803.702</v>
      </c>
    </row>
    <row r="44" spans="1:17" x14ac:dyDescent="0.2">
      <c r="A44" s="316"/>
      <c r="B44" s="361" t="s">
        <v>155</v>
      </c>
      <c r="C44" s="324">
        <v>2816.5360263951211</v>
      </c>
      <c r="D44" s="319">
        <v>2813.8727540924547</v>
      </c>
      <c r="E44" s="367">
        <v>2819.7469367029726</v>
      </c>
      <c r="F44" s="319">
        <v>2822.8628808827571</v>
      </c>
      <c r="G44" s="367">
        <v>2829.5495514778445</v>
      </c>
      <c r="H44" s="319">
        <v>2811.6051739900659</v>
      </c>
      <c r="I44" s="367">
        <v>2817.63235758469</v>
      </c>
      <c r="J44" s="319">
        <v>2844.2313148769349</v>
      </c>
      <c r="K44" s="367">
        <v>2786.4908538332602</v>
      </c>
      <c r="L44" s="319">
        <v>2796.3546690017747</v>
      </c>
      <c r="M44" s="367">
        <v>2799.60145540245</v>
      </c>
      <c r="N44" s="319">
        <v>2817.6038677462693</v>
      </c>
      <c r="O44" s="365">
        <v>2801.5151413252461</v>
      </c>
      <c r="P44" s="423">
        <v>2824.0590000000002</v>
      </c>
      <c r="Q44" s="426">
        <v>2811.3249999999998</v>
      </c>
    </row>
    <row r="45" spans="1:17" x14ac:dyDescent="0.2">
      <c r="A45" s="316"/>
      <c r="B45" s="361" t="s">
        <v>154</v>
      </c>
      <c r="C45" s="324">
        <v>1.5552625494144965</v>
      </c>
      <c r="D45" s="319">
        <v>1.1793231804054756</v>
      </c>
      <c r="E45" s="367">
        <v>1.2078729970175719</v>
      </c>
      <c r="F45" s="319">
        <v>0.63507034948911256</v>
      </c>
      <c r="G45" s="367">
        <v>0.58035404893464637</v>
      </c>
      <c r="H45" s="319">
        <v>0.62069509033381243</v>
      </c>
      <c r="I45" s="367">
        <v>0.65727297488604153</v>
      </c>
      <c r="J45" s="319">
        <v>0.83281169793950272</v>
      </c>
      <c r="K45" s="367">
        <v>0.74061435518954277</v>
      </c>
      <c r="L45" s="319">
        <v>0.7631682085588527</v>
      </c>
      <c r="M45" s="367">
        <v>0.65729806259835433</v>
      </c>
      <c r="N45" s="319">
        <v>0.16720960256557371</v>
      </c>
      <c r="O45" s="365">
        <v>3.3924659533073931</v>
      </c>
      <c r="P45" s="423">
        <v>3.5550000000000002</v>
      </c>
      <c r="Q45" s="426">
        <v>4.4000000000000004</v>
      </c>
    </row>
    <row r="46" spans="1:17" x14ac:dyDescent="0.2">
      <c r="A46" s="321"/>
      <c r="B46" s="362" t="s">
        <v>3</v>
      </c>
      <c r="C46" s="369">
        <v>5271.5981565263937</v>
      </c>
      <c r="D46" s="328">
        <v>5402.3870286024612</v>
      </c>
      <c r="E46" s="370">
        <v>5416.3013604408834</v>
      </c>
      <c r="F46" s="328">
        <v>5461.0274386912488</v>
      </c>
      <c r="G46" s="370">
        <v>5492.6638426487543</v>
      </c>
      <c r="H46" s="328">
        <v>5494.9805456312706</v>
      </c>
      <c r="I46" s="370">
        <v>5524.8043160106372</v>
      </c>
      <c r="J46" s="328">
        <v>5570.8762595706894</v>
      </c>
      <c r="K46" s="370">
        <v>5609.6069363253955</v>
      </c>
      <c r="L46" s="328">
        <v>5656.9289720083034</v>
      </c>
      <c r="M46" s="370">
        <v>5706.2672853087179</v>
      </c>
      <c r="N46" s="328">
        <v>5720.5747912825536</v>
      </c>
      <c r="O46" s="366">
        <v>5748.0756240525716</v>
      </c>
      <c r="P46" s="424">
        <v>5811.2550000000001</v>
      </c>
      <c r="Q46" s="425">
        <v>5848.2910000000002</v>
      </c>
    </row>
    <row r="47" spans="1:17" x14ac:dyDescent="0.2">
      <c r="A47" s="329" t="s">
        <v>12</v>
      </c>
      <c r="B47" s="325"/>
      <c r="C47" s="344"/>
      <c r="D47" s="344"/>
      <c r="E47" s="344"/>
      <c r="F47" s="344"/>
      <c r="G47" s="344"/>
      <c r="H47" s="344"/>
      <c r="I47" s="344"/>
      <c r="J47" s="344"/>
      <c r="K47" s="344"/>
      <c r="L47" s="344"/>
      <c r="M47" s="344"/>
      <c r="N47" s="344"/>
    </row>
    <row r="48" spans="1:17" x14ac:dyDescent="0.2">
      <c r="A48" s="329" t="s">
        <v>13</v>
      </c>
    </row>
    <row r="49" spans="1:1" x14ac:dyDescent="0.2">
      <c r="A49" s="330" t="s">
        <v>268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21"/>
  <sheetViews>
    <sheetView showGridLines="0" zoomScaleNormal="100" workbookViewId="0">
      <pane xSplit="1" ySplit="3" topLeftCell="B4" activePane="bottomRight" state="frozen"/>
      <selection activeCell="D34" sqref="D34"/>
      <selection pane="topRight" activeCell="D34" sqref="D34"/>
      <selection pane="bottomLeft" activeCell="D34" sqref="D34"/>
      <selection pane="bottomRight"/>
    </sheetView>
  </sheetViews>
  <sheetFormatPr baseColWidth="10" defaultColWidth="11.42578125" defaultRowHeight="12.75" x14ac:dyDescent="0.2"/>
  <cols>
    <col min="1" max="1" width="35.5703125" style="37" customWidth="1"/>
    <col min="2" max="18" width="9.7109375" style="37" customWidth="1"/>
    <col min="19" max="16384" width="11.42578125" style="37"/>
  </cols>
  <sheetData>
    <row r="1" spans="1:18" x14ac:dyDescent="0.2">
      <c r="A1" s="45" t="s">
        <v>224</v>
      </c>
      <c r="B1" s="45"/>
      <c r="C1" s="45"/>
      <c r="D1" s="45"/>
      <c r="E1" s="45"/>
      <c r="F1" s="45"/>
    </row>
    <row r="2" spans="1:18" x14ac:dyDescent="0.2">
      <c r="A2" s="38" t="s">
        <v>26</v>
      </c>
      <c r="B2" s="45"/>
      <c r="C2" s="45"/>
      <c r="D2" s="45"/>
      <c r="E2" s="45"/>
      <c r="F2" s="45"/>
    </row>
    <row r="3" spans="1:18" ht="38.25" x14ac:dyDescent="0.2">
      <c r="A3" s="44"/>
      <c r="B3" s="275">
        <v>2011</v>
      </c>
      <c r="C3" s="275">
        <v>2012</v>
      </c>
      <c r="D3" s="275">
        <v>2013</v>
      </c>
      <c r="E3" s="275">
        <v>2014</v>
      </c>
      <c r="F3" s="276">
        <v>2015</v>
      </c>
      <c r="G3" s="276">
        <v>2016</v>
      </c>
      <c r="H3" s="276">
        <v>2017</v>
      </c>
      <c r="I3" s="276">
        <v>2018</v>
      </c>
      <c r="J3" s="276">
        <v>2019</v>
      </c>
      <c r="K3" s="276">
        <v>2020</v>
      </c>
      <c r="L3" s="277" t="s">
        <v>230</v>
      </c>
      <c r="M3" s="276" t="s">
        <v>231</v>
      </c>
      <c r="N3" s="277" t="s">
        <v>232</v>
      </c>
      <c r="O3" s="276" t="s">
        <v>233</v>
      </c>
      <c r="P3" s="277" t="s">
        <v>261</v>
      </c>
      <c r="Q3" s="276" t="s">
        <v>262</v>
      </c>
      <c r="R3" s="277">
        <v>2024</v>
      </c>
    </row>
    <row r="4" spans="1:18" s="40" customFormat="1" ht="15" customHeight="1" x14ac:dyDescent="0.2">
      <c r="A4" s="41" t="s">
        <v>151</v>
      </c>
      <c r="B4" s="52">
        <v>568.1</v>
      </c>
      <c r="C4" s="52">
        <v>572.1</v>
      </c>
      <c r="D4" s="52">
        <v>578.4</v>
      </c>
      <c r="E4" s="52">
        <v>582.70000000000005</v>
      </c>
      <c r="F4" s="53">
        <v>584.4</v>
      </c>
      <c r="G4" s="53">
        <v>586</v>
      </c>
      <c r="H4" s="54">
        <v>591.79999999999995</v>
      </c>
      <c r="I4" s="54">
        <v>597.29999999999995</v>
      </c>
      <c r="J4" s="54">
        <v>601.5</v>
      </c>
      <c r="K4" s="54">
        <v>608.87900000000002</v>
      </c>
      <c r="L4" s="187">
        <v>610.61800000000005</v>
      </c>
      <c r="M4" s="54">
        <v>609.23699999999997</v>
      </c>
      <c r="N4" s="187">
        <v>614.04600000000005</v>
      </c>
      <c r="O4" s="54">
        <v>617.38199999999995</v>
      </c>
      <c r="P4" s="187">
        <v>625.44000000000005</v>
      </c>
      <c r="Q4" s="54">
        <v>629.62599999999998</v>
      </c>
      <c r="R4" s="187">
        <v>634.73500000000001</v>
      </c>
    </row>
    <row r="5" spans="1:18" x14ac:dyDescent="0.2">
      <c r="A5" s="43" t="s">
        <v>150</v>
      </c>
      <c r="B5" s="55">
        <v>27</v>
      </c>
      <c r="C5" s="55">
        <v>26.9</v>
      </c>
      <c r="D5" s="55">
        <v>27.1</v>
      </c>
      <c r="E5" s="55">
        <v>27.1</v>
      </c>
      <c r="F5" s="56">
        <v>26.9</v>
      </c>
      <c r="G5" s="56">
        <v>26.8</v>
      </c>
      <c r="H5" s="57">
        <v>26.7</v>
      </c>
      <c r="I5" s="57">
        <v>26.8</v>
      </c>
      <c r="J5" s="57">
        <v>26.6</v>
      </c>
      <c r="K5" s="57">
        <v>26.684999999999999</v>
      </c>
      <c r="L5" s="56">
        <v>26.713000000000001</v>
      </c>
      <c r="M5" s="57">
        <v>26.616</v>
      </c>
      <c r="N5" s="56">
        <v>26.777000000000001</v>
      </c>
      <c r="O5" s="57">
        <v>26.678999999999998</v>
      </c>
      <c r="P5" s="56">
        <v>26.983000000000001</v>
      </c>
      <c r="Q5" s="57">
        <v>27.186</v>
      </c>
      <c r="R5" s="56">
        <v>27.314</v>
      </c>
    </row>
    <row r="6" spans="1:18" x14ac:dyDescent="0.2">
      <c r="A6" s="43" t="s">
        <v>149</v>
      </c>
      <c r="B6" s="55">
        <v>12.1</v>
      </c>
      <c r="C6" s="55">
        <v>12.1</v>
      </c>
      <c r="D6" s="55">
        <v>12.1</v>
      </c>
      <c r="E6" s="55">
        <v>12.1</v>
      </c>
      <c r="F6" s="56">
        <v>12</v>
      </c>
      <c r="G6" s="56">
        <v>12.2</v>
      </c>
      <c r="H6" s="57">
        <v>12.1</v>
      </c>
      <c r="I6" s="57">
        <v>12.2</v>
      </c>
      <c r="J6" s="57">
        <v>12</v>
      </c>
      <c r="K6" s="57">
        <v>12</v>
      </c>
      <c r="L6" s="56">
        <v>11.935</v>
      </c>
      <c r="M6" s="57">
        <v>11.888999999999999</v>
      </c>
      <c r="N6" s="56">
        <v>11.968</v>
      </c>
      <c r="O6" s="57">
        <v>12.05</v>
      </c>
      <c r="P6" s="56">
        <v>12.196999999999999</v>
      </c>
      <c r="Q6" s="57">
        <v>12.218999999999999</v>
      </c>
      <c r="R6" s="56">
        <v>12.227</v>
      </c>
    </row>
    <row r="7" spans="1:18" x14ac:dyDescent="0.2">
      <c r="A7" s="43" t="s">
        <v>148</v>
      </c>
      <c r="B7" s="55">
        <v>14.3</v>
      </c>
      <c r="C7" s="55">
        <v>14.3</v>
      </c>
      <c r="D7" s="55">
        <v>14.4</v>
      </c>
      <c r="E7" s="55">
        <v>14.4</v>
      </c>
      <c r="F7" s="56">
        <v>14.3</v>
      </c>
      <c r="G7" s="56">
        <v>14.3</v>
      </c>
      <c r="H7" s="57">
        <v>14.5</v>
      </c>
      <c r="I7" s="57">
        <v>14.8</v>
      </c>
      <c r="J7" s="57">
        <v>14.7</v>
      </c>
      <c r="K7" s="57">
        <v>14.91</v>
      </c>
      <c r="L7" s="56">
        <v>15</v>
      </c>
      <c r="M7" s="57">
        <v>14.846</v>
      </c>
      <c r="N7" s="56">
        <v>15.087</v>
      </c>
      <c r="O7" s="57">
        <v>15.173999999999999</v>
      </c>
      <c r="P7" s="56">
        <v>15.608000000000001</v>
      </c>
      <c r="Q7" s="57">
        <v>15.734999999999999</v>
      </c>
      <c r="R7" s="56">
        <v>15.787000000000001</v>
      </c>
    </row>
    <row r="8" spans="1:18" x14ac:dyDescent="0.2">
      <c r="A8" s="43" t="s">
        <v>147</v>
      </c>
      <c r="B8" s="55">
        <v>57.1</v>
      </c>
      <c r="C8" s="55">
        <v>57.4</v>
      </c>
      <c r="D8" s="55">
        <v>58</v>
      </c>
      <c r="E8" s="55">
        <v>58.5</v>
      </c>
      <c r="F8" s="56">
        <v>58.6</v>
      </c>
      <c r="G8" s="56">
        <v>56.7</v>
      </c>
      <c r="H8" s="57">
        <v>57.7</v>
      </c>
      <c r="I8" s="57">
        <v>58.4</v>
      </c>
      <c r="J8" s="57">
        <v>58.3</v>
      </c>
      <c r="K8" s="57">
        <v>59.966000000000001</v>
      </c>
      <c r="L8" s="56">
        <v>60.287999999999997</v>
      </c>
      <c r="M8" s="57">
        <v>60.180999999999997</v>
      </c>
      <c r="N8" s="56">
        <v>60.774000000000001</v>
      </c>
      <c r="O8" s="57">
        <v>60.768000000000001</v>
      </c>
      <c r="P8" s="56">
        <v>61.045000000000002</v>
      </c>
      <c r="Q8" s="57">
        <v>61.55</v>
      </c>
      <c r="R8" s="56">
        <v>61.962000000000003</v>
      </c>
    </row>
    <row r="9" spans="1:18" x14ac:dyDescent="0.2">
      <c r="A9" s="43" t="s">
        <v>146</v>
      </c>
      <c r="B9" s="55">
        <v>30.4</v>
      </c>
      <c r="C9" s="55">
        <v>30.7</v>
      </c>
      <c r="D9" s="55">
        <v>31.5</v>
      </c>
      <c r="E9" s="55">
        <v>31.9</v>
      </c>
      <c r="F9" s="56">
        <v>31.9</v>
      </c>
      <c r="G9" s="56">
        <v>32.200000000000003</v>
      </c>
      <c r="H9" s="57">
        <v>32.799999999999997</v>
      </c>
      <c r="I9" s="57">
        <v>32.9</v>
      </c>
      <c r="J9" s="57">
        <v>33.200000000000003</v>
      </c>
      <c r="K9" s="57">
        <v>33.607999999999997</v>
      </c>
      <c r="L9" s="56">
        <v>33.988999999999997</v>
      </c>
      <c r="M9" s="57">
        <v>33.673000000000002</v>
      </c>
      <c r="N9" s="56">
        <v>33.914999999999999</v>
      </c>
      <c r="O9" s="57">
        <v>34.000999999999998</v>
      </c>
      <c r="P9" s="56">
        <v>34.430999999999997</v>
      </c>
      <c r="Q9" s="57">
        <v>34.658999999999999</v>
      </c>
      <c r="R9" s="56">
        <v>35.03</v>
      </c>
    </row>
    <row r="10" spans="1:18" x14ac:dyDescent="0.2">
      <c r="A10" s="43" t="s">
        <v>145</v>
      </c>
      <c r="B10" s="55">
        <v>20.399999999999999</v>
      </c>
      <c r="C10" s="55">
        <v>20.6</v>
      </c>
      <c r="D10" s="55">
        <v>20.7</v>
      </c>
      <c r="E10" s="55">
        <v>20.8</v>
      </c>
      <c r="F10" s="56">
        <v>20.9</v>
      </c>
      <c r="G10" s="56">
        <v>21</v>
      </c>
      <c r="H10" s="57">
        <v>21.3</v>
      </c>
      <c r="I10" s="57">
        <v>21.6</v>
      </c>
      <c r="J10" s="57">
        <v>21.6</v>
      </c>
      <c r="K10" s="57">
        <v>21.698</v>
      </c>
      <c r="L10" s="56">
        <v>21.8</v>
      </c>
      <c r="M10" s="57">
        <v>21.635000000000002</v>
      </c>
      <c r="N10" s="56">
        <v>21.722000000000001</v>
      </c>
      <c r="O10" s="57">
        <v>21.876999999999999</v>
      </c>
      <c r="P10" s="56">
        <v>22.295999999999999</v>
      </c>
      <c r="Q10" s="57">
        <v>22.349</v>
      </c>
      <c r="R10" s="56">
        <v>22.698</v>
      </c>
    </row>
    <row r="11" spans="1:18" x14ac:dyDescent="0.2">
      <c r="A11" s="43" t="s">
        <v>144</v>
      </c>
      <c r="B11" s="55">
        <v>31.6</v>
      </c>
      <c r="C11" s="55">
        <v>31.9</v>
      </c>
      <c r="D11" s="55">
        <v>32.299999999999997</v>
      </c>
      <c r="E11" s="55">
        <v>32.5</v>
      </c>
      <c r="F11" s="56">
        <v>32.799999999999997</v>
      </c>
      <c r="G11" s="56">
        <v>33.1</v>
      </c>
      <c r="H11" s="57">
        <v>33.4</v>
      </c>
      <c r="I11" s="57">
        <v>33.6</v>
      </c>
      <c r="J11" s="57">
        <v>33.5</v>
      </c>
      <c r="K11" s="57">
        <v>33.597000000000001</v>
      </c>
      <c r="L11" s="56">
        <v>33.869</v>
      </c>
      <c r="M11" s="57">
        <v>33.633000000000003</v>
      </c>
      <c r="N11" s="56">
        <v>34.082000000000001</v>
      </c>
      <c r="O11" s="57">
        <v>34.228999999999999</v>
      </c>
      <c r="P11" s="56">
        <v>35.347000000000001</v>
      </c>
      <c r="Q11" s="57">
        <v>35.462000000000003</v>
      </c>
      <c r="R11" s="56">
        <v>35.96</v>
      </c>
    </row>
    <row r="12" spans="1:18" x14ac:dyDescent="0.2">
      <c r="A12" s="43" t="s">
        <v>143</v>
      </c>
      <c r="B12" s="55">
        <v>47.3</v>
      </c>
      <c r="C12" s="55">
        <v>47.9</v>
      </c>
      <c r="D12" s="55">
        <v>49.1</v>
      </c>
      <c r="E12" s="55">
        <v>49.8</v>
      </c>
      <c r="F12" s="56">
        <v>50.5</v>
      </c>
      <c r="G12" s="56">
        <v>51.1</v>
      </c>
      <c r="H12" s="57">
        <v>51.2</v>
      </c>
      <c r="I12" s="57">
        <v>51.8</v>
      </c>
      <c r="J12" s="57">
        <v>51.8</v>
      </c>
      <c r="K12" s="57">
        <v>51.725999999999999</v>
      </c>
      <c r="L12" s="56">
        <v>52.515000000000001</v>
      </c>
      <c r="M12" s="57">
        <v>52.021999999999998</v>
      </c>
      <c r="N12" s="56">
        <v>52.585999999999999</v>
      </c>
      <c r="O12" s="57">
        <v>52.881999999999998</v>
      </c>
      <c r="P12" s="56">
        <v>54.320999999999998</v>
      </c>
      <c r="Q12" s="57">
        <v>54.43</v>
      </c>
      <c r="R12" s="56">
        <v>55.914000000000001</v>
      </c>
    </row>
    <row r="13" spans="1:18" x14ac:dyDescent="0.2">
      <c r="A13" s="43" t="s">
        <v>142</v>
      </c>
      <c r="B13" s="55">
        <v>92.6</v>
      </c>
      <c r="C13" s="55">
        <v>93.4</v>
      </c>
      <c r="D13" s="55">
        <v>94.6</v>
      </c>
      <c r="E13" s="55">
        <v>95.1</v>
      </c>
      <c r="F13" s="56">
        <v>95.1</v>
      </c>
      <c r="G13" s="56">
        <v>95.6</v>
      </c>
      <c r="H13" s="57">
        <v>96.5</v>
      </c>
      <c r="I13" s="57">
        <v>97</v>
      </c>
      <c r="J13" s="57">
        <v>99.1</v>
      </c>
      <c r="K13" s="57">
        <v>100.61799999999999</v>
      </c>
      <c r="L13" s="56">
        <v>100.04600000000001</v>
      </c>
      <c r="M13" s="57">
        <v>101.26600000000001</v>
      </c>
      <c r="N13" s="56">
        <v>101.26</v>
      </c>
      <c r="O13" s="57">
        <v>102.69199999999999</v>
      </c>
      <c r="P13" s="56">
        <v>102.208</v>
      </c>
      <c r="Q13" s="57">
        <v>103.303</v>
      </c>
      <c r="R13" s="56">
        <v>103.999</v>
      </c>
    </row>
    <row r="14" spans="1:18" x14ac:dyDescent="0.2">
      <c r="A14" s="43" t="s">
        <v>141</v>
      </c>
      <c r="B14" s="55">
        <v>54.1</v>
      </c>
      <c r="C14" s="55">
        <v>54.2</v>
      </c>
      <c r="D14" s="55">
        <v>54.2</v>
      </c>
      <c r="E14" s="55">
        <v>54.3</v>
      </c>
      <c r="F14" s="56">
        <v>54.1</v>
      </c>
      <c r="G14" s="56">
        <v>54.2</v>
      </c>
      <c r="H14" s="57">
        <v>54.6</v>
      </c>
      <c r="I14" s="57">
        <v>54.9</v>
      </c>
      <c r="J14" s="57">
        <v>55.7</v>
      </c>
      <c r="K14" s="57">
        <v>56.595999999999997</v>
      </c>
      <c r="L14" s="56">
        <v>56.667999999999999</v>
      </c>
      <c r="M14" s="57">
        <v>56.137999999999998</v>
      </c>
      <c r="N14" s="56">
        <v>56.978999999999999</v>
      </c>
      <c r="O14" s="57">
        <v>57.118000000000002</v>
      </c>
      <c r="P14" s="56">
        <v>57.701000000000001</v>
      </c>
      <c r="Q14" s="57">
        <v>58.179000000000002</v>
      </c>
      <c r="R14" s="56">
        <v>58.487000000000002</v>
      </c>
    </row>
    <row r="15" spans="1:18" x14ac:dyDescent="0.2">
      <c r="A15" s="43" t="s">
        <v>140</v>
      </c>
      <c r="B15" s="55">
        <v>147</v>
      </c>
      <c r="C15" s="55">
        <v>148.19999999999999</v>
      </c>
      <c r="D15" s="55">
        <v>149.69999999999999</v>
      </c>
      <c r="E15" s="55">
        <v>151.19999999999999</v>
      </c>
      <c r="F15" s="56">
        <v>152.1</v>
      </c>
      <c r="G15" s="56">
        <v>153.30000000000001</v>
      </c>
      <c r="H15" s="57">
        <v>155.19999999999999</v>
      </c>
      <c r="I15" s="57">
        <v>157.19999999999999</v>
      </c>
      <c r="J15" s="57">
        <v>158.6</v>
      </c>
      <c r="K15" s="57">
        <v>161.19499999999999</v>
      </c>
      <c r="L15" s="56">
        <v>160.91800000000001</v>
      </c>
      <c r="M15" s="57">
        <v>160.70699999999999</v>
      </c>
      <c r="N15" s="56">
        <v>162.08699999999999</v>
      </c>
      <c r="O15" s="57">
        <v>162.78299999999999</v>
      </c>
      <c r="P15" s="56">
        <v>165.61500000000001</v>
      </c>
      <c r="Q15" s="57">
        <v>166.78399999999999</v>
      </c>
      <c r="R15" s="56">
        <v>167.72800000000001</v>
      </c>
    </row>
    <row r="16" spans="1:18" x14ac:dyDescent="0.2">
      <c r="A16" s="43" t="s">
        <v>139</v>
      </c>
      <c r="B16" s="55">
        <v>34.200000000000003</v>
      </c>
      <c r="C16" s="55">
        <v>34.4</v>
      </c>
      <c r="D16" s="55">
        <v>34.799999999999997</v>
      </c>
      <c r="E16" s="55">
        <v>35.1</v>
      </c>
      <c r="F16" s="56">
        <v>35.200000000000003</v>
      </c>
      <c r="G16" s="56">
        <v>35.6</v>
      </c>
      <c r="H16" s="57">
        <v>35.799999999999997</v>
      </c>
      <c r="I16" s="57">
        <v>36.200000000000003</v>
      </c>
      <c r="J16" s="57">
        <v>36.5</v>
      </c>
      <c r="K16" s="57">
        <v>36.28</v>
      </c>
      <c r="L16" s="56">
        <v>36.877000000000002</v>
      </c>
      <c r="M16" s="57">
        <v>36.631</v>
      </c>
      <c r="N16" s="56">
        <v>36.808999999999997</v>
      </c>
      <c r="O16" s="57">
        <v>37.128999999999998</v>
      </c>
      <c r="P16" s="56">
        <v>37.688000000000002</v>
      </c>
      <c r="Q16" s="57">
        <v>37.770000000000003</v>
      </c>
      <c r="R16" s="56">
        <v>37.628999999999998</v>
      </c>
    </row>
    <row r="17" spans="1:18" s="40" customFormat="1" x14ac:dyDescent="0.2">
      <c r="A17" s="41" t="s">
        <v>138</v>
      </c>
      <c r="B17" s="52">
        <v>212.4</v>
      </c>
      <c r="C17" s="52">
        <v>212.8</v>
      </c>
      <c r="D17" s="52">
        <v>214.1</v>
      </c>
      <c r="E17" s="52">
        <v>213.5</v>
      </c>
      <c r="F17" s="53">
        <v>213.3</v>
      </c>
      <c r="G17" s="53">
        <v>214</v>
      </c>
      <c r="H17" s="54">
        <v>215.2</v>
      </c>
      <c r="I17" s="54">
        <v>215.9</v>
      </c>
      <c r="J17" s="54">
        <v>217.9</v>
      </c>
      <c r="K17" s="54">
        <v>218.76499999999999</v>
      </c>
      <c r="L17" s="187">
        <v>217.626</v>
      </c>
      <c r="M17" s="54">
        <v>217.80699999999999</v>
      </c>
      <c r="N17" s="187">
        <v>219.03200000000001</v>
      </c>
      <c r="O17" s="54">
        <v>220.90299999999999</v>
      </c>
      <c r="P17" s="187">
        <v>223.72300000000001</v>
      </c>
      <c r="Q17" s="54">
        <v>223.548</v>
      </c>
      <c r="R17" s="187">
        <v>224.12299999999999</v>
      </c>
    </row>
    <row r="18" spans="1:18" x14ac:dyDescent="0.2">
      <c r="A18" s="43" t="s">
        <v>137</v>
      </c>
      <c r="B18" s="55">
        <v>46.9</v>
      </c>
      <c r="C18" s="55">
        <v>47</v>
      </c>
      <c r="D18" s="55">
        <v>47.4</v>
      </c>
      <c r="E18" s="55">
        <v>47</v>
      </c>
      <c r="F18" s="56">
        <v>46.9</v>
      </c>
      <c r="G18" s="56">
        <v>47</v>
      </c>
      <c r="H18" s="57">
        <v>47.7</v>
      </c>
      <c r="I18" s="57">
        <v>47.5</v>
      </c>
      <c r="J18" s="57">
        <v>48.2</v>
      </c>
      <c r="K18" s="57">
        <v>48.218000000000004</v>
      </c>
      <c r="L18" s="56">
        <v>47.904000000000003</v>
      </c>
      <c r="M18" s="57">
        <v>47.728000000000002</v>
      </c>
      <c r="N18" s="56">
        <v>48.320999999999998</v>
      </c>
      <c r="O18" s="57">
        <v>48.902999999999999</v>
      </c>
      <c r="P18" s="56">
        <v>50.204000000000001</v>
      </c>
      <c r="Q18" s="57">
        <v>50.317999999999998</v>
      </c>
      <c r="R18" s="56">
        <v>50.634999999999998</v>
      </c>
    </row>
    <row r="19" spans="1:18" x14ac:dyDescent="0.2">
      <c r="A19" s="43" t="s">
        <v>136</v>
      </c>
      <c r="B19" s="55">
        <v>16.7</v>
      </c>
      <c r="C19" s="55">
        <v>16.8</v>
      </c>
      <c r="D19" s="55">
        <v>16.8</v>
      </c>
      <c r="E19" s="55">
        <v>16.600000000000001</v>
      </c>
      <c r="F19" s="56">
        <v>16.399999999999999</v>
      </c>
      <c r="G19" s="56">
        <v>16.5</v>
      </c>
      <c r="H19" s="57">
        <v>16.5</v>
      </c>
      <c r="I19" s="57">
        <v>16.600000000000001</v>
      </c>
      <c r="J19" s="57">
        <v>16.8</v>
      </c>
      <c r="K19" s="57">
        <v>16.605</v>
      </c>
      <c r="L19" s="56">
        <v>16.315000000000001</v>
      </c>
      <c r="M19" s="57">
        <v>16.257999999999999</v>
      </c>
      <c r="N19" s="56">
        <v>16.010000000000002</v>
      </c>
      <c r="O19" s="57">
        <v>16.158999999999999</v>
      </c>
      <c r="P19" s="56">
        <v>16.422000000000001</v>
      </c>
      <c r="Q19" s="57">
        <v>16.452999999999999</v>
      </c>
      <c r="R19" s="56">
        <v>16.486000000000001</v>
      </c>
    </row>
    <row r="20" spans="1:18" x14ac:dyDescent="0.2">
      <c r="A20" s="43" t="s">
        <v>135</v>
      </c>
      <c r="B20" s="55">
        <v>38.1</v>
      </c>
      <c r="C20" s="55">
        <v>38.200000000000003</v>
      </c>
      <c r="D20" s="55">
        <v>38.5</v>
      </c>
      <c r="E20" s="55">
        <v>38.5</v>
      </c>
      <c r="F20" s="56">
        <v>38.6</v>
      </c>
      <c r="G20" s="56">
        <v>38.799999999999997</v>
      </c>
      <c r="H20" s="57">
        <v>38.700000000000003</v>
      </c>
      <c r="I20" s="57">
        <v>39.1</v>
      </c>
      <c r="J20" s="57">
        <v>39.4</v>
      </c>
      <c r="K20" s="57">
        <v>40.033999999999999</v>
      </c>
      <c r="L20" s="56">
        <v>40.978000000000002</v>
      </c>
      <c r="M20" s="57">
        <v>40.515000000000001</v>
      </c>
      <c r="N20" s="56">
        <v>40.944000000000003</v>
      </c>
      <c r="O20" s="57">
        <v>41.125999999999998</v>
      </c>
      <c r="P20" s="56">
        <v>40.972999999999999</v>
      </c>
      <c r="Q20" s="57">
        <v>41.055999999999997</v>
      </c>
      <c r="R20" s="56">
        <v>40.718000000000004</v>
      </c>
    </row>
    <row r="21" spans="1:18" x14ac:dyDescent="0.2">
      <c r="A21" s="43" t="s">
        <v>134</v>
      </c>
      <c r="B21" s="55">
        <v>24.3</v>
      </c>
      <c r="C21" s="55">
        <v>24.1</v>
      </c>
      <c r="D21" s="55">
        <v>24.5</v>
      </c>
      <c r="E21" s="55">
        <v>24.4</v>
      </c>
      <c r="F21" s="56">
        <v>24.2</v>
      </c>
      <c r="G21" s="56">
        <v>24.5</v>
      </c>
      <c r="H21" s="57">
        <v>24.6</v>
      </c>
      <c r="I21" s="57">
        <v>24.9</v>
      </c>
      <c r="J21" s="57">
        <v>25.2</v>
      </c>
      <c r="K21" s="57">
        <v>25.053000000000001</v>
      </c>
      <c r="L21" s="56">
        <v>24.943000000000001</v>
      </c>
      <c r="M21" s="57">
        <v>24.716999999999999</v>
      </c>
      <c r="N21" s="56">
        <v>24.946000000000002</v>
      </c>
      <c r="O21" s="57">
        <v>24.992000000000001</v>
      </c>
      <c r="P21" s="56">
        <v>25.393999999999998</v>
      </c>
      <c r="Q21" s="57">
        <v>25.094000000000001</v>
      </c>
      <c r="R21" s="56">
        <v>25.748000000000001</v>
      </c>
    </row>
    <row r="22" spans="1:18" x14ac:dyDescent="0.2">
      <c r="A22" s="43" t="s">
        <v>133</v>
      </c>
      <c r="B22" s="55">
        <v>43.8</v>
      </c>
      <c r="C22" s="55">
        <v>44.3</v>
      </c>
      <c r="D22" s="55">
        <v>44.4</v>
      </c>
      <c r="E22" s="55">
        <v>44.6</v>
      </c>
      <c r="F22" s="56">
        <v>44.8</v>
      </c>
      <c r="G22" s="56">
        <v>44.8</v>
      </c>
      <c r="H22" s="57">
        <v>43.8</v>
      </c>
      <c r="I22" s="57">
        <v>44.1</v>
      </c>
      <c r="J22" s="57">
        <v>44.1</v>
      </c>
      <c r="K22" s="57">
        <v>44.335000000000001</v>
      </c>
      <c r="L22" s="56">
        <v>44.134</v>
      </c>
      <c r="M22" s="57">
        <v>44.597999999999999</v>
      </c>
      <c r="N22" s="56">
        <v>44.621000000000002</v>
      </c>
      <c r="O22" s="57">
        <v>45.088999999999999</v>
      </c>
      <c r="P22" s="56">
        <v>45.898000000000003</v>
      </c>
      <c r="Q22" s="57">
        <v>45.749000000000002</v>
      </c>
      <c r="R22" s="56">
        <v>45.765999999999998</v>
      </c>
    </row>
    <row r="23" spans="1:18" x14ac:dyDescent="0.2">
      <c r="A23" s="43" t="s">
        <v>132</v>
      </c>
      <c r="B23" s="55">
        <v>12.8</v>
      </c>
      <c r="C23" s="55">
        <v>12.9</v>
      </c>
      <c r="D23" s="55">
        <v>12.8</v>
      </c>
      <c r="E23" s="55">
        <v>12.8</v>
      </c>
      <c r="F23" s="56">
        <v>12.9</v>
      </c>
      <c r="G23" s="56">
        <v>12.9</v>
      </c>
      <c r="H23" s="57">
        <v>12.9</v>
      </c>
      <c r="I23" s="57">
        <v>12.9</v>
      </c>
      <c r="J23" s="57">
        <v>12.9</v>
      </c>
      <c r="K23" s="57">
        <v>12.968999999999999</v>
      </c>
      <c r="L23" s="56">
        <v>12.847</v>
      </c>
      <c r="M23" s="57">
        <v>13.041</v>
      </c>
      <c r="N23" s="56">
        <v>13.128</v>
      </c>
      <c r="O23" s="57">
        <v>13.28</v>
      </c>
      <c r="P23" s="56">
        <v>13.315</v>
      </c>
      <c r="Q23" s="57">
        <v>13.323</v>
      </c>
      <c r="R23" s="56">
        <v>13.303000000000001</v>
      </c>
    </row>
    <row r="24" spans="1:18" x14ac:dyDescent="0.2">
      <c r="A24" s="43" t="s">
        <v>131</v>
      </c>
      <c r="B24" s="55">
        <v>18.600000000000001</v>
      </c>
      <c r="C24" s="55">
        <v>18.600000000000001</v>
      </c>
      <c r="D24" s="55">
        <v>18.8</v>
      </c>
      <c r="E24" s="55">
        <v>18.8</v>
      </c>
      <c r="F24" s="56">
        <v>18.7</v>
      </c>
      <c r="G24" s="56">
        <v>18.7</v>
      </c>
      <c r="H24" s="57">
        <v>18.7</v>
      </c>
      <c r="I24" s="57">
        <v>18.7</v>
      </c>
      <c r="J24" s="57">
        <v>19.100000000000001</v>
      </c>
      <c r="K24" s="57">
        <v>19.439</v>
      </c>
      <c r="L24" s="56">
        <v>18.431999999999999</v>
      </c>
      <c r="M24" s="57">
        <v>18.786000000000001</v>
      </c>
      <c r="N24" s="56">
        <v>18.838999999999999</v>
      </c>
      <c r="O24" s="57">
        <v>19.042000000000002</v>
      </c>
      <c r="P24" s="56">
        <v>19.148</v>
      </c>
      <c r="Q24" s="57">
        <v>19.172000000000001</v>
      </c>
      <c r="R24" s="56">
        <v>19.14</v>
      </c>
    </row>
    <row r="25" spans="1:18" x14ac:dyDescent="0.2">
      <c r="A25" s="43" t="s">
        <v>130</v>
      </c>
      <c r="B25" s="55">
        <v>11.1</v>
      </c>
      <c r="C25" s="55">
        <v>11</v>
      </c>
      <c r="D25" s="55">
        <v>10.9</v>
      </c>
      <c r="E25" s="55">
        <v>10.8</v>
      </c>
      <c r="F25" s="56">
        <v>10.8</v>
      </c>
      <c r="G25" s="56">
        <v>10.8</v>
      </c>
      <c r="H25" s="57">
        <v>12.2</v>
      </c>
      <c r="I25" s="57">
        <v>12.2</v>
      </c>
      <c r="J25" s="57">
        <v>12.1</v>
      </c>
      <c r="K25" s="57">
        <v>12.112</v>
      </c>
      <c r="L25" s="56">
        <v>12.073</v>
      </c>
      <c r="M25" s="57">
        <v>12.164</v>
      </c>
      <c r="N25" s="56">
        <v>12.223000000000001</v>
      </c>
      <c r="O25" s="57">
        <v>12.311999999999999</v>
      </c>
      <c r="P25" s="56">
        <v>12.369</v>
      </c>
      <c r="Q25" s="57">
        <v>12.382999999999999</v>
      </c>
      <c r="R25" s="56">
        <v>12.327</v>
      </c>
    </row>
    <row r="26" spans="1:18" x14ac:dyDescent="0.2">
      <c r="A26" s="41" t="s">
        <v>129</v>
      </c>
      <c r="B26" s="52">
        <v>247.9</v>
      </c>
      <c r="C26" s="52">
        <v>251.1</v>
      </c>
      <c r="D26" s="52">
        <v>254.1</v>
      </c>
      <c r="E26" s="52">
        <v>255.1</v>
      </c>
      <c r="F26" s="53">
        <v>254.5</v>
      </c>
      <c r="G26" s="53">
        <v>256.60000000000002</v>
      </c>
      <c r="H26" s="54">
        <v>259.2</v>
      </c>
      <c r="I26" s="54">
        <v>261.5</v>
      </c>
      <c r="J26" s="54">
        <v>264.10000000000002</v>
      </c>
      <c r="K26" s="54">
        <v>266.435</v>
      </c>
      <c r="L26" s="187">
        <v>265.846</v>
      </c>
      <c r="M26" s="54">
        <v>266.024</v>
      </c>
      <c r="N26" s="187">
        <v>270.346</v>
      </c>
      <c r="O26" s="54">
        <v>272.75700000000001</v>
      </c>
      <c r="P26" s="187">
        <v>277.67899999999997</v>
      </c>
      <c r="Q26" s="54">
        <v>278.5</v>
      </c>
      <c r="R26" s="187">
        <v>278.43299999999999</v>
      </c>
    </row>
    <row r="27" spans="1:18" x14ac:dyDescent="0.2">
      <c r="A27" s="43" t="s">
        <v>128</v>
      </c>
      <c r="B27" s="55">
        <v>42.2</v>
      </c>
      <c r="C27" s="55">
        <v>42.4</v>
      </c>
      <c r="D27" s="55">
        <v>42.7</v>
      </c>
      <c r="E27" s="55">
        <v>43.2</v>
      </c>
      <c r="F27" s="56">
        <v>42.8</v>
      </c>
      <c r="G27" s="56">
        <v>42.9</v>
      </c>
      <c r="H27" s="57">
        <v>43.6</v>
      </c>
      <c r="I27" s="57">
        <v>43.8</v>
      </c>
      <c r="J27" s="57">
        <v>44</v>
      </c>
      <c r="K27" s="57">
        <v>44.177</v>
      </c>
      <c r="L27" s="56">
        <v>43.835999999999999</v>
      </c>
      <c r="M27" s="57">
        <v>43.811999999999998</v>
      </c>
      <c r="N27" s="56">
        <v>44.18</v>
      </c>
      <c r="O27" s="57">
        <v>44.600999999999999</v>
      </c>
      <c r="P27" s="56">
        <v>45.296999999999997</v>
      </c>
      <c r="Q27" s="57">
        <v>45.353000000000002</v>
      </c>
      <c r="R27" s="56">
        <v>45.697000000000003</v>
      </c>
    </row>
    <row r="28" spans="1:18" x14ac:dyDescent="0.2">
      <c r="A28" s="43" t="s">
        <v>127</v>
      </c>
      <c r="B28" s="55">
        <v>69.099999999999994</v>
      </c>
      <c r="C28" s="55">
        <v>69.8</v>
      </c>
      <c r="D28" s="55">
        <v>70.2</v>
      </c>
      <c r="E28" s="55">
        <v>70.2</v>
      </c>
      <c r="F28" s="56">
        <v>69.8</v>
      </c>
      <c r="G28" s="56">
        <v>70.3</v>
      </c>
      <c r="H28" s="57">
        <v>70.3</v>
      </c>
      <c r="I28" s="57">
        <v>70.8</v>
      </c>
      <c r="J28" s="57">
        <v>71.7</v>
      </c>
      <c r="K28" s="57">
        <v>71.864999999999995</v>
      </c>
      <c r="L28" s="56">
        <v>70.843000000000004</v>
      </c>
      <c r="M28" s="57">
        <v>70.938999999999993</v>
      </c>
      <c r="N28" s="56">
        <v>72.412000000000006</v>
      </c>
      <c r="O28" s="57">
        <v>72.662999999999997</v>
      </c>
      <c r="P28" s="56">
        <v>73.691999999999993</v>
      </c>
      <c r="Q28" s="57">
        <v>73.715999999999994</v>
      </c>
      <c r="R28" s="56">
        <v>73.543999999999997</v>
      </c>
    </row>
    <row r="29" spans="1:18" x14ac:dyDescent="0.2">
      <c r="A29" s="43" t="s">
        <v>126</v>
      </c>
      <c r="B29" s="55">
        <v>85.9</v>
      </c>
      <c r="C29" s="55">
        <v>87.5</v>
      </c>
      <c r="D29" s="55">
        <v>89.3</v>
      </c>
      <c r="E29" s="55">
        <v>89.8</v>
      </c>
      <c r="F29" s="56">
        <v>90.4</v>
      </c>
      <c r="G29" s="56">
        <v>91.4</v>
      </c>
      <c r="H29" s="57">
        <v>92.8</v>
      </c>
      <c r="I29" s="57">
        <v>94.1</v>
      </c>
      <c r="J29" s="57">
        <v>95.3</v>
      </c>
      <c r="K29" s="57">
        <v>96.802999999999997</v>
      </c>
      <c r="L29" s="56">
        <v>96.346999999999994</v>
      </c>
      <c r="M29" s="57">
        <v>96.641999999999996</v>
      </c>
      <c r="N29" s="56">
        <v>98.099000000000004</v>
      </c>
      <c r="O29" s="57">
        <v>99.43</v>
      </c>
      <c r="P29" s="56">
        <v>101.907</v>
      </c>
      <c r="Q29" s="57">
        <v>102.565</v>
      </c>
      <c r="R29" s="56">
        <v>102.28100000000001</v>
      </c>
    </row>
    <row r="30" spans="1:18" s="40" customFormat="1" x14ac:dyDescent="0.2">
      <c r="A30" s="43" t="s">
        <v>125</v>
      </c>
      <c r="B30" s="55">
        <v>50.7</v>
      </c>
      <c r="C30" s="55">
        <v>51.4</v>
      </c>
      <c r="D30" s="55">
        <v>51.8</v>
      </c>
      <c r="E30" s="55">
        <v>52</v>
      </c>
      <c r="F30" s="56">
        <v>51.5</v>
      </c>
      <c r="G30" s="56">
        <v>52</v>
      </c>
      <c r="H30" s="57">
        <v>52.6</v>
      </c>
      <c r="I30" s="57">
        <v>52.7</v>
      </c>
      <c r="J30" s="57">
        <v>53.2</v>
      </c>
      <c r="K30" s="57">
        <v>53.59</v>
      </c>
      <c r="L30" s="56">
        <v>54.82</v>
      </c>
      <c r="M30" s="57">
        <v>54.631</v>
      </c>
      <c r="N30" s="56">
        <v>55.655000000000001</v>
      </c>
      <c r="O30" s="57">
        <v>56.063000000000002</v>
      </c>
      <c r="P30" s="56">
        <v>56.783000000000001</v>
      </c>
      <c r="Q30" s="57">
        <v>56.866</v>
      </c>
      <c r="R30" s="56">
        <v>56.911000000000001</v>
      </c>
    </row>
    <row r="31" spans="1:18" x14ac:dyDescent="0.2">
      <c r="A31" s="41" t="s">
        <v>124</v>
      </c>
      <c r="B31" s="52">
        <v>183.8</v>
      </c>
      <c r="C31" s="52">
        <v>185.2</v>
      </c>
      <c r="D31" s="52">
        <v>186</v>
      </c>
      <c r="E31" s="52">
        <v>186.7</v>
      </c>
      <c r="F31" s="53">
        <v>186.8</v>
      </c>
      <c r="G31" s="53">
        <v>186.9</v>
      </c>
      <c r="H31" s="54">
        <v>187.9</v>
      </c>
      <c r="I31" s="54">
        <v>189</v>
      </c>
      <c r="J31" s="54">
        <v>190.2</v>
      </c>
      <c r="K31" s="54">
        <v>191.27600000000001</v>
      </c>
      <c r="L31" s="191">
        <v>192.03</v>
      </c>
      <c r="M31" s="192">
        <v>191.49199999999999</v>
      </c>
      <c r="N31" s="187">
        <v>192.16900000000001</v>
      </c>
      <c r="O31" s="192">
        <v>193.57</v>
      </c>
      <c r="P31" s="187">
        <v>195.37799999999999</v>
      </c>
      <c r="Q31" s="192">
        <v>195.61</v>
      </c>
      <c r="R31" s="187">
        <v>196.964</v>
      </c>
    </row>
    <row r="32" spans="1:18" x14ac:dyDescent="0.2">
      <c r="A32" s="43" t="s">
        <v>123</v>
      </c>
      <c r="B32" s="55">
        <v>23.2</v>
      </c>
      <c r="C32" s="55">
        <v>23.4</v>
      </c>
      <c r="D32" s="55">
        <v>23.4</v>
      </c>
      <c r="E32" s="55">
        <v>23.3</v>
      </c>
      <c r="F32" s="56">
        <v>23.3</v>
      </c>
      <c r="G32" s="56">
        <v>23.2</v>
      </c>
      <c r="H32" s="57">
        <v>23.1</v>
      </c>
      <c r="I32" s="57">
        <v>23.1</v>
      </c>
      <c r="J32" s="57">
        <v>23.2</v>
      </c>
      <c r="K32" s="57">
        <v>23.344999999999999</v>
      </c>
      <c r="L32" s="56">
        <v>23.279</v>
      </c>
      <c r="M32" s="57">
        <v>23.218</v>
      </c>
      <c r="N32" s="56">
        <v>23.422999999999998</v>
      </c>
      <c r="O32" s="57">
        <v>23.454000000000001</v>
      </c>
      <c r="P32" s="56">
        <v>23.475000000000001</v>
      </c>
      <c r="Q32" s="57">
        <v>23.5</v>
      </c>
      <c r="R32" s="56">
        <v>23.818999999999999</v>
      </c>
    </row>
    <row r="33" spans="1:18" x14ac:dyDescent="0.2">
      <c r="A33" s="43" t="s">
        <v>122</v>
      </c>
      <c r="B33" s="55">
        <v>27.6</v>
      </c>
      <c r="C33" s="55">
        <v>27.9</v>
      </c>
      <c r="D33" s="55">
        <v>27.9</v>
      </c>
      <c r="E33" s="55">
        <v>27.8</v>
      </c>
      <c r="F33" s="56">
        <v>27.8</v>
      </c>
      <c r="G33" s="56">
        <v>27.7</v>
      </c>
      <c r="H33" s="57">
        <v>27.7</v>
      </c>
      <c r="I33" s="57">
        <v>27.8</v>
      </c>
      <c r="J33" s="57">
        <v>28</v>
      </c>
      <c r="K33" s="57">
        <v>28.26</v>
      </c>
      <c r="L33" s="56">
        <v>28.265999999999998</v>
      </c>
      <c r="M33" s="57">
        <v>28.18</v>
      </c>
      <c r="N33" s="56">
        <v>27.952999999999999</v>
      </c>
      <c r="O33" s="57">
        <v>28.494</v>
      </c>
      <c r="P33" s="56">
        <v>28.579000000000001</v>
      </c>
      <c r="Q33" s="57">
        <v>28.645</v>
      </c>
      <c r="R33" s="56">
        <v>28.765999999999998</v>
      </c>
    </row>
    <row r="34" spans="1:18" x14ac:dyDescent="0.2">
      <c r="A34" s="43" t="s">
        <v>121</v>
      </c>
      <c r="B34" s="55">
        <v>16.399999999999999</v>
      </c>
      <c r="C34" s="55">
        <v>16.399999999999999</v>
      </c>
      <c r="D34" s="55">
        <v>16.3</v>
      </c>
      <c r="E34" s="55">
        <v>16.399999999999999</v>
      </c>
      <c r="F34" s="56">
        <v>16.2</v>
      </c>
      <c r="G34" s="56">
        <v>16.3</v>
      </c>
      <c r="H34" s="57">
        <v>16.399999999999999</v>
      </c>
      <c r="I34" s="57">
        <v>16.7</v>
      </c>
      <c r="J34" s="57">
        <v>16.7</v>
      </c>
      <c r="K34" s="57">
        <v>16.672000000000001</v>
      </c>
      <c r="L34" s="207">
        <v>16.893999999999998</v>
      </c>
      <c r="M34" s="208">
        <v>16.809999999999999</v>
      </c>
      <c r="N34" s="207">
        <v>16.794</v>
      </c>
      <c r="O34" s="208">
        <v>16.968</v>
      </c>
      <c r="P34" s="207">
        <v>16.963000000000001</v>
      </c>
      <c r="Q34" s="208">
        <v>17.004000000000001</v>
      </c>
      <c r="R34" s="207">
        <v>17.105</v>
      </c>
    </row>
    <row r="35" spans="1:18" x14ac:dyDescent="0.2">
      <c r="A35" s="43" t="s">
        <v>120</v>
      </c>
      <c r="B35" s="55">
        <v>44.1</v>
      </c>
      <c r="C35" s="55">
        <v>44.5</v>
      </c>
      <c r="D35" s="55">
        <v>44.8</v>
      </c>
      <c r="E35" s="55">
        <v>44.9</v>
      </c>
      <c r="F35" s="56">
        <v>45.1</v>
      </c>
      <c r="G35" s="56">
        <v>45.2</v>
      </c>
      <c r="H35" s="57">
        <v>45.5</v>
      </c>
      <c r="I35" s="57">
        <v>45.9</v>
      </c>
      <c r="J35" s="57">
        <v>46.5</v>
      </c>
      <c r="K35" s="57">
        <v>46.87</v>
      </c>
      <c r="L35" s="56">
        <v>47.423000000000002</v>
      </c>
      <c r="M35" s="57">
        <v>47.412999999999997</v>
      </c>
      <c r="N35" s="56">
        <v>47.527999999999999</v>
      </c>
      <c r="O35" s="57">
        <v>47.878</v>
      </c>
      <c r="P35" s="56">
        <v>48.052</v>
      </c>
      <c r="Q35" s="57">
        <v>48.018000000000001</v>
      </c>
      <c r="R35" s="56">
        <v>48.463000000000001</v>
      </c>
    </row>
    <row r="36" spans="1:18" x14ac:dyDescent="0.2">
      <c r="A36" s="43" t="s">
        <v>119</v>
      </c>
      <c r="B36" s="55">
        <v>50.4</v>
      </c>
      <c r="C36" s="55">
        <v>50.7</v>
      </c>
      <c r="D36" s="55">
        <v>51.3</v>
      </c>
      <c r="E36" s="55">
        <v>51.7</v>
      </c>
      <c r="F36" s="56">
        <v>52</v>
      </c>
      <c r="G36" s="56">
        <v>52</v>
      </c>
      <c r="H36" s="57">
        <v>52.6</v>
      </c>
      <c r="I36" s="57">
        <v>53.2</v>
      </c>
      <c r="J36" s="57">
        <v>53.4</v>
      </c>
      <c r="K36" s="57">
        <v>53.695</v>
      </c>
      <c r="L36" s="56">
        <v>53.706000000000003</v>
      </c>
      <c r="M36" s="57">
        <v>53.543999999999997</v>
      </c>
      <c r="N36" s="56">
        <v>53.994999999999997</v>
      </c>
      <c r="O36" s="57">
        <v>54.137</v>
      </c>
      <c r="P36" s="56">
        <v>55.578000000000003</v>
      </c>
      <c r="Q36" s="57">
        <v>55.631</v>
      </c>
      <c r="R36" s="56">
        <v>55.819000000000003</v>
      </c>
    </row>
    <row r="37" spans="1:18" x14ac:dyDescent="0.2">
      <c r="A37" s="43" t="s">
        <v>118</v>
      </c>
      <c r="B37" s="55">
        <v>22.1</v>
      </c>
      <c r="C37" s="55">
        <v>22.3</v>
      </c>
      <c r="D37" s="55">
        <v>22.4</v>
      </c>
      <c r="E37" s="55">
        <v>22.6</v>
      </c>
      <c r="F37" s="56">
        <v>22.5</v>
      </c>
      <c r="G37" s="56">
        <v>22.5</v>
      </c>
      <c r="H37" s="57">
        <v>22.5</v>
      </c>
      <c r="I37" s="57">
        <v>22.4</v>
      </c>
      <c r="J37" s="57">
        <v>22.4</v>
      </c>
      <c r="K37" s="57">
        <v>22.434000000000001</v>
      </c>
      <c r="L37" s="56">
        <v>22.462</v>
      </c>
      <c r="M37" s="57">
        <v>22.327000000000002</v>
      </c>
      <c r="N37" s="56">
        <v>22.475999999999999</v>
      </c>
      <c r="O37" s="57">
        <v>22.638999999999999</v>
      </c>
      <c r="P37" s="56">
        <v>22.731000000000002</v>
      </c>
      <c r="Q37" s="57">
        <v>22.812000000000001</v>
      </c>
      <c r="R37" s="56">
        <v>22.992000000000001</v>
      </c>
    </row>
    <row r="38" spans="1:18" x14ac:dyDescent="0.2">
      <c r="A38" s="41" t="s">
        <v>117</v>
      </c>
      <c r="B38" s="52">
        <v>26</v>
      </c>
      <c r="C38" s="52">
        <v>26.5</v>
      </c>
      <c r="D38" s="52">
        <v>26.9</v>
      </c>
      <c r="E38" s="52">
        <v>27.4</v>
      </c>
      <c r="F38" s="53">
        <v>27.5</v>
      </c>
      <c r="G38" s="53">
        <v>28</v>
      </c>
      <c r="H38" s="54">
        <v>28.6</v>
      </c>
      <c r="I38" s="54">
        <v>29</v>
      </c>
      <c r="J38" s="54">
        <v>29.3</v>
      </c>
      <c r="K38" s="54">
        <v>29.79</v>
      </c>
      <c r="L38" s="187">
        <v>30.027000000000001</v>
      </c>
      <c r="M38" s="54">
        <v>29.965</v>
      </c>
      <c r="N38" s="187">
        <v>30.399000000000001</v>
      </c>
      <c r="O38" s="54">
        <v>30.308</v>
      </c>
      <c r="P38" s="187">
        <v>30.756</v>
      </c>
      <c r="Q38" s="54">
        <v>30.928999999999998</v>
      </c>
      <c r="R38" s="187">
        <v>31.15</v>
      </c>
    </row>
    <row r="39" spans="1:18" s="40" customFormat="1" x14ac:dyDescent="0.2">
      <c r="A39" s="43" t="s">
        <v>116</v>
      </c>
      <c r="B39" s="55">
        <v>14.1</v>
      </c>
      <c r="C39" s="55">
        <v>14.4</v>
      </c>
      <c r="D39" s="55">
        <v>14.6</v>
      </c>
      <c r="E39" s="55">
        <v>15</v>
      </c>
      <c r="F39" s="56">
        <v>15</v>
      </c>
      <c r="G39" s="56">
        <v>15.4</v>
      </c>
      <c r="H39" s="57">
        <v>15.7</v>
      </c>
      <c r="I39" s="57">
        <v>17</v>
      </c>
      <c r="J39" s="57">
        <v>17.2</v>
      </c>
      <c r="K39" s="57">
        <v>17.510000000000002</v>
      </c>
      <c r="L39" s="56">
        <v>17.559999999999999</v>
      </c>
      <c r="M39" s="57">
        <v>17.52</v>
      </c>
      <c r="N39" s="56">
        <v>17.736999999999998</v>
      </c>
      <c r="O39" s="57">
        <v>17.710999999999999</v>
      </c>
      <c r="P39" s="56">
        <v>17.933</v>
      </c>
      <c r="Q39" s="57">
        <v>17.968</v>
      </c>
      <c r="R39" s="56">
        <v>18.152999999999999</v>
      </c>
    </row>
    <row r="40" spans="1:18" x14ac:dyDescent="0.2">
      <c r="A40" s="43" t="s">
        <v>115</v>
      </c>
      <c r="B40" s="55">
        <v>11.9</v>
      </c>
      <c r="C40" s="55">
        <v>12.1</v>
      </c>
      <c r="D40" s="55">
        <v>12.3</v>
      </c>
      <c r="E40" s="55">
        <v>12.4</v>
      </c>
      <c r="F40" s="56">
        <v>12.5</v>
      </c>
      <c r="G40" s="56">
        <v>12.6</v>
      </c>
      <c r="H40" s="57">
        <v>13</v>
      </c>
      <c r="I40" s="57">
        <v>12</v>
      </c>
      <c r="J40" s="57">
        <v>12.1</v>
      </c>
      <c r="K40" s="57">
        <v>12.28</v>
      </c>
      <c r="L40" s="56">
        <v>12.467000000000001</v>
      </c>
      <c r="M40" s="57">
        <v>12.445</v>
      </c>
      <c r="N40" s="56">
        <v>12.662000000000001</v>
      </c>
      <c r="O40" s="57">
        <v>12.597</v>
      </c>
      <c r="P40" s="56">
        <v>12.823</v>
      </c>
      <c r="Q40" s="57">
        <v>12.961</v>
      </c>
      <c r="R40" s="56">
        <v>12.997</v>
      </c>
    </row>
    <row r="41" spans="1:18" x14ac:dyDescent="0.2">
      <c r="A41" s="41" t="s">
        <v>114</v>
      </c>
      <c r="B41" s="52">
        <v>403.3</v>
      </c>
      <c r="C41" s="52">
        <v>403.6</v>
      </c>
      <c r="D41" s="52">
        <v>404.2</v>
      </c>
      <c r="E41" s="52">
        <v>403.6</v>
      </c>
      <c r="F41" s="53">
        <v>404.1</v>
      </c>
      <c r="G41" s="53">
        <v>403.3</v>
      </c>
      <c r="H41" s="54">
        <v>405.6</v>
      </c>
      <c r="I41" s="54">
        <v>407.5</v>
      </c>
      <c r="J41" s="54">
        <v>409.9</v>
      </c>
      <c r="K41" s="54">
        <v>409.3</v>
      </c>
      <c r="L41" s="187">
        <v>413.75400000000002</v>
      </c>
      <c r="M41" s="54">
        <v>413.327</v>
      </c>
      <c r="N41" s="187">
        <v>414.08300000000003</v>
      </c>
      <c r="O41" s="54">
        <v>417.44400000000002</v>
      </c>
      <c r="P41" s="187">
        <v>421.27100000000002</v>
      </c>
      <c r="Q41" s="54">
        <v>422.596</v>
      </c>
      <c r="R41" s="187">
        <v>424.28699999999998</v>
      </c>
    </row>
    <row r="42" spans="1:18" x14ac:dyDescent="0.2">
      <c r="A42" s="43" t="s">
        <v>113</v>
      </c>
      <c r="B42" s="55">
        <v>82.8</v>
      </c>
      <c r="C42" s="55">
        <v>83</v>
      </c>
      <c r="D42" s="55">
        <v>83.3</v>
      </c>
      <c r="E42" s="55">
        <v>83.2</v>
      </c>
      <c r="F42" s="56">
        <v>83.6</v>
      </c>
      <c r="G42" s="56">
        <v>83.8</v>
      </c>
      <c r="H42" s="57">
        <v>84.3</v>
      </c>
      <c r="I42" s="57">
        <v>84.7</v>
      </c>
      <c r="J42" s="57">
        <v>85.8</v>
      </c>
      <c r="K42" s="57">
        <v>86.296000000000006</v>
      </c>
      <c r="L42" s="56">
        <v>87.058000000000007</v>
      </c>
      <c r="M42" s="57">
        <v>86.831000000000003</v>
      </c>
      <c r="N42" s="56">
        <v>86.661000000000001</v>
      </c>
      <c r="O42" s="57">
        <v>87.251000000000005</v>
      </c>
      <c r="P42" s="56">
        <v>88.073999999999998</v>
      </c>
      <c r="Q42" s="57">
        <v>87.938999999999993</v>
      </c>
      <c r="R42" s="56">
        <v>88.756</v>
      </c>
    </row>
    <row r="43" spans="1:18" x14ac:dyDescent="0.2">
      <c r="A43" s="43" t="s">
        <v>112</v>
      </c>
      <c r="B43" s="55">
        <v>48.8</v>
      </c>
      <c r="C43" s="55">
        <v>48.8</v>
      </c>
      <c r="D43" s="55">
        <v>48.5</v>
      </c>
      <c r="E43" s="55">
        <v>48.8</v>
      </c>
      <c r="F43" s="56">
        <v>49.4</v>
      </c>
      <c r="G43" s="56">
        <v>49</v>
      </c>
      <c r="H43" s="57">
        <v>49.3</v>
      </c>
      <c r="I43" s="57">
        <v>49.8</v>
      </c>
      <c r="J43" s="57">
        <v>50</v>
      </c>
      <c r="K43" s="57">
        <v>50.43</v>
      </c>
      <c r="L43" s="56">
        <v>50.860999999999997</v>
      </c>
      <c r="M43" s="57">
        <v>50.643000000000001</v>
      </c>
      <c r="N43" s="56">
        <v>50.456000000000003</v>
      </c>
      <c r="O43" s="57">
        <v>50.863</v>
      </c>
      <c r="P43" s="56">
        <v>51.576999999999998</v>
      </c>
      <c r="Q43" s="57">
        <v>51.878999999999998</v>
      </c>
      <c r="R43" s="56">
        <v>52.142000000000003</v>
      </c>
    </row>
    <row r="44" spans="1:18" s="40" customFormat="1" x14ac:dyDescent="0.2">
      <c r="A44" s="43" t="s">
        <v>111</v>
      </c>
      <c r="B44" s="55">
        <v>20</v>
      </c>
      <c r="C44" s="55">
        <v>19.8</v>
      </c>
      <c r="D44" s="55">
        <v>20</v>
      </c>
      <c r="E44" s="55">
        <v>20.100000000000001</v>
      </c>
      <c r="F44" s="56">
        <v>19.899999999999999</v>
      </c>
      <c r="G44" s="56">
        <v>19.7</v>
      </c>
      <c r="H44" s="57">
        <v>19.8</v>
      </c>
      <c r="I44" s="57">
        <v>19.7</v>
      </c>
      <c r="J44" s="57">
        <v>19.7</v>
      </c>
      <c r="K44" s="57">
        <v>19.687000000000001</v>
      </c>
      <c r="L44" s="56">
        <v>19.648</v>
      </c>
      <c r="M44" s="57">
        <v>19.899999999999999</v>
      </c>
      <c r="N44" s="56">
        <v>19.683</v>
      </c>
      <c r="O44" s="57">
        <v>19.814</v>
      </c>
      <c r="P44" s="56">
        <v>19.747</v>
      </c>
      <c r="Q44" s="57">
        <v>19.783000000000001</v>
      </c>
      <c r="R44" s="56">
        <v>19.603999999999999</v>
      </c>
    </row>
    <row r="45" spans="1:18" x14ac:dyDescent="0.2">
      <c r="A45" s="43" t="s">
        <v>110</v>
      </c>
      <c r="B45" s="55">
        <v>19.899999999999999</v>
      </c>
      <c r="C45" s="55">
        <v>20</v>
      </c>
      <c r="D45" s="55">
        <v>20</v>
      </c>
      <c r="E45" s="55">
        <v>20.2</v>
      </c>
      <c r="F45" s="56">
        <v>20.3</v>
      </c>
      <c r="G45" s="56">
        <v>20.2</v>
      </c>
      <c r="H45" s="57">
        <v>20.399999999999999</v>
      </c>
      <c r="I45" s="57">
        <v>20.5</v>
      </c>
      <c r="J45" s="57">
        <v>20.6</v>
      </c>
      <c r="K45" s="57">
        <v>20.709</v>
      </c>
      <c r="L45" s="56">
        <v>20.928999999999998</v>
      </c>
      <c r="M45" s="57">
        <v>20.965</v>
      </c>
      <c r="N45" s="56">
        <v>21.067</v>
      </c>
      <c r="O45" s="57">
        <v>21.274000000000001</v>
      </c>
      <c r="P45" s="56">
        <v>21.43</v>
      </c>
      <c r="Q45" s="57">
        <v>21.431999999999999</v>
      </c>
      <c r="R45" s="56">
        <v>21.289000000000001</v>
      </c>
    </row>
    <row r="46" spans="1:18" x14ac:dyDescent="0.2">
      <c r="A46" s="43" t="s">
        <v>109</v>
      </c>
      <c r="B46" s="55">
        <v>13.7</v>
      </c>
      <c r="C46" s="55">
        <v>13.6</v>
      </c>
      <c r="D46" s="55">
        <v>13.6</v>
      </c>
      <c r="E46" s="55">
        <v>13.5</v>
      </c>
      <c r="F46" s="56">
        <v>13.4</v>
      </c>
      <c r="G46" s="56">
        <v>13.3</v>
      </c>
      <c r="H46" s="57">
        <v>13.3</v>
      </c>
      <c r="I46" s="57">
        <v>13.3</v>
      </c>
      <c r="J46" s="57">
        <v>13.2</v>
      </c>
      <c r="K46" s="57">
        <v>13.202</v>
      </c>
      <c r="L46" s="56">
        <v>13.391999999999999</v>
      </c>
      <c r="M46" s="57">
        <v>13.349</v>
      </c>
      <c r="N46" s="56">
        <v>13.395</v>
      </c>
      <c r="O46" s="57">
        <v>13.395</v>
      </c>
      <c r="P46" s="56">
        <v>13.438000000000001</v>
      </c>
      <c r="Q46" s="57">
        <v>13.458</v>
      </c>
      <c r="R46" s="56">
        <v>13.269</v>
      </c>
    </row>
    <row r="47" spans="1:18" x14ac:dyDescent="0.2">
      <c r="A47" s="43" t="s">
        <v>108</v>
      </c>
      <c r="B47" s="55">
        <v>46.1</v>
      </c>
      <c r="C47" s="55">
        <v>46</v>
      </c>
      <c r="D47" s="55">
        <v>46</v>
      </c>
      <c r="E47" s="55">
        <v>46.1</v>
      </c>
      <c r="F47" s="56">
        <v>46.4</v>
      </c>
      <c r="G47" s="56">
        <v>46.1</v>
      </c>
      <c r="H47" s="57">
        <v>46.6</v>
      </c>
      <c r="I47" s="57">
        <v>46.8</v>
      </c>
      <c r="J47" s="57">
        <v>47.6</v>
      </c>
      <c r="K47" s="57">
        <v>46.856000000000002</v>
      </c>
      <c r="L47" s="56">
        <v>47.49</v>
      </c>
      <c r="M47" s="57">
        <v>47.546999999999997</v>
      </c>
      <c r="N47" s="56">
        <v>47.99</v>
      </c>
      <c r="O47" s="57">
        <v>48.493000000000002</v>
      </c>
      <c r="P47" s="56">
        <v>49.497</v>
      </c>
      <c r="Q47" s="57">
        <v>49.326000000000001</v>
      </c>
      <c r="R47" s="56">
        <v>50.036000000000001</v>
      </c>
    </row>
    <row r="48" spans="1:18" x14ac:dyDescent="0.2">
      <c r="A48" s="43" t="s">
        <v>107</v>
      </c>
      <c r="B48" s="55">
        <v>61.7</v>
      </c>
      <c r="C48" s="55">
        <v>61.7</v>
      </c>
      <c r="D48" s="55">
        <v>61.7</v>
      </c>
      <c r="E48" s="55">
        <v>61.8</v>
      </c>
      <c r="F48" s="56">
        <v>61.6</v>
      </c>
      <c r="G48" s="56">
        <v>61.6</v>
      </c>
      <c r="H48" s="57">
        <v>61.7</v>
      </c>
      <c r="I48" s="57">
        <v>61.8</v>
      </c>
      <c r="J48" s="57">
        <v>61.9</v>
      </c>
      <c r="K48" s="57">
        <v>62.304000000000002</v>
      </c>
      <c r="L48" s="56">
        <v>62.648000000000003</v>
      </c>
      <c r="M48" s="57">
        <v>62.902999999999999</v>
      </c>
      <c r="N48" s="56">
        <v>63.064999999999998</v>
      </c>
      <c r="O48" s="57">
        <v>63.610999999999997</v>
      </c>
      <c r="P48" s="56">
        <v>63.691000000000003</v>
      </c>
      <c r="Q48" s="57">
        <v>63.603000000000002</v>
      </c>
      <c r="R48" s="56">
        <v>63.298999999999999</v>
      </c>
    </row>
    <row r="49" spans="1:18" x14ac:dyDescent="0.2">
      <c r="A49" s="43" t="s">
        <v>106</v>
      </c>
      <c r="B49" s="55">
        <v>14.5</v>
      </c>
      <c r="C49" s="55">
        <v>14.5</v>
      </c>
      <c r="D49" s="55">
        <v>14.5</v>
      </c>
      <c r="E49" s="55">
        <v>14.4</v>
      </c>
      <c r="F49" s="56">
        <v>14.3</v>
      </c>
      <c r="G49" s="56">
        <v>14.5</v>
      </c>
      <c r="H49" s="57">
        <v>14.6</v>
      </c>
      <c r="I49" s="57">
        <v>14.6</v>
      </c>
      <c r="J49" s="57">
        <v>14.4</v>
      </c>
      <c r="K49" s="57">
        <v>14.407</v>
      </c>
      <c r="L49" s="56">
        <v>14.272</v>
      </c>
      <c r="M49" s="57">
        <v>14.231999999999999</v>
      </c>
      <c r="N49" s="56">
        <v>14.194000000000001</v>
      </c>
      <c r="O49" s="57">
        <v>14.336</v>
      </c>
      <c r="P49" s="56">
        <v>14.558</v>
      </c>
      <c r="Q49" s="57">
        <v>14.545999999999999</v>
      </c>
      <c r="R49" s="56">
        <v>14.603</v>
      </c>
    </row>
    <row r="50" spans="1:18" x14ac:dyDescent="0.2">
      <c r="A50" s="43" t="s">
        <v>105</v>
      </c>
      <c r="B50" s="55">
        <v>68.099999999999994</v>
      </c>
      <c r="C50" s="55">
        <v>68.7</v>
      </c>
      <c r="D50" s="55">
        <v>69</v>
      </c>
      <c r="E50" s="55">
        <v>68.3</v>
      </c>
      <c r="F50" s="56">
        <v>68.099999999999994</v>
      </c>
      <c r="G50" s="56">
        <v>68</v>
      </c>
      <c r="H50" s="57">
        <v>68.2</v>
      </c>
      <c r="I50" s="57">
        <v>68.8</v>
      </c>
      <c r="J50" s="57">
        <v>69</v>
      </c>
      <c r="K50" s="57">
        <v>69.468000000000004</v>
      </c>
      <c r="L50" s="56">
        <v>69.819999999999993</v>
      </c>
      <c r="M50" s="57">
        <v>69.531000000000006</v>
      </c>
      <c r="N50" s="56">
        <v>69.918000000000006</v>
      </c>
      <c r="O50" s="57">
        <v>70.466999999999999</v>
      </c>
      <c r="P50" s="56">
        <v>70.855999999999995</v>
      </c>
      <c r="Q50" s="57">
        <v>72.125</v>
      </c>
      <c r="R50" s="56">
        <v>72.591999999999999</v>
      </c>
    </row>
    <row r="51" spans="1:18" s="40" customFormat="1" x14ac:dyDescent="0.2">
      <c r="A51" s="43" t="s">
        <v>104</v>
      </c>
      <c r="B51" s="55">
        <v>27.7</v>
      </c>
      <c r="C51" s="55">
        <v>27.6</v>
      </c>
      <c r="D51" s="55">
        <v>27.5</v>
      </c>
      <c r="E51" s="55">
        <v>27.3</v>
      </c>
      <c r="F51" s="56">
        <v>27.1</v>
      </c>
      <c r="G51" s="56">
        <v>27.2</v>
      </c>
      <c r="H51" s="57">
        <v>27.4</v>
      </c>
      <c r="I51" s="57">
        <v>27.5</v>
      </c>
      <c r="J51" s="57">
        <v>27.8</v>
      </c>
      <c r="K51" s="57">
        <v>25.940999999999999</v>
      </c>
      <c r="L51" s="56">
        <v>27.635999999999999</v>
      </c>
      <c r="M51" s="57">
        <v>27.425999999999998</v>
      </c>
      <c r="N51" s="56">
        <v>27.654</v>
      </c>
      <c r="O51" s="57">
        <v>27.94</v>
      </c>
      <c r="P51" s="56">
        <v>28.402999999999999</v>
      </c>
      <c r="Q51" s="57">
        <v>28.504999999999999</v>
      </c>
      <c r="R51" s="56">
        <v>28.696999999999999</v>
      </c>
    </row>
    <row r="52" spans="1:18" x14ac:dyDescent="0.2">
      <c r="A52" s="41" t="s">
        <v>103</v>
      </c>
      <c r="B52" s="52">
        <v>443.6</v>
      </c>
      <c r="C52" s="52">
        <v>445</v>
      </c>
      <c r="D52" s="52">
        <v>447</v>
      </c>
      <c r="E52" s="52">
        <v>448.2</v>
      </c>
      <c r="F52" s="53">
        <v>448</v>
      </c>
      <c r="G52" s="53">
        <v>450.5</v>
      </c>
      <c r="H52" s="54">
        <v>452</v>
      </c>
      <c r="I52" s="54">
        <v>454.5</v>
      </c>
      <c r="J52" s="54">
        <v>454.7</v>
      </c>
      <c r="K52" s="54">
        <v>462.959</v>
      </c>
      <c r="L52" s="187">
        <v>465.78399999999999</v>
      </c>
      <c r="M52" s="54">
        <v>465.59399999999999</v>
      </c>
      <c r="N52" s="187">
        <v>467.274</v>
      </c>
      <c r="O52" s="54">
        <v>471.68400000000003</v>
      </c>
      <c r="P52" s="187">
        <v>473.48599999999999</v>
      </c>
      <c r="Q52" s="54">
        <v>474.928</v>
      </c>
      <c r="R52" s="187">
        <v>475.71899999999999</v>
      </c>
    </row>
    <row r="53" spans="1:18" x14ac:dyDescent="0.2">
      <c r="A53" s="43" t="s">
        <v>102</v>
      </c>
      <c r="B53" s="55">
        <v>210.4</v>
      </c>
      <c r="C53" s="55">
        <v>210.7</v>
      </c>
      <c r="D53" s="55">
        <v>211</v>
      </c>
      <c r="E53" s="55">
        <v>211.6</v>
      </c>
      <c r="F53" s="56">
        <v>211.4</v>
      </c>
      <c r="G53" s="56">
        <v>215.6</v>
      </c>
      <c r="H53" s="57">
        <v>215.6</v>
      </c>
      <c r="I53" s="57">
        <v>216.5</v>
      </c>
      <c r="J53" s="57">
        <v>216.1</v>
      </c>
      <c r="K53" s="57">
        <v>221.03299999999999</v>
      </c>
      <c r="L53" s="56">
        <v>223.023</v>
      </c>
      <c r="M53" s="57">
        <v>222.887</v>
      </c>
      <c r="N53" s="56">
        <v>223.41300000000001</v>
      </c>
      <c r="O53" s="57">
        <v>225.624</v>
      </c>
      <c r="P53" s="56">
        <v>225.494</v>
      </c>
      <c r="Q53" s="57">
        <v>226.23500000000001</v>
      </c>
      <c r="R53" s="56">
        <v>227.495</v>
      </c>
    </row>
    <row r="54" spans="1:18" s="40" customFormat="1" x14ac:dyDescent="0.2">
      <c r="A54" s="43" t="s">
        <v>101</v>
      </c>
      <c r="B54" s="55">
        <v>96</v>
      </c>
      <c r="C54" s="55">
        <v>96.9</v>
      </c>
      <c r="D54" s="55">
        <v>97.7</v>
      </c>
      <c r="E54" s="55">
        <v>98</v>
      </c>
      <c r="F54" s="56">
        <v>98.1</v>
      </c>
      <c r="G54" s="56">
        <v>99.5</v>
      </c>
      <c r="H54" s="57">
        <v>99.8</v>
      </c>
      <c r="I54" s="57">
        <v>100.5</v>
      </c>
      <c r="J54" s="57">
        <v>100.6</v>
      </c>
      <c r="K54" s="57">
        <v>102.81699999999999</v>
      </c>
      <c r="L54" s="56">
        <v>103.07</v>
      </c>
      <c r="M54" s="57">
        <v>103.169</v>
      </c>
      <c r="N54" s="56">
        <v>103.929</v>
      </c>
      <c r="O54" s="57">
        <v>104.902</v>
      </c>
      <c r="P54" s="56">
        <v>105.321</v>
      </c>
      <c r="Q54" s="57">
        <v>105.667</v>
      </c>
      <c r="R54" s="56">
        <v>105.742</v>
      </c>
    </row>
    <row r="55" spans="1:18" x14ac:dyDescent="0.2">
      <c r="A55" s="43" t="s">
        <v>100</v>
      </c>
      <c r="B55" s="55">
        <v>37.799999999999997</v>
      </c>
      <c r="C55" s="55">
        <v>37.799999999999997</v>
      </c>
      <c r="D55" s="55">
        <v>38</v>
      </c>
      <c r="E55" s="55">
        <v>38.200000000000003</v>
      </c>
      <c r="F55" s="56">
        <v>38</v>
      </c>
      <c r="G55" s="56">
        <v>38.200000000000003</v>
      </c>
      <c r="H55" s="57">
        <v>38.5</v>
      </c>
      <c r="I55" s="57">
        <v>39</v>
      </c>
      <c r="J55" s="57">
        <v>38.799999999999997</v>
      </c>
      <c r="K55" s="57">
        <v>39.408000000000001</v>
      </c>
      <c r="L55" s="56">
        <v>39.581000000000003</v>
      </c>
      <c r="M55" s="57">
        <v>39.401000000000003</v>
      </c>
      <c r="N55" s="56">
        <v>39.619</v>
      </c>
      <c r="O55" s="57">
        <v>39.716999999999999</v>
      </c>
      <c r="P55" s="56">
        <v>39.715000000000003</v>
      </c>
      <c r="Q55" s="57">
        <v>39.767000000000003</v>
      </c>
      <c r="R55" s="56">
        <v>39.625</v>
      </c>
    </row>
    <row r="56" spans="1:18" x14ac:dyDescent="0.2">
      <c r="A56" s="43" t="s">
        <v>99</v>
      </c>
      <c r="B56" s="55">
        <v>49.6</v>
      </c>
      <c r="C56" s="55">
        <v>49.7</v>
      </c>
      <c r="D56" s="55">
        <v>50.2</v>
      </c>
      <c r="E56" s="55">
        <v>50.1</v>
      </c>
      <c r="F56" s="56">
        <v>50.1</v>
      </c>
      <c r="G56" s="56">
        <v>50.1</v>
      </c>
      <c r="H56" s="57">
        <v>50.5</v>
      </c>
      <c r="I56" s="57">
        <v>50.5</v>
      </c>
      <c r="J56" s="57">
        <v>50.8</v>
      </c>
      <c r="K56" s="57">
        <v>51.085000000000001</v>
      </c>
      <c r="L56" s="56">
        <v>50.822000000000003</v>
      </c>
      <c r="M56" s="57">
        <v>50.896000000000001</v>
      </c>
      <c r="N56" s="56">
        <v>51.417999999999999</v>
      </c>
      <c r="O56" s="57">
        <v>52.14</v>
      </c>
      <c r="P56" s="56">
        <v>52.463000000000001</v>
      </c>
      <c r="Q56" s="57">
        <v>52.576999999999998</v>
      </c>
      <c r="R56" s="56">
        <v>52.530999999999999</v>
      </c>
    </row>
    <row r="57" spans="1:18" x14ac:dyDescent="0.2">
      <c r="A57" s="43" t="s">
        <v>98</v>
      </c>
      <c r="B57" s="55">
        <v>49.8</v>
      </c>
      <c r="C57" s="55">
        <v>49.9</v>
      </c>
      <c r="D57" s="55">
        <v>50</v>
      </c>
      <c r="E57" s="55">
        <v>50.3</v>
      </c>
      <c r="F57" s="56">
        <v>50.5</v>
      </c>
      <c r="G57" s="56">
        <v>47.1</v>
      </c>
      <c r="H57" s="57">
        <v>47.6</v>
      </c>
      <c r="I57" s="57">
        <v>48</v>
      </c>
      <c r="J57" s="57">
        <v>48.5</v>
      </c>
      <c r="K57" s="57">
        <v>48.616</v>
      </c>
      <c r="L57" s="56">
        <v>49.287999999999997</v>
      </c>
      <c r="M57" s="57">
        <v>49.241</v>
      </c>
      <c r="N57" s="56">
        <v>48.895000000000003</v>
      </c>
      <c r="O57" s="57">
        <v>49.301000000000002</v>
      </c>
      <c r="P57" s="56">
        <v>50.493000000000002</v>
      </c>
      <c r="Q57" s="57">
        <v>50.682000000000002</v>
      </c>
      <c r="R57" s="56">
        <v>50.326000000000001</v>
      </c>
    </row>
    <row r="58" spans="1:18" x14ac:dyDescent="0.2">
      <c r="A58" s="41" t="s">
        <v>97</v>
      </c>
      <c r="B58" s="52">
        <v>1044.5999999999999</v>
      </c>
      <c r="C58" s="52">
        <v>1045.8</v>
      </c>
      <c r="D58" s="52">
        <v>1048.5999999999999</v>
      </c>
      <c r="E58" s="52">
        <v>1055</v>
      </c>
      <c r="F58" s="53">
        <v>1054.5</v>
      </c>
      <c r="G58" s="53">
        <v>1058.4000000000001</v>
      </c>
      <c r="H58" s="54">
        <v>1063.4000000000001</v>
      </c>
      <c r="I58" s="54">
        <v>1068.8</v>
      </c>
      <c r="J58" s="54">
        <v>1076.7</v>
      </c>
      <c r="K58" s="54">
        <v>1085.617</v>
      </c>
      <c r="L58" s="191">
        <v>1081.348</v>
      </c>
      <c r="M58" s="192">
        <v>1075.67</v>
      </c>
      <c r="N58" s="187">
        <v>1070.463</v>
      </c>
      <c r="O58" s="192">
        <v>1076.829</v>
      </c>
      <c r="P58" s="187">
        <v>1087.5160000000001</v>
      </c>
      <c r="Q58" s="192">
        <v>1090.3150000000001</v>
      </c>
      <c r="R58" s="187">
        <v>1098.585</v>
      </c>
    </row>
    <row r="59" spans="1:18" x14ac:dyDescent="0.2">
      <c r="A59" s="43" t="s">
        <v>96</v>
      </c>
      <c r="B59" s="55">
        <v>93.8</v>
      </c>
      <c r="C59" s="55">
        <v>94.6</v>
      </c>
      <c r="D59" s="55">
        <v>94.9</v>
      </c>
      <c r="E59" s="55">
        <v>95</v>
      </c>
      <c r="F59" s="56">
        <v>94.8</v>
      </c>
      <c r="G59" s="56">
        <v>93.9</v>
      </c>
      <c r="H59" s="57">
        <v>95.6</v>
      </c>
      <c r="I59" s="57">
        <v>96.6</v>
      </c>
      <c r="J59" s="57">
        <v>97.6</v>
      </c>
      <c r="K59" s="57">
        <v>100.68</v>
      </c>
      <c r="L59" s="56">
        <v>100.474</v>
      </c>
      <c r="M59" s="57">
        <v>99.846000000000004</v>
      </c>
      <c r="N59" s="56">
        <v>100.91200000000001</v>
      </c>
      <c r="O59" s="57">
        <v>102.71299999999999</v>
      </c>
      <c r="P59" s="56">
        <v>104.197</v>
      </c>
      <c r="Q59" s="57">
        <v>102.818</v>
      </c>
      <c r="R59" s="56">
        <v>103.83799999999999</v>
      </c>
    </row>
    <row r="60" spans="1:18" x14ac:dyDescent="0.2">
      <c r="A60" s="43" t="s">
        <v>95</v>
      </c>
      <c r="B60" s="55">
        <v>113.6</v>
      </c>
      <c r="C60" s="55">
        <v>112.9</v>
      </c>
      <c r="D60" s="55">
        <v>112.7</v>
      </c>
      <c r="E60" s="55">
        <v>113.9</v>
      </c>
      <c r="F60" s="56">
        <v>115.5</v>
      </c>
      <c r="G60" s="56">
        <v>114.4</v>
      </c>
      <c r="H60" s="57">
        <v>113.4</v>
      </c>
      <c r="I60" s="57">
        <v>113</v>
      </c>
      <c r="J60" s="57">
        <v>113.6</v>
      </c>
      <c r="K60" s="57">
        <v>114.41500000000001</v>
      </c>
      <c r="L60" s="56">
        <v>114.282</v>
      </c>
      <c r="M60" s="57">
        <v>113.37</v>
      </c>
      <c r="N60" s="56">
        <v>111.559</v>
      </c>
      <c r="O60" s="57">
        <v>114.871</v>
      </c>
      <c r="P60" s="56">
        <v>116.605</v>
      </c>
      <c r="Q60" s="57">
        <v>117.07299999999999</v>
      </c>
      <c r="R60" s="56">
        <v>114.908</v>
      </c>
    </row>
    <row r="61" spans="1:18" x14ac:dyDescent="0.2">
      <c r="A61" s="43" t="s">
        <v>94</v>
      </c>
      <c r="B61" s="55">
        <v>329.3</v>
      </c>
      <c r="C61" s="55">
        <v>329.4</v>
      </c>
      <c r="D61" s="55">
        <v>328.9</v>
      </c>
      <c r="E61" s="55">
        <v>328.7</v>
      </c>
      <c r="F61" s="56">
        <v>330</v>
      </c>
      <c r="G61" s="56">
        <v>330.6</v>
      </c>
      <c r="H61" s="57">
        <v>334.4</v>
      </c>
      <c r="I61" s="57">
        <v>334.7</v>
      </c>
      <c r="J61" s="57">
        <v>333.7</v>
      </c>
      <c r="K61" s="57">
        <v>336.31099999999998</v>
      </c>
      <c r="L61" s="56">
        <v>333.78699999999998</v>
      </c>
      <c r="M61" s="57">
        <v>334.15800000000002</v>
      </c>
      <c r="N61" s="56">
        <v>330.065</v>
      </c>
      <c r="O61" s="57">
        <v>325.34699999999998</v>
      </c>
      <c r="P61" s="56">
        <v>330.03399999999999</v>
      </c>
      <c r="Q61" s="57">
        <v>331.87700000000001</v>
      </c>
      <c r="R61" s="56">
        <v>337.17500000000001</v>
      </c>
    </row>
    <row r="62" spans="1:18" x14ac:dyDescent="0.2">
      <c r="A62" s="43" t="s">
        <v>93</v>
      </c>
      <c r="B62" s="55">
        <v>86.4</v>
      </c>
      <c r="C62" s="55">
        <v>86.6</v>
      </c>
      <c r="D62" s="55">
        <v>86.8</v>
      </c>
      <c r="E62" s="55">
        <v>87.7</v>
      </c>
      <c r="F62" s="56">
        <v>87.4</v>
      </c>
      <c r="G62" s="56">
        <v>87.6</v>
      </c>
      <c r="H62" s="57">
        <v>88.2</v>
      </c>
      <c r="I62" s="57">
        <v>88.7</v>
      </c>
      <c r="J62" s="57">
        <v>89.5</v>
      </c>
      <c r="K62" s="57">
        <v>89.79</v>
      </c>
      <c r="L62" s="56">
        <v>90.628</v>
      </c>
      <c r="M62" s="57">
        <v>90.254000000000005</v>
      </c>
      <c r="N62" s="56">
        <v>90.897999999999996</v>
      </c>
      <c r="O62" s="57">
        <v>91.707999999999998</v>
      </c>
      <c r="P62" s="56">
        <v>92.206000000000003</v>
      </c>
      <c r="Q62" s="57">
        <v>92.123999999999995</v>
      </c>
      <c r="R62" s="56">
        <v>94.046999999999997</v>
      </c>
    </row>
    <row r="63" spans="1:18" x14ac:dyDescent="0.2">
      <c r="A63" s="43" t="s">
        <v>92</v>
      </c>
      <c r="B63" s="55">
        <v>122.5</v>
      </c>
      <c r="C63" s="55">
        <v>122.6</v>
      </c>
      <c r="D63" s="55">
        <v>123.3</v>
      </c>
      <c r="E63" s="55">
        <v>125.5</v>
      </c>
      <c r="F63" s="56">
        <v>126.3</v>
      </c>
      <c r="G63" s="56">
        <v>127.4</v>
      </c>
      <c r="H63" s="57">
        <v>127.7</v>
      </c>
      <c r="I63" s="57">
        <v>128.5</v>
      </c>
      <c r="J63" s="57">
        <v>133.1</v>
      </c>
      <c r="K63" s="57">
        <v>135.36799999999999</v>
      </c>
      <c r="L63" s="56">
        <v>135.69200000000001</v>
      </c>
      <c r="M63" s="57">
        <v>134.20099999999999</v>
      </c>
      <c r="N63" s="56">
        <v>134.75800000000001</v>
      </c>
      <c r="O63" s="57">
        <v>137.02099999999999</v>
      </c>
      <c r="P63" s="56">
        <v>137.91900000000001</v>
      </c>
      <c r="Q63" s="57">
        <v>138.32400000000001</v>
      </c>
      <c r="R63" s="56">
        <v>138.53399999999999</v>
      </c>
    </row>
    <row r="64" spans="1:18" x14ac:dyDescent="0.2">
      <c r="A64" s="43" t="s">
        <v>91</v>
      </c>
      <c r="B64" s="55">
        <v>120.1</v>
      </c>
      <c r="C64" s="55">
        <v>120.5</v>
      </c>
      <c r="D64" s="55">
        <v>121.2</v>
      </c>
      <c r="E64" s="55">
        <v>122.4</v>
      </c>
      <c r="F64" s="56">
        <v>119.9</v>
      </c>
      <c r="G64" s="56">
        <v>123.9</v>
      </c>
      <c r="H64" s="57">
        <v>123.5</v>
      </c>
      <c r="I64" s="57">
        <v>124.2</v>
      </c>
      <c r="J64" s="57">
        <v>125</v>
      </c>
      <c r="K64" s="57">
        <v>124.267</v>
      </c>
      <c r="L64" s="56">
        <v>123.66</v>
      </c>
      <c r="M64" s="57">
        <v>122.639</v>
      </c>
      <c r="N64" s="56">
        <v>120.905</v>
      </c>
      <c r="O64" s="57">
        <v>121.009</v>
      </c>
      <c r="P64" s="56">
        <v>122.02800000000001</v>
      </c>
      <c r="Q64" s="57">
        <v>122.834</v>
      </c>
      <c r="R64" s="56">
        <v>123.485</v>
      </c>
    </row>
    <row r="65" spans="1:18" s="40" customFormat="1" x14ac:dyDescent="0.2">
      <c r="A65" s="43" t="s">
        <v>90</v>
      </c>
      <c r="B65" s="55">
        <v>80.400000000000006</v>
      </c>
      <c r="C65" s="55">
        <v>81</v>
      </c>
      <c r="D65" s="55">
        <v>81.7</v>
      </c>
      <c r="E65" s="55">
        <v>82.4</v>
      </c>
      <c r="F65" s="56">
        <v>81.900000000000006</v>
      </c>
      <c r="G65" s="56">
        <v>82.3</v>
      </c>
      <c r="H65" s="57">
        <v>82.3</v>
      </c>
      <c r="I65" s="57">
        <v>83.6</v>
      </c>
      <c r="J65" s="57">
        <v>84.5</v>
      </c>
      <c r="K65" s="57">
        <v>85.774000000000001</v>
      </c>
      <c r="L65" s="56">
        <v>84.900999999999996</v>
      </c>
      <c r="M65" s="57">
        <v>84.292000000000002</v>
      </c>
      <c r="N65" s="56">
        <v>84.593999999999994</v>
      </c>
      <c r="O65" s="57">
        <v>85.861999999999995</v>
      </c>
      <c r="P65" s="56">
        <v>86.221999999999994</v>
      </c>
      <c r="Q65" s="57">
        <v>86.301000000000002</v>
      </c>
      <c r="R65" s="56">
        <v>87.566000000000003</v>
      </c>
    </row>
    <row r="66" spans="1:18" x14ac:dyDescent="0.2">
      <c r="A66" s="43" t="s">
        <v>89</v>
      </c>
      <c r="B66" s="55">
        <v>98.4</v>
      </c>
      <c r="C66" s="55">
        <v>98.3</v>
      </c>
      <c r="D66" s="55">
        <v>99.2</v>
      </c>
      <c r="E66" s="55">
        <v>99.3</v>
      </c>
      <c r="F66" s="56">
        <v>98.6</v>
      </c>
      <c r="G66" s="56">
        <v>98.3</v>
      </c>
      <c r="H66" s="57">
        <v>98.5</v>
      </c>
      <c r="I66" s="57">
        <v>99.4</v>
      </c>
      <c r="J66" s="57">
        <v>99.7</v>
      </c>
      <c r="K66" s="57">
        <v>99.012</v>
      </c>
      <c r="L66" s="56">
        <v>97.924000000000007</v>
      </c>
      <c r="M66" s="57">
        <v>96.91</v>
      </c>
      <c r="N66" s="56">
        <v>96.772000000000006</v>
      </c>
      <c r="O66" s="57">
        <v>98.298000000000002</v>
      </c>
      <c r="P66" s="56">
        <v>98.305000000000007</v>
      </c>
      <c r="Q66" s="57">
        <v>98.963999999999999</v>
      </c>
      <c r="R66" s="56">
        <v>99.031999999999996</v>
      </c>
    </row>
    <row r="67" spans="1:18" x14ac:dyDescent="0.2">
      <c r="A67" s="41" t="s">
        <v>88</v>
      </c>
      <c r="B67" s="52">
        <v>249.7</v>
      </c>
      <c r="C67" s="52">
        <v>251.5</v>
      </c>
      <c r="D67" s="52">
        <v>251.2</v>
      </c>
      <c r="E67" s="52">
        <v>251.9</v>
      </c>
      <c r="F67" s="53">
        <v>251.2</v>
      </c>
      <c r="G67" s="53">
        <v>252.3</v>
      </c>
      <c r="H67" s="54">
        <v>254.4</v>
      </c>
      <c r="I67" s="54">
        <v>256.2</v>
      </c>
      <c r="J67" s="54">
        <v>257</v>
      </c>
      <c r="K67" s="54">
        <v>257.072</v>
      </c>
      <c r="L67" s="187">
        <v>257.94799999999998</v>
      </c>
      <c r="M67" s="54">
        <v>257.37400000000002</v>
      </c>
      <c r="N67" s="187">
        <v>259.44099999999997</v>
      </c>
      <c r="O67" s="54">
        <v>261.2</v>
      </c>
      <c r="P67" s="187">
        <v>264.06799999999998</v>
      </c>
      <c r="Q67" s="54">
        <v>265.34399999999999</v>
      </c>
      <c r="R67" s="187">
        <v>265.61500000000001</v>
      </c>
    </row>
    <row r="68" spans="1:18" x14ac:dyDescent="0.2">
      <c r="A68" s="43" t="s">
        <v>87</v>
      </c>
      <c r="B68" s="55">
        <v>55.3</v>
      </c>
      <c r="C68" s="55">
        <v>55.3</v>
      </c>
      <c r="D68" s="55">
        <v>55.5</v>
      </c>
      <c r="E68" s="55">
        <v>55.2</v>
      </c>
      <c r="F68" s="56">
        <v>54.9</v>
      </c>
      <c r="G68" s="56">
        <v>55.3</v>
      </c>
      <c r="H68" s="57">
        <v>55.8</v>
      </c>
      <c r="I68" s="57">
        <v>56.2</v>
      </c>
      <c r="J68" s="57">
        <v>56.5</v>
      </c>
      <c r="K68" s="57">
        <v>56.587000000000003</v>
      </c>
      <c r="L68" s="56">
        <v>56.99</v>
      </c>
      <c r="M68" s="57">
        <v>56.875</v>
      </c>
      <c r="N68" s="56">
        <v>57.389000000000003</v>
      </c>
      <c r="O68" s="57">
        <v>57.863</v>
      </c>
      <c r="P68" s="56">
        <v>59.003</v>
      </c>
      <c r="Q68" s="57">
        <v>59.402000000000001</v>
      </c>
      <c r="R68" s="56">
        <v>59.643999999999998</v>
      </c>
    </row>
    <row r="69" spans="1:18" x14ac:dyDescent="0.2">
      <c r="A69" s="43" t="s">
        <v>86</v>
      </c>
      <c r="B69" s="55">
        <v>35.1</v>
      </c>
      <c r="C69" s="55">
        <v>35</v>
      </c>
      <c r="D69" s="55">
        <v>35</v>
      </c>
      <c r="E69" s="55">
        <v>35</v>
      </c>
      <c r="F69" s="56">
        <v>34.9</v>
      </c>
      <c r="G69" s="56">
        <v>35.200000000000003</v>
      </c>
      <c r="H69" s="57">
        <v>35.6</v>
      </c>
      <c r="I69" s="57">
        <v>35.9</v>
      </c>
      <c r="J69" s="57">
        <v>36.1</v>
      </c>
      <c r="K69" s="57">
        <v>36.213999999999999</v>
      </c>
      <c r="L69" s="56">
        <v>36.506999999999998</v>
      </c>
      <c r="M69" s="57">
        <v>36.436</v>
      </c>
      <c r="N69" s="56">
        <v>36.616999999999997</v>
      </c>
      <c r="O69" s="57">
        <v>36.378</v>
      </c>
      <c r="P69" s="56">
        <v>36.747</v>
      </c>
      <c r="Q69" s="57">
        <v>37.223999999999997</v>
      </c>
      <c r="R69" s="56">
        <v>37.091000000000001</v>
      </c>
    </row>
    <row r="70" spans="1:18" x14ac:dyDescent="0.2">
      <c r="A70" s="43" t="s">
        <v>85</v>
      </c>
      <c r="B70" s="55">
        <v>20</v>
      </c>
      <c r="C70" s="55">
        <v>20.2</v>
      </c>
      <c r="D70" s="55">
        <v>20.3</v>
      </c>
      <c r="E70" s="55">
        <v>20.399999999999999</v>
      </c>
      <c r="F70" s="56">
        <v>20.3</v>
      </c>
      <c r="G70" s="56">
        <v>20.5</v>
      </c>
      <c r="H70" s="57">
        <v>20.5</v>
      </c>
      <c r="I70" s="57">
        <v>20.6</v>
      </c>
      <c r="J70" s="57">
        <v>20.9</v>
      </c>
      <c r="K70" s="57">
        <v>20.821000000000002</v>
      </c>
      <c r="L70" s="56">
        <v>20.966000000000001</v>
      </c>
      <c r="M70" s="57">
        <v>20.844000000000001</v>
      </c>
      <c r="N70" s="56">
        <v>21.114999999999998</v>
      </c>
      <c r="O70" s="57">
        <v>21.295999999999999</v>
      </c>
      <c r="P70" s="56">
        <v>21.457999999999998</v>
      </c>
      <c r="Q70" s="57">
        <v>21.51</v>
      </c>
      <c r="R70" s="56">
        <v>21.649000000000001</v>
      </c>
    </row>
    <row r="71" spans="1:18" s="40" customFormat="1" x14ac:dyDescent="0.2">
      <c r="A71" s="43" t="s">
        <v>84</v>
      </c>
      <c r="B71" s="55">
        <v>35.5</v>
      </c>
      <c r="C71" s="55">
        <v>36</v>
      </c>
      <c r="D71" s="55">
        <v>36.1</v>
      </c>
      <c r="E71" s="55">
        <v>36.299999999999997</v>
      </c>
      <c r="F71" s="56">
        <v>36.299999999999997</v>
      </c>
      <c r="G71" s="56">
        <v>36.299999999999997</v>
      </c>
      <c r="H71" s="57">
        <v>36.5</v>
      </c>
      <c r="I71" s="57">
        <v>36.6</v>
      </c>
      <c r="J71" s="57">
        <v>36.799999999999997</v>
      </c>
      <c r="K71" s="57">
        <v>36.427</v>
      </c>
      <c r="L71" s="56">
        <v>36.798000000000002</v>
      </c>
      <c r="M71" s="57">
        <v>36.521999999999998</v>
      </c>
      <c r="N71" s="56">
        <v>36.695999999999998</v>
      </c>
      <c r="O71" s="57">
        <v>36.92</v>
      </c>
      <c r="P71" s="56">
        <v>36.945</v>
      </c>
      <c r="Q71" s="57">
        <v>36.994</v>
      </c>
      <c r="R71" s="56">
        <v>37.289000000000001</v>
      </c>
    </row>
    <row r="72" spans="1:18" x14ac:dyDescent="0.2">
      <c r="A72" s="43" t="s">
        <v>83</v>
      </c>
      <c r="B72" s="55">
        <v>103.7</v>
      </c>
      <c r="C72" s="55">
        <v>104.9</v>
      </c>
      <c r="D72" s="55">
        <v>104.3</v>
      </c>
      <c r="E72" s="55">
        <v>105</v>
      </c>
      <c r="F72" s="56">
        <v>104.8</v>
      </c>
      <c r="G72" s="56">
        <v>105.1</v>
      </c>
      <c r="H72" s="57">
        <v>106</v>
      </c>
      <c r="I72" s="57">
        <v>106.9</v>
      </c>
      <c r="J72" s="57">
        <v>106.7</v>
      </c>
      <c r="K72" s="57">
        <v>107.023</v>
      </c>
      <c r="L72" s="56">
        <v>106.687</v>
      </c>
      <c r="M72" s="57">
        <v>106.697</v>
      </c>
      <c r="N72" s="56">
        <v>107.624</v>
      </c>
      <c r="O72" s="57">
        <v>108.74299999999999</v>
      </c>
      <c r="P72" s="56">
        <v>109.91500000000001</v>
      </c>
      <c r="Q72" s="57">
        <v>110.214</v>
      </c>
      <c r="R72" s="56">
        <v>109.94199999999999</v>
      </c>
    </row>
    <row r="73" spans="1:18" x14ac:dyDescent="0.2">
      <c r="A73" s="41" t="s">
        <v>82</v>
      </c>
      <c r="B73" s="52">
        <v>451.8</v>
      </c>
      <c r="C73" s="52">
        <v>455.3</v>
      </c>
      <c r="D73" s="52">
        <v>459.4</v>
      </c>
      <c r="E73" s="52">
        <v>460</v>
      </c>
      <c r="F73" s="53">
        <v>460.3</v>
      </c>
      <c r="G73" s="53">
        <v>464.9</v>
      </c>
      <c r="H73" s="54">
        <v>470.6</v>
      </c>
      <c r="I73" s="54">
        <v>476.1</v>
      </c>
      <c r="J73" s="54">
        <v>479.1</v>
      </c>
      <c r="K73" s="54">
        <v>484.03899999999999</v>
      </c>
      <c r="L73" s="187">
        <v>486.625</v>
      </c>
      <c r="M73" s="54">
        <v>487.86500000000001</v>
      </c>
      <c r="N73" s="187">
        <v>491.03100000000001</v>
      </c>
      <c r="O73" s="54">
        <v>493.06</v>
      </c>
      <c r="P73" s="187">
        <v>499.024</v>
      </c>
      <c r="Q73" s="54">
        <v>501.15100000000001</v>
      </c>
      <c r="R73" s="187">
        <v>506.44200000000001</v>
      </c>
    </row>
    <row r="74" spans="1:18" x14ac:dyDescent="0.2">
      <c r="A74" s="43" t="s">
        <v>81</v>
      </c>
      <c r="B74" s="55">
        <v>30.2</v>
      </c>
      <c r="C74" s="55">
        <v>30.4</v>
      </c>
      <c r="D74" s="55">
        <v>30.7</v>
      </c>
      <c r="E74" s="55">
        <v>30.6</v>
      </c>
      <c r="F74" s="56">
        <v>30.4</v>
      </c>
      <c r="G74" s="56">
        <v>30.6</v>
      </c>
      <c r="H74" s="57">
        <v>30.9</v>
      </c>
      <c r="I74" s="57">
        <v>31.1</v>
      </c>
      <c r="J74" s="57">
        <v>31</v>
      </c>
      <c r="K74" s="57">
        <v>31.202999999999999</v>
      </c>
      <c r="L74" s="56">
        <v>31.890999999999998</v>
      </c>
      <c r="M74" s="57">
        <v>31.798999999999999</v>
      </c>
      <c r="N74" s="56">
        <v>32.22</v>
      </c>
      <c r="O74" s="57">
        <v>32.35</v>
      </c>
      <c r="P74" s="56">
        <v>32.305999999999997</v>
      </c>
      <c r="Q74" s="57">
        <v>31.783999999999999</v>
      </c>
      <c r="R74" s="56">
        <v>32.061</v>
      </c>
    </row>
    <row r="75" spans="1:18" x14ac:dyDescent="0.2">
      <c r="A75" s="43" t="s">
        <v>80</v>
      </c>
      <c r="B75" s="55">
        <v>124.3</v>
      </c>
      <c r="C75" s="55">
        <v>125.6</v>
      </c>
      <c r="D75" s="55">
        <v>127</v>
      </c>
      <c r="E75" s="55">
        <v>127.4</v>
      </c>
      <c r="F75" s="56">
        <v>127.5</v>
      </c>
      <c r="G75" s="56">
        <v>129.30000000000001</v>
      </c>
      <c r="H75" s="57">
        <v>131.4</v>
      </c>
      <c r="I75" s="57">
        <v>133.80000000000001</v>
      </c>
      <c r="J75" s="57">
        <v>136.69999999999999</v>
      </c>
      <c r="K75" s="57">
        <v>139.28</v>
      </c>
      <c r="L75" s="56">
        <v>138.47300000000001</v>
      </c>
      <c r="M75" s="57">
        <v>138.286</v>
      </c>
      <c r="N75" s="56">
        <v>140.01300000000001</v>
      </c>
      <c r="O75" s="57">
        <v>140.501</v>
      </c>
      <c r="P75" s="56">
        <v>143.28100000000001</v>
      </c>
      <c r="Q75" s="57">
        <v>145.37299999999999</v>
      </c>
      <c r="R75" s="56">
        <v>149.06100000000001</v>
      </c>
    </row>
    <row r="76" spans="1:18" x14ac:dyDescent="0.2">
      <c r="A76" s="43" t="s">
        <v>79</v>
      </c>
      <c r="B76" s="55">
        <v>29.2</v>
      </c>
      <c r="C76" s="55">
        <v>29.6</v>
      </c>
      <c r="D76" s="55">
        <v>30</v>
      </c>
      <c r="E76" s="55">
        <v>30</v>
      </c>
      <c r="F76" s="56">
        <v>30.1</v>
      </c>
      <c r="G76" s="56">
        <v>30.5</v>
      </c>
      <c r="H76" s="57">
        <v>30.9</v>
      </c>
      <c r="I76" s="57">
        <v>31.4</v>
      </c>
      <c r="J76" s="57">
        <v>31.4</v>
      </c>
      <c r="K76" s="57">
        <v>31.835000000000001</v>
      </c>
      <c r="L76" s="56">
        <v>32.731999999999999</v>
      </c>
      <c r="M76" s="57">
        <v>32.695999999999998</v>
      </c>
      <c r="N76" s="56">
        <v>33.179000000000002</v>
      </c>
      <c r="O76" s="57">
        <v>33.22</v>
      </c>
      <c r="P76" s="56">
        <v>33.688000000000002</v>
      </c>
      <c r="Q76" s="57">
        <v>33.743000000000002</v>
      </c>
      <c r="R76" s="56">
        <v>34.295999999999999</v>
      </c>
    </row>
    <row r="77" spans="1:18" x14ac:dyDescent="0.2">
      <c r="A77" s="43" t="s">
        <v>78</v>
      </c>
      <c r="B77" s="55">
        <v>21.9</v>
      </c>
      <c r="C77" s="55">
        <v>22</v>
      </c>
      <c r="D77" s="55">
        <v>22</v>
      </c>
      <c r="E77" s="55">
        <v>22.1</v>
      </c>
      <c r="F77" s="56">
        <v>22.1</v>
      </c>
      <c r="G77" s="56">
        <v>23.8</v>
      </c>
      <c r="H77" s="57">
        <v>24.2</v>
      </c>
      <c r="I77" s="57">
        <v>25.1</v>
      </c>
      <c r="J77" s="57">
        <v>24.1</v>
      </c>
      <c r="K77" s="57">
        <v>24.268999999999998</v>
      </c>
      <c r="L77" s="56">
        <v>25.393999999999998</v>
      </c>
      <c r="M77" s="57">
        <v>25.4</v>
      </c>
      <c r="N77" s="56">
        <v>24.774000000000001</v>
      </c>
      <c r="O77" s="57">
        <v>24.898</v>
      </c>
      <c r="P77" s="56">
        <v>25.414999999999999</v>
      </c>
      <c r="Q77" s="57">
        <v>25.427</v>
      </c>
      <c r="R77" s="56">
        <v>25.193999999999999</v>
      </c>
    </row>
    <row r="78" spans="1:18" x14ac:dyDescent="0.2">
      <c r="A78" s="43" t="s">
        <v>77</v>
      </c>
      <c r="B78" s="55">
        <v>44.7</v>
      </c>
      <c r="C78" s="55">
        <v>45</v>
      </c>
      <c r="D78" s="55">
        <v>45.5</v>
      </c>
      <c r="E78" s="55">
        <v>45.7</v>
      </c>
      <c r="F78" s="56">
        <v>46</v>
      </c>
      <c r="G78" s="56">
        <v>46.3</v>
      </c>
      <c r="H78" s="57">
        <v>46.7</v>
      </c>
      <c r="I78" s="57">
        <v>47.2</v>
      </c>
      <c r="J78" s="57">
        <v>47.5</v>
      </c>
      <c r="K78" s="57">
        <v>48.387</v>
      </c>
      <c r="L78" s="56">
        <v>49.345999999999997</v>
      </c>
      <c r="M78" s="57">
        <v>49.353000000000002</v>
      </c>
      <c r="N78" s="56">
        <v>49.691000000000003</v>
      </c>
      <c r="O78" s="57">
        <v>49.914999999999999</v>
      </c>
      <c r="P78" s="56">
        <v>51.063000000000002</v>
      </c>
      <c r="Q78" s="57">
        <v>51.212000000000003</v>
      </c>
      <c r="R78" s="56">
        <v>50.341999999999999</v>
      </c>
    </row>
    <row r="79" spans="1:18" x14ac:dyDescent="0.2">
      <c r="A79" s="43" t="s">
        <v>76</v>
      </c>
      <c r="B79" s="55">
        <v>19.3</v>
      </c>
      <c r="C79" s="55">
        <v>19.399999999999999</v>
      </c>
      <c r="D79" s="55">
        <v>19.5</v>
      </c>
      <c r="E79" s="55">
        <v>19.2</v>
      </c>
      <c r="F79" s="56">
        <v>19.100000000000001</v>
      </c>
      <c r="G79" s="56">
        <v>19.2</v>
      </c>
      <c r="H79" s="57">
        <v>19.2</v>
      </c>
      <c r="I79" s="57">
        <v>19.3</v>
      </c>
      <c r="J79" s="57">
        <v>19.5</v>
      </c>
      <c r="K79" s="57">
        <v>19.591999999999999</v>
      </c>
      <c r="L79" s="56">
        <v>19.695</v>
      </c>
      <c r="M79" s="57">
        <v>19.667999999999999</v>
      </c>
      <c r="N79" s="56">
        <v>19.837</v>
      </c>
      <c r="O79" s="57">
        <v>19.776</v>
      </c>
      <c r="P79" s="56">
        <v>19.928999999999998</v>
      </c>
      <c r="Q79" s="57">
        <v>20.042999999999999</v>
      </c>
      <c r="R79" s="56">
        <v>20.512</v>
      </c>
    </row>
    <row r="80" spans="1:18" s="40" customFormat="1" x14ac:dyDescent="0.2">
      <c r="A80" s="43" t="s">
        <v>75</v>
      </c>
      <c r="B80" s="55">
        <v>10.1</v>
      </c>
      <c r="C80" s="55">
        <v>10.199999999999999</v>
      </c>
      <c r="D80" s="55">
        <v>10.199999999999999</v>
      </c>
      <c r="E80" s="55">
        <v>10.199999999999999</v>
      </c>
      <c r="F80" s="56">
        <v>10.3</v>
      </c>
      <c r="G80" s="56">
        <v>10.199999999999999</v>
      </c>
      <c r="H80" s="57">
        <v>10.199999999999999</v>
      </c>
      <c r="I80" s="57">
        <v>10.3</v>
      </c>
      <c r="J80" s="57">
        <v>10.3</v>
      </c>
      <c r="K80" s="57">
        <v>10.316000000000001</v>
      </c>
      <c r="L80" s="56">
        <v>10.335000000000001</v>
      </c>
      <c r="M80" s="57">
        <v>10.31</v>
      </c>
      <c r="N80" s="56">
        <v>10.425000000000001</v>
      </c>
      <c r="O80" s="57">
        <v>10.441000000000001</v>
      </c>
      <c r="P80" s="56">
        <v>10.445</v>
      </c>
      <c r="Q80" s="57">
        <v>10.443</v>
      </c>
      <c r="R80" s="56">
        <v>10.56</v>
      </c>
    </row>
    <row r="81" spans="1:18" x14ac:dyDescent="0.2">
      <c r="A81" s="43" t="s">
        <v>74</v>
      </c>
      <c r="B81" s="55">
        <v>35.9</v>
      </c>
      <c r="C81" s="55">
        <v>36.1</v>
      </c>
      <c r="D81" s="55">
        <v>36.200000000000003</v>
      </c>
      <c r="E81" s="55">
        <v>36.6</v>
      </c>
      <c r="F81" s="56">
        <v>36.5</v>
      </c>
      <c r="G81" s="56">
        <v>36.6</v>
      </c>
      <c r="H81" s="57">
        <v>36.799999999999997</v>
      </c>
      <c r="I81" s="57">
        <v>37.1</v>
      </c>
      <c r="J81" s="57">
        <v>37.6</v>
      </c>
      <c r="K81" s="57">
        <v>37.725999999999999</v>
      </c>
      <c r="L81" s="56">
        <v>37.781999999999996</v>
      </c>
      <c r="M81" s="57">
        <v>37.795999999999999</v>
      </c>
      <c r="N81" s="56">
        <v>38.122</v>
      </c>
      <c r="O81" s="57">
        <v>38.515000000000001</v>
      </c>
      <c r="P81" s="56">
        <v>38.65</v>
      </c>
      <c r="Q81" s="57">
        <v>38.624000000000002</v>
      </c>
      <c r="R81" s="56">
        <v>38.979999999999997</v>
      </c>
    </row>
    <row r="82" spans="1:18" x14ac:dyDescent="0.2">
      <c r="A82" s="43" t="s">
        <v>73</v>
      </c>
      <c r="B82" s="55">
        <v>24.3</v>
      </c>
      <c r="C82" s="55">
        <v>24.4</v>
      </c>
      <c r="D82" s="55">
        <v>24.5</v>
      </c>
      <c r="E82" s="55">
        <v>24.4</v>
      </c>
      <c r="F82" s="56">
        <v>24.3</v>
      </c>
      <c r="G82" s="56">
        <v>24.1</v>
      </c>
      <c r="H82" s="57">
        <v>24.4</v>
      </c>
      <c r="I82" s="57">
        <v>24.8</v>
      </c>
      <c r="J82" s="57">
        <v>24.9</v>
      </c>
      <c r="K82" s="57">
        <v>24.853999999999999</v>
      </c>
      <c r="L82" s="56">
        <v>25.15</v>
      </c>
      <c r="M82" s="57">
        <v>24.992999999999999</v>
      </c>
      <c r="N82" s="56">
        <v>25.286999999999999</v>
      </c>
      <c r="O82" s="57">
        <v>25.314</v>
      </c>
      <c r="P82" s="56">
        <v>25.408000000000001</v>
      </c>
      <c r="Q82" s="57">
        <v>25.4</v>
      </c>
      <c r="R82" s="56">
        <v>25.658999999999999</v>
      </c>
    </row>
    <row r="83" spans="1:18" x14ac:dyDescent="0.2">
      <c r="A83" s="43" t="s">
        <v>72</v>
      </c>
      <c r="B83" s="55">
        <v>43.5</v>
      </c>
      <c r="C83" s="55">
        <v>43.7</v>
      </c>
      <c r="D83" s="55">
        <v>44.4</v>
      </c>
      <c r="E83" s="55">
        <v>44.8</v>
      </c>
      <c r="F83" s="56">
        <v>44.9</v>
      </c>
      <c r="G83" s="56">
        <v>45.3</v>
      </c>
      <c r="H83" s="57">
        <v>45.6</v>
      </c>
      <c r="I83" s="57">
        <v>46.1</v>
      </c>
      <c r="J83" s="57">
        <v>45.6</v>
      </c>
      <c r="K83" s="57">
        <v>46.222000000000001</v>
      </c>
      <c r="L83" s="56">
        <v>45.412999999999997</v>
      </c>
      <c r="M83" s="57">
        <v>46.656999999999996</v>
      </c>
      <c r="N83" s="56">
        <v>47.052999999999997</v>
      </c>
      <c r="O83" s="57">
        <v>47.219000000000001</v>
      </c>
      <c r="P83" s="56">
        <v>47.731999999999999</v>
      </c>
      <c r="Q83" s="57">
        <v>47.863999999999997</v>
      </c>
      <c r="R83" s="56">
        <v>48.131999999999998</v>
      </c>
    </row>
    <row r="84" spans="1:18" x14ac:dyDescent="0.2">
      <c r="A84" s="43" t="s">
        <v>71</v>
      </c>
      <c r="B84" s="55">
        <v>26.9</v>
      </c>
      <c r="C84" s="55">
        <v>27.1</v>
      </c>
      <c r="D84" s="55">
        <v>27.4</v>
      </c>
      <c r="E84" s="55">
        <v>27.5</v>
      </c>
      <c r="F84" s="56">
        <v>27.5</v>
      </c>
      <c r="G84" s="56">
        <v>26.9</v>
      </c>
      <c r="H84" s="57">
        <v>27.6</v>
      </c>
      <c r="I84" s="57">
        <v>27.7</v>
      </c>
      <c r="J84" s="57">
        <v>27.8</v>
      </c>
      <c r="K84" s="57">
        <v>27.824000000000002</v>
      </c>
      <c r="L84" s="56">
        <v>27.812999999999999</v>
      </c>
      <c r="M84" s="57">
        <v>27.718</v>
      </c>
      <c r="N84" s="56">
        <v>27.731999999999999</v>
      </c>
      <c r="O84" s="57">
        <v>27.792000000000002</v>
      </c>
      <c r="P84" s="56">
        <v>27.898</v>
      </c>
      <c r="Q84" s="57">
        <v>27.902000000000001</v>
      </c>
      <c r="R84" s="56">
        <v>28.044</v>
      </c>
    </row>
    <row r="85" spans="1:18" x14ac:dyDescent="0.2">
      <c r="A85" s="43" t="s">
        <v>70</v>
      </c>
      <c r="B85" s="55">
        <v>41.5</v>
      </c>
      <c r="C85" s="55">
        <v>41.8</v>
      </c>
      <c r="D85" s="55">
        <v>42</v>
      </c>
      <c r="E85" s="55">
        <v>41.6</v>
      </c>
      <c r="F85" s="56">
        <v>41.7</v>
      </c>
      <c r="G85" s="56">
        <v>42</v>
      </c>
      <c r="H85" s="57">
        <v>42.6</v>
      </c>
      <c r="I85" s="57">
        <v>42.1</v>
      </c>
      <c r="J85" s="57">
        <v>42.7</v>
      </c>
      <c r="K85" s="57">
        <v>42.530999999999999</v>
      </c>
      <c r="L85" s="56">
        <v>42.600999999999999</v>
      </c>
      <c r="M85" s="57">
        <v>43.189</v>
      </c>
      <c r="N85" s="56">
        <v>42.698</v>
      </c>
      <c r="O85" s="57">
        <v>43.119</v>
      </c>
      <c r="P85" s="56">
        <v>43.209000000000003</v>
      </c>
      <c r="Q85" s="57">
        <v>43.335999999999999</v>
      </c>
      <c r="R85" s="56">
        <v>43.600999999999999</v>
      </c>
    </row>
    <row r="86" spans="1:18" s="40" customFormat="1" x14ac:dyDescent="0.2">
      <c r="A86" s="41" t="s">
        <v>69</v>
      </c>
      <c r="B86" s="52">
        <v>430.8</v>
      </c>
      <c r="C86" s="52">
        <v>434.5</v>
      </c>
      <c r="D86" s="52">
        <v>440.8</v>
      </c>
      <c r="E86" s="52">
        <v>443.5</v>
      </c>
      <c r="F86" s="53">
        <v>445.4</v>
      </c>
      <c r="G86" s="53">
        <v>450.2</v>
      </c>
      <c r="H86" s="54">
        <v>455.5</v>
      </c>
      <c r="I86" s="54">
        <v>461.1</v>
      </c>
      <c r="J86" s="54">
        <v>469.4</v>
      </c>
      <c r="K86" s="54">
        <v>474.25099999999998</v>
      </c>
      <c r="L86" s="187">
        <v>478.22899999999998</v>
      </c>
      <c r="M86" s="54">
        <v>476.661</v>
      </c>
      <c r="N86" s="187">
        <v>482.62700000000001</v>
      </c>
      <c r="O86" s="54">
        <v>486.54500000000002</v>
      </c>
      <c r="P86" s="187">
        <v>493.35300000000001</v>
      </c>
      <c r="Q86" s="54">
        <v>493.20699999999999</v>
      </c>
      <c r="R86" s="187">
        <v>495.59100000000001</v>
      </c>
    </row>
    <row r="87" spans="1:18" x14ac:dyDescent="0.2">
      <c r="A87" s="43" t="s">
        <v>68</v>
      </c>
      <c r="B87" s="55">
        <v>25.3</v>
      </c>
      <c r="C87" s="55">
        <v>25.7</v>
      </c>
      <c r="D87" s="55">
        <v>26</v>
      </c>
      <c r="E87" s="55">
        <v>26.1</v>
      </c>
      <c r="F87" s="56">
        <v>26.1</v>
      </c>
      <c r="G87" s="56">
        <v>26.6</v>
      </c>
      <c r="H87" s="57">
        <v>27</v>
      </c>
      <c r="I87" s="57">
        <v>27.2</v>
      </c>
      <c r="J87" s="57">
        <v>27.2</v>
      </c>
      <c r="K87" s="57">
        <v>27.484000000000002</v>
      </c>
      <c r="L87" s="56">
        <v>27.771000000000001</v>
      </c>
      <c r="M87" s="57">
        <v>27.579000000000001</v>
      </c>
      <c r="N87" s="56">
        <v>27.919</v>
      </c>
      <c r="O87" s="57">
        <v>28.001000000000001</v>
      </c>
      <c r="P87" s="56">
        <v>28.504000000000001</v>
      </c>
      <c r="Q87" s="57">
        <v>28.65</v>
      </c>
      <c r="R87" s="56">
        <v>28.626000000000001</v>
      </c>
    </row>
    <row r="88" spans="1:18" x14ac:dyDescent="0.2">
      <c r="A88" s="43" t="s">
        <v>67</v>
      </c>
      <c r="B88" s="55">
        <v>46.4</v>
      </c>
      <c r="C88" s="55">
        <v>47.2</v>
      </c>
      <c r="D88" s="55">
        <v>48.9</v>
      </c>
      <c r="E88" s="55">
        <v>49.7</v>
      </c>
      <c r="F88" s="56">
        <v>50.1</v>
      </c>
      <c r="G88" s="56">
        <v>51.4</v>
      </c>
      <c r="H88" s="57">
        <v>51.3</v>
      </c>
      <c r="I88" s="57">
        <v>51.6</v>
      </c>
      <c r="J88" s="57">
        <v>52.9</v>
      </c>
      <c r="K88" s="57">
        <v>52.905000000000001</v>
      </c>
      <c r="L88" s="56">
        <v>53.005000000000003</v>
      </c>
      <c r="M88" s="57">
        <v>52.817999999999998</v>
      </c>
      <c r="N88" s="56">
        <v>53.018000000000001</v>
      </c>
      <c r="O88" s="57">
        <v>52.965000000000003</v>
      </c>
      <c r="P88" s="56">
        <v>54.19</v>
      </c>
      <c r="Q88" s="57">
        <v>53.21</v>
      </c>
      <c r="R88" s="56">
        <v>53.817</v>
      </c>
    </row>
    <row r="89" spans="1:18" x14ac:dyDescent="0.2">
      <c r="A89" s="43" t="s">
        <v>66</v>
      </c>
      <c r="B89" s="55">
        <v>91.1</v>
      </c>
      <c r="C89" s="55">
        <v>91.6</v>
      </c>
      <c r="D89" s="55">
        <v>93.3</v>
      </c>
      <c r="E89" s="55">
        <v>93.9</v>
      </c>
      <c r="F89" s="56">
        <v>94</v>
      </c>
      <c r="G89" s="56">
        <v>95.4</v>
      </c>
      <c r="H89" s="57">
        <v>96.5</v>
      </c>
      <c r="I89" s="57">
        <v>98.1</v>
      </c>
      <c r="J89" s="57">
        <v>99.8</v>
      </c>
      <c r="K89" s="57">
        <v>101.169</v>
      </c>
      <c r="L89" s="56">
        <v>101.91500000000001</v>
      </c>
      <c r="M89" s="57">
        <v>101.485</v>
      </c>
      <c r="N89" s="56">
        <v>99.331999999999994</v>
      </c>
      <c r="O89" s="57">
        <v>100.849</v>
      </c>
      <c r="P89" s="56">
        <v>102.491</v>
      </c>
      <c r="Q89" s="57">
        <v>102.46</v>
      </c>
      <c r="R89" s="56">
        <v>103.313</v>
      </c>
    </row>
    <row r="90" spans="1:18" x14ac:dyDescent="0.2">
      <c r="A90" s="43" t="s">
        <v>65</v>
      </c>
      <c r="B90" s="55">
        <v>6.9</v>
      </c>
      <c r="C90" s="55">
        <v>7</v>
      </c>
      <c r="D90" s="55">
        <v>7</v>
      </c>
      <c r="E90" s="55">
        <v>7.1</v>
      </c>
      <c r="F90" s="56">
        <v>7.1</v>
      </c>
      <c r="G90" s="56">
        <v>7.1</v>
      </c>
      <c r="H90" s="57">
        <v>7.1</v>
      </c>
      <c r="I90" s="57">
        <v>7.3</v>
      </c>
      <c r="J90" s="57">
        <v>7.3</v>
      </c>
      <c r="K90" s="57">
        <v>7.2549999999999999</v>
      </c>
      <c r="L90" s="56">
        <v>7.3239999999999998</v>
      </c>
      <c r="M90" s="57">
        <v>7.298</v>
      </c>
      <c r="N90" s="56">
        <v>7.2480000000000002</v>
      </c>
      <c r="O90" s="57">
        <v>7.2889999999999997</v>
      </c>
      <c r="P90" s="56">
        <v>7.4080000000000004</v>
      </c>
      <c r="Q90" s="57">
        <v>7.4269999999999996</v>
      </c>
      <c r="R90" s="56">
        <v>7.45</v>
      </c>
    </row>
    <row r="91" spans="1:18" x14ac:dyDescent="0.2">
      <c r="A91" s="43" t="s">
        <v>64</v>
      </c>
      <c r="B91" s="55">
        <v>32</v>
      </c>
      <c r="C91" s="55">
        <v>32.299999999999997</v>
      </c>
      <c r="D91" s="55">
        <v>32.5</v>
      </c>
      <c r="E91" s="55">
        <v>32.5</v>
      </c>
      <c r="F91" s="56">
        <v>32.6</v>
      </c>
      <c r="G91" s="56">
        <v>32.799999999999997</v>
      </c>
      <c r="H91" s="57">
        <v>33.4</v>
      </c>
      <c r="I91" s="57">
        <v>33.700000000000003</v>
      </c>
      <c r="J91" s="57">
        <v>34.299999999999997</v>
      </c>
      <c r="K91" s="57">
        <v>34.5</v>
      </c>
      <c r="L91" s="56">
        <v>35.197000000000003</v>
      </c>
      <c r="M91" s="57">
        <v>35.125</v>
      </c>
      <c r="N91" s="56">
        <v>35.945999999999998</v>
      </c>
      <c r="O91" s="57">
        <v>36.048999999999999</v>
      </c>
      <c r="P91" s="56">
        <v>36.558999999999997</v>
      </c>
      <c r="Q91" s="57">
        <v>36.799999999999997</v>
      </c>
      <c r="R91" s="56">
        <v>37.033999999999999</v>
      </c>
    </row>
    <row r="92" spans="1:18" x14ac:dyDescent="0.2">
      <c r="A92" s="43" t="s">
        <v>63</v>
      </c>
      <c r="B92" s="55">
        <v>12.1</v>
      </c>
      <c r="C92" s="55">
        <v>12.2</v>
      </c>
      <c r="D92" s="55">
        <v>12.3</v>
      </c>
      <c r="E92" s="55">
        <v>12.2</v>
      </c>
      <c r="F92" s="56">
        <v>12.1</v>
      </c>
      <c r="G92" s="56">
        <v>12.2</v>
      </c>
      <c r="H92" s="57">
        <v>12.5</v>
      </c>
      <c r="I92" s="57">
        <v>12.6</v>
      </c>
      <c r="J92" s="57">
        <v>12.9</v>
      </c>
      <c r="K92" s="57">
        <v>13.111000000000001</v>
      </c>
      <c r="L92" s="56">
        <v>13.154999999999999</v>
      </c>
      <c r="M92" s="57">
        <v>13.144</v>
      </c>
      <c r="N92" s="56">
        <v>13.127000000000001</v>
      </c>
      <c r="O92" s="57">
        <v>13.148</v>
      </c>
      <c r="P92" s="56">
        <v>13.321</v>
      </c>
      <c r="Q92" s="57">
        <v>13.339</v>
      </c>
      <c r="R92" s="56">
        <v>13.414999999999999</v>
      </c>
    </row>
    <row r="93" spans="1:18" x14ac:dyDescent="0.2">
      <c r="A93" s="43" t="s">
        <v>62</v>
      </c>
      <c r="B93" s="55">
        <v>18.899999999999999</v>
      </c>
      <c r="C93" s="55">
        <v>19</v>
      </c>
      <c r="D93" s="55">
        <v>19</v>
      </c>
      <c r="E93" s="55">
        <v>19.100000000000001</v>
      </c>
      <c r="F93" s="56">
        <v>19.3</v>
      </c>
      <c r="G93" s="56">
        <v>19</v>
      </c>
      <c r="H93" s="57">
        <v>19.2</v>
      </c>
      <c r="I93" s="57">
        <v>19.3</v>
      </c>
      <c r="J93" s="57">
        <v>19.399999999999999</v>
      </c>
      <c r="K93" s="57">
        <v>19.605</v>
      </c>
      <c r="L93" s="56">
        <v>19.713000000000001</v>
      </c>
      <c r="M93" s="57">
        <v>19.614999999999998</v>
      </c>
      <c r="N93" s="56">
        <v>19.731000000000002</v>
      </c>
      <c r="O93" s="57">
        <v>19.835000000000001</v>
      </c>
      <c r="P93" s="56">
        <v>20.036999999999999</v>
      </c>
      <c r="Q93" s="57">
        <v>20.073</v>
      </c>
      <c r="R93" s="56">
        <v>20.140999999999998</v>
      </c>
    </row>
    <row r="94" spans="1:18" x14ac:dyDescent="0.2">
      <c r="A94" s="43" t="s">
        <v>61</v>
      </c>
      <c r="B94" s="55">
        <v>14</v>
      </c>
      <c r="C94" s="55">
        <v>14.2</v>
      </c>
      <c r="D94" s="55">
        <v>14.3</v>
      </c>
      <c r="E94" s="55">
        <v>14.2</v>
      </c>
      <c r="F94" s="56">
        <v>14.3</v>
      </c>
      <c r="G94" s="56">
        <v>14.4</v>
      </c>
      <c r="H94" s="57">
        <v>14.6</v>
      </c>
      <c r="I94" s="57">
        <v>14.7</v>
      </c>
      <c r="J94" s="57">
        <v>15</v>
      </c>
      <c r="K94" s="57">
        <v>15.009</v>
      </c>
      <c r="L94" s="56">
        <v>15.25</v>
      </c>
      <c r="M94" s="57">
        <v>15.157999999999999</v>
      </c>
      <c r="N94" s="56">
        <v>15.288</v>
      </c>
      <c r="O94" s="57">
        <v>15.4</v>
      </c>
      <c r="P94" s="56">
        <v>15.439</v>
      </c>
      <c r="Q94" s="57">
        <v>15.457000000000001</v>
      </c>
      <c r="R94" s="56">
        <v>15.500999999999999</v>
      </c>
    </row>
    <row r="95" spans="1:18" x14ac:dyDescent="0.2">
      <c r="A95" s="43" t="s">
        <v>60</v>
      </c>
      <c r="B95" s="55">
        <v>113.1</v>
      </c>
      <c r="C95" s="55">
        <v>114.4</v>
      </c>
      <c r="D95" s="55">
        <v>116.2</v>
      </c>
      <c r="E95" s="55">
        <v>117.1</v>
      </c>
      <c r="F95" s="56">
        <v>117.6</v>
      </c>
      <c r="G95" s="56">
        <v>118.8</v>
      </c>
      <c r="H95" s="57">
        <v>120.8</v>
      </c>
      <c r="I95" s="57">
        <v>122.5</v>
      </c>
      <c r="J95" s="57">
        <v>125.7</v>
      </c>
      <c r="K95" s="57">
        <v>126.90600000000001</v>
      </c>
      <c r="L95" s="56">
        <v>128.37700000000001</v>
      </c>
      <c r="M95" s="57">
        <v>128.232</v>
      </c>
      <c r="N95" s="56">
        <v>133.964</v>
      </c>
      <c r="O95" s="57">
        <v>135.126</v>
      </c>
      <c r="P95" s="56">
        <v>136.62899999999999</v>
      </c>
      <c r="Q95" s="57">
        <v>136.80600000000001</v>
      </c>
      <c r="R95" s="56">
        <v>137.05099999999999</v>
      </c>
    </row>
    <row r="96" spans="1:18" x14ac:dyDescent="0.2">
      <c r="A96" s="43" t="s">
        <v>59</v>
      </c>
      <c r="B96" s="55">
        <v>18.8</v>
      </c>
      <c r="C96" s="55">
        <v>18.8</v>
      </c>
      <c r="D96" s="55">
        <v>18.600000000000001</v>
      </c>
      <c r="E96" s="55">
        <v>18.600000000000001</v>
      </c>
      <c r="F96" s="56">
        <v>18.5</v>
      </c>
      <c r="G96" s="56">
        <v>18.7</v>
      </c>
      <c r="H96" s="57">
        <v>18.600000000000001</v>
      </c>
      <c r="I96" s="57">
        <v>19</v>
      </c>
      <c r="J96" s="57">
        <v>19.2</v>
      </c>
      <c r="K96" s="57">
        <v>19.334</v>
      </c>
      <c r="L96" s="56">
        <v>19.439</v>
      </c>
      <c r="M96" s="57">
        <v>19.454000000000001</v>
      </c>
      <c r="N96" s="56">
        <v>19.614999999999998</v>
      </c>
      <c r="O96" s="57">
        <v>19.8</v>
      </c>
      <c r="P96" s="56">
        <v>20.010000000000002</v>
      </c>
      <c r="Q96" s="57">
        <v>20.026</v>
      </c>
      <c r="R96" s="56">
        <v>19.817</v>
      </c>
    </row>
    <row r="97" spans="1:18" x14ac:dyDescent="0.2">
      <c r="A97" s="43" t="s">
        <v>58</v>
      </c>
      <c r="B97" s="55">
        <v>11.8</v>
      </c>
      <c r="C97" s="55">
        <v>11.9</v>
      </c>
      <c r="D97" s="55">
        <v>12</v>
      </c>
      <c r="E97" s="55">
        <v>12</v>
      </c>
      <c r="F97" s="56">
        <v>12</v>
      </c>
      <c r="G97" s="56">
        <v>12.1</v>
      </c>
      <c r="H97" s="57">
        <v>12.2</v>
      </c>
      <c r="I97" s="57">
        <v>12.3</v>
      </c>
      <c r="J97" s="57">
        <v>12.4</v>
      </c>
      <c r="K97" s="57">
        <v>12.705</v>
      </c>
      <c r="L97" s="56">
        <v>12.78</v>
      </c>
      <c r="M97" s="57">
        <v>12.670999999999999</v>
      </c>
      <c r="N97" s="56">
        <v>12.942</v>
      </c>
      <c r="O97" s="57">
        <v>13.113</v>
      </c>
      <c r="P97" s="56">
        <v>13.313000000000001</v>
      </c>
      <c r="Q97" s="57">
        <v>13.362</v>
      </c>
      <c r="R97" s="56">
        <v>13.494</v>
      </c>
    </row>
    <row r="98" spans="1:18" x14ac:dyDescent="0.2">
      <c r="A98" s="43" t="s">
        <v>57</v>
      </c>
      <c r="B98" s="55">
        <v>24.3</v>
      </c>
      <c r="C98" s="55">
        <v>24.4</v>
      </c>
      <c r="D98" s="55">
        <v>24.5</v>
      </c>
      <c r="E98" s="55">
        <v>24.7</v>
      </c>
      <c r="F98" s="56">
        <v>24.8</v>
      </c>
      <c r="G98" s="56">
        <v>24.7</v>
      </c>
      <c r="H98" s="57">
        <v>25</v>
      </c>
      <c r="I98" s="57">
        <v>25.3</v>
      </c>
      <c r="J98" s="57">
        <v>25.4</v>
      </c>
      <c r="K98" s="57">
        <v>26.006</v>
      </c>
      <c r="L98" s="56">
        <v>26.076000000000001</v>
      </c>
      <c r="M98" s="57">
        <v>25.942</v>
      </c>
      <c r="N98" s="56">
        <v>26.085000000000001</v>
      </c>
      <c r="O98" s="57">
        <v>26.52</v>
      </c>
      <c r="P98" s="56">
        <v>26.882000000000001</v>
      </c>
      <c r="Q98" s="57">
        <v>26.978000000000002</v>
      </c>
      <c r="R98" s="56">
        <v>27.085000000000001</v>
      </c>
    </row>
    <row r="99" spans="1:18" x14ac:dyDescent="0.2">
      <c r="A99" s="43" t="s">
        <v>56</v>
      </c>
      <c r="B99" s="55">
        <v>16.100000000000001</v>
      </c>
      <c r="C99" s="55">
        <v>16</v>
      </c>
      <c r="D99" s="55">
        <v>16.100000000000001</v>
      </c>
      <c r="E99" s="55">
        <v>16.3</v>
      </c>
      <c r="F99" s="56">
        <v>16.8</v>
      </c>
      <c r="G99" s="56">
        <v>16.899999999999999</v>
      </c>
      <c r="H99" s="57">
        <v>17.3</v>
      </c>
      <c r="I99" s="57">
        <v>17.600000000000001</v>
      </c>
      <c r="J99" s="57">
        <v>17.899999999999999</v>
      </c>
      <c r="K99" s="57">
        <v>18.262</v>
      </c>
      <c r="L99" s="56">
        <v>18.227</v>
      </c>
      <c r="M99" s="57">
        <v>18.14</v>
      </c>
      <c r="N99" s="56">
        <v>18.411999999999999</v>
      </c>
      <c r="O99" s="57">
        <v>18.45</v>
      </c>
      <c r="P99" s="56">
        <v>18.57</v>
      </c>
      <c r="Q99" s="57">
        <v>18.619</v>
      </c>
      <c r="R99" s="56">
        <v>18.847000000000001</v>
      </c>
    </row>
    <row r="100" spans="1:18" s="40" customFormat="1" x14ac:dyDescent="0.2">
      <c r="A100" s="41" t="s">
        <v>55</v>
      </c>
      <c r="B100" s="52">
        <v>247.9</v>
      </c>
      <c r="C100" s="52">
        <v>251.8</v>
      </c>
      <c r="D100" s="52">
        <v>254.7</v>
      </c>
      <c r="E100" s="52">
        <v>256.7</v>
      </c>
      <c r="F100" s="53">
        <v>257.7</v>
      </c>
      <c r="G100" s="53">
        <v>260.2</v>
      </c>
      <c r="H100" s="54">
        <v>262.60000000000002</v>
      </c>
      <c r="I100" s="54">
        <v>264.89999999999998</v>
      </c>
      <c r="J100" s="54">
        <v>267.8</v>
      </c>
      <c r="K100" s="54">
        <v>271.80099999999999</v>
      </c>
      <c r="L100" s="187">
        <v>273.072</v>
      </c>
      <c r="M100" s="54">
        <v>270.762</v>
      </c>
      <c r="N100" s="187">
        <v>275.21300000000002</v>
      </c>
      <c r="O100" s="54">
        <v>278.08800000000002</v>
      </c>
      <c r="P100" s="187">
        <v>283.35599999999999</v>
      </c>
      <c r="Q100" s="54">
        <v>283.65300000000002</v>
      </c>
      <c r="R100" s="187">
        <v>285.89999999999998</v>
      </c>
    </row>
    <row r="101" spans="1:18" x14ac:dyDescent="0.2">
      <c r="A101" s="43" t="s">
        <v>54</v>
      </c>
      <c r="B101" s="55">
        <v>98.6</v>
      </c>
      <c r="C101" s="55">
        <v>99.8</v>
      </c>
      <c r="D101" s="55">
        <v>100.6</v>
      </c>
      <c r="E101" s="55">
        <v>101.5</v>
      </c>
      <c r="F101" s="56">
        <v>102</v>
      </c>
      <c r="G101" s="56">
        <v>103.4</v>
      </c>
      <c r="H101" s="57">
        <v>104.4</v>
      </c>
      <c r="I101" s="57">
        <v>105.5</v>
      </c>
      <c r="J101" s="57">
        <v>106.4</v>
      </c>
      <c r="K101" s="57">
        <v>108.261</v>
      </c>
      <c r="L101" s="207">
        <v>108.379</v>
      </c>
      <c r="M101" s="208">
        <v>106.934</v>
      </c>
      <c r="N101" s="207">
        <v>109.182</v>
      </c>
      <c r="O101" s="208">
        <v>110.114</v>
      </c>
      <c r="P101" s="207">
        <v>112.96299999999999</v>
      </c>
      <c r="Q101" s="208">
        <v>112.815</v>
      </c>
      <c r="R101" s="207">
        <v>114.38500000000001</v>
      </c>
    </row>
    <row r="102" spans="1:18" x14ac:dyDescent="0.2">
      <c r="A102" s="43" t="s">
        <v>53</v>
      </c>
      <c r="B102" s="55">
        <v>53.9</v>
      </c>
      <c r="C102" s="55">
        <v>54</v>
      </c>
      <c r="D102" s="55">
        <v>55</v>
      </c>
      <c r="E102" s="55">
        <v>55.3</v>
      </c>
      <c r="F102" s="56">
        <v>55.5</v>
      </c>
      <c r="G102" s="56">
        <v>56</v>
      </c>
      <c r="H102" s="57">
        <v>56.2</v>
      </c>
      <c r="I102" s="57">
        <v>56.5</v>
      </c>
      <c r="J102" s="57">
        <v>56.6</v>
      </c>
      <c r="K102" s="57">
        <v>57.100999999999999</v>
      </c>
      <c r="L102" s="56">
        <v>57.145000000000003</v>
      </c>
      <c r="M102" s="57">
        <v>56.973999999999997</v>
      </c>
      <c r="N102" s="56">
        <v>58.046999999999997</v>
      </c>
      <c r="O102" s="57">
        <v>58.997</v>
      </c>
      <c r="P102" s="56">
        <v>59.933</v>
      </c>
      <c r="Q102" s="57">
        <v>59.877000000000002</v>
      </c>
      <c r="R102" s="56">
        <v>60.078000000000003</v>
      </c>
    </row>
    <row r="103" spans="1:18" x14ac:dyDescent="0.2">
      <c r="A103" s="43" t="s">
        <v>52</v>
      </c>
      <c r="B103" s="55">
        <v>21.4</v>
      </c>
      <c r="C103" s="55">
        <v>21.5</v>
      </c>
      <c r="D103" s="55">
        <v>21.8</v>
      </c>
      <c r="E103" s="55">
        <v>21.9</v>
      </c>
      <c r="F103" s="56">
        <v>21.9</v>
      </c>
      <c r="G103" s="56">
        <v>21.9</v>
      </c>
      <c r="H103" s="57">
        <v>22</v>
      </c>
      <c r="I103" s="57">
        <v>22.6</v>
      </c>
      <c r="J103" s="57">
        <v>23.7</v>
      </c>
      <c r="K103" s="57">
        <v>23.75</v>
      </c>
      <c r="L103" s="56">
        <v>23.812999999999999</v>
      </c>
      <c r="M103" s="57">
        <v>23.672999999999998</v>
      </c>
      <c r="N103" s="56">
        <v>23.917000000000002</v>
      </c>
      <c r="O103" s="57">
        <v>24.157</v>
      </c>
      <c r="P103" s="56">
        <v>23.927</v>
      </c>
      <c r="Q103" s="57">
        <v>24.001000000000001</v>
      </c>
      <c r="R103" s="56">
        <v>23.887</v>
      </c>
    </row>
    <row r="104" spans="1:18" x14ac:dyDescent="0.2">
      <c r="A104" s="43" t="s">
        <v>51</v>
      </c>
      <c r="B104" s="55">
        <v>37.9</v>
      </c>
      <c r="C104" s="55">
        <v>38.1</v>
      </c>
      <c r="D104" s="55">
        <v>38.4</v>
      </c>
      <c r="E104" s="55">
        <v>38.5</v>
      </c>
      <c r="F104" s="56">
        <v>38.5</v>
      </c>
      <c r="G104" s="56">
        <v>38.700000000000003</v>
      </c>
      <c r="H104" s="57">
        <v>38.9</v>
      </c>
      <c r="I104" s="57">
        <v>38.9</v>
      </c>
      <c r="J104" s="57">
        <v>39.1</v>
      </c>
      <c r="K104" s="57">
        <v>40.183</v>
      </c>
      <c r="L104" s="56">
        <v>40.637</v>
      </c>
      <c r="M104" s="57">
        <v>40.493000000000002</v>
      </c>
      <c r="N104" s="56">
        <v>40.258000000000003</v>
      </c>
      <c r="O104" s="57">
        <v>40.572000000000003</v>
      </c>
      <c r="P104" s="56">
        <v>40.914999999999999</v>
      </c>
      <c r="Q104" s="57">
        <v>41.268000000000001</v>
      </c>
      <c r="R104" s="56">
        <v>41.101999999999997</v>
      </c>
    </row>
    <row r="105" spans="1:18" x14ac:dyDescent="0.2">
      <c r="A105" s="43" t="s">
        <v>50</v>
      </c>
      <c r="B105" s="55">
        <v>36.200000000000003</v>
      </c>
      <c r="C105" s="55">
        <v>38.4</v>
      </c>
      <c r="D105" s="55">
        <v>38.9</v>
      </c>
      <c r="E105" s="55">
        <v>39.5</v>
      </c>
      <c r="F105" s="56">
        <v>39.9</v>
      </c>
      <c r="G105" s="56">
        <v>40.200000000000003</v>
      </c>
      <c r="H105" s="57">
        <v>41</v>
      </c>
      <c r="I105" s="57">
        <v>41.4</v>
      </c>
      <c r="J105" s="57">
        <v>41.9</v>
      </c>
      <c r="K105" s="57">
        <v>42.506</v>
      </c>
      <c r="L105" s="56">
        <v>43.097999999999999</v>
      </c>
      <c r="M105" s="57">
        <v>42.688000000000002</v>
      </c>
      <c r="N105" s="56">
        <v>43.808999999999997</v>
      </c>
      <c r="O105" s="57">
        <v>44.247999999999998</v>
      </c>
      <c r="P105" s="56">
        <v>45.618000000000002</v>
      </c>
      <c r="Q105" s="57">
        <v>45.692</v>
      </c>
      <c r="R105" s="56">
        <v>46.448</v>
      </c>
    </row>
    <row r="106" spans="1:18" s="40" customFormat="1" x14ac:dyDescent="0.2">
      <c r="A106" s="41" t="s">
        <v>49</v>
      </c>
      <c r="B106" s="52">
        <v>386.8</v>
      </c>
      <c r="C106" s="52">
        <v>388.8</v>
      </c>
      <c r="D106" s="52">
        <v>392.6</v>
      </c>
      <c r="E106" s="52">
        <v>394.5</v>
      </c>
      <c r="F106" s="53">
        <v>395.4</v>
      </c>
      <c r="G106" s="53">
        <v>395.5</v>
      </c>
      <c r="H106" s="54">
        <v>398.3</v>
      </c>
      <c r="I106" s="54">
        <v>402.7</v>
      </c>
      <c r="J106" s="54">
        <v>406</v>
      </c>
      <c r="K106" s="54">
        <v>409.03699999999998</v>
      </c>
      <c r="L106" s="187">
        <v>410.30700000000002</v>
      </c>
      <c r="M106" s="54">
        <v>409.34800000000001</v>
      </c>
      <c r="N106" s="187">
        <v>413.81599999999997</v>
      </c>
      <c r="O106" s="54">
        <v>423.31700000000001</v>
      </c>
      <c r="P106" s="187">
        <v>429.79500000000002</v>
      </c>
      <c r="Q106" s="54">
        <v>425.26499999999999</v>
      </c>
      <c r="R106" s="187">
        <v>431.26100000000002</v>
      </c>
    </row>
    <row r="107" spans="1:18" x14ac:dyDescent="0.2">
      <c r="A107" s="43" t="s">
        <v>48</v>
      </c>
      <c r="B107" s="55">
        <v>12.8</v>
      </c>
      <c r="C107" s="55">
        <v>13</v>
      </c>
      <c r="D107" s="55">
        <v>13.1</v>
      </c>
      <c r="E107" s="55">
        <v>13.3</v>
      </c>
      <c r="F107" s="56">
        <v>13.1</v>
      </c>
      <c r="G107" s="56">
        <v>13.2</v>
      </c>
      <c r="H107" s="57">
        <v>13.1</v>
      </c>
      <c r="I107" s="57">
        <v>13.5</v>
      </c>
      <c r="J107" s="57">
        <v>13.6</v>
      </c>
      <c r="K107" s="57">
        <v>13.558999999999999</v>
      </c>
      <c r="L107" s="56">
        <v>13.430999999999999</v>
      </c>
      <c r="M107" s="57">
        <v>13.379</v>
      </c>
      <c r="N107" s="56">
        <v>13.513</v>
      </c>
      <c r="O107" s="57">
        <v>13.601000000000001</v>
      </c>
      <c r="P107" s="56">
        <v>13.983000000000001</v>
      </c>
      <c r="Q107" s="57">
        <v>14</v>
      </c>
      <c r="R107" s="56">
        <v>14.096</v>
      </c>
    </row>
    <row r="108" spans="1:18" x14ac:dyDescent="0.2">
      <c r="A108" s="43" t="s">
        <v>47</v>
      </c>
      <c r="B108" s="55">
        <v>82.7</v>
      </c>
      <c r="C108" s="55">
        <v>83.7</v>
      </c>
      <c r="D108" s="55">
        <v>84.5</v>
      </c>
      <c r="E108" s="55">
        <v>84.9</v>
      </c>
      <c r="F108" s="56">
        <v>85.3</v>
      </c>
      <c r="G108" s="56">
        <v>85.3</v>
      </c>
      <c r="H108" s="57">
        <v>85.6</v>
      </c>
      <c r="I108" s="57">
        <v>86.3</v>
      </c>
      <c r="J108" s="57">
        <v>87</v>
      </c>
      <c r="K108" s="57">
        <v>87.033000000000001</v>
      </c>
      <c r="L108" s="56">
        <v>87.004000000000005</v>
      </c>
      <c r="M108" s="57">
        <v>86.626999999999995</v>
      </c>
      <c r="N108" s="56">
        <v>86.941999999999993</v>
      </c>
      <c r="O108" s="57">
        <v>87.668999999999997</v>
      </c>
      <c r="P108" s="56">
        <v>88.168000000000006</v>
      </c>
      <c r="Q108" s="57">
        <v>88.599000000000004</v>
      </c>
      <c r="R108" s="56">
        <v>89.507999999999996</v>
      </c>
    </row>
    <row r="109" spans="1:18" x14ac:dyDescent="0.2">
      <c r="A109" s="43" t="s">
        <v>46</v>
      </c>
      <c r="B109" s="55">
        <v>163.80000000000001</v>
      </c>
      <c r="C109" s="55">
        <v>164.4</v>
      </c>
      <c r="D109" s="55">
        <v>166.7</v>
      </c>
      <c r="E109" s="55">
        <v>167.5</v>
      </c>
      <c r="F109" s="56">
        <v>167.9</v>
      </c>
      <c r="G109" s="56">
        <v>168.1</v>
      </c>
      <c r="H109" s="57">
        <v>169.3</v>
      </c>
      <c r="I109" s="57">
        <v>172.1</v>
      </c>
      <c r="J109" s="57">
        <v>174.3</v>
      </c>
      <c r="K109" s="57">
        <v>176.19300000000001</v>
      </c>
      <c r="L109" s="56">
        <v>176.20099999999999</v>
      </c>
      <c r="M109" s="57">
        <v>176.48699999999999</v>
      </c>
      <c r="N109" s="56">
        <v>177.97800000000001</v>
      </c>
      <c r="O109" s="57">
        <v>178.44200000000001</v>
      </c>
      <c r="P109" s="56">
        <v>181.565</v>
      </c>
      <c r="Q109" s="57">
        <v>184.29300000000001</v>
      </c>
      <c r="R109" s="56">
        <v>186.29300000000001</v>
      </c>
    </row>
    <row r="110" spans="1:18" x14ac:dyDescent="0.2">
      <c r="A110" s="43" t="s">
        <v>45</v>
      </c>
      <c r="B110" s="55">
        <v>12.4</v>
      </c>
      <c r="C110" s="55">
        <v>12.2</v>
      </c>
      <c r="D110" s="55">
        <v>12.4</v>
      </c>
      <c r="E110" s="55">
        <v>12.3</v>
      </c>
      <c r="F110" s="56">
        <v>12.2</v>
      </c>
      <c r="G110" s="56">
        <v>12.4</v>
      </c>
      <c r="H110" s="57">
        <v>12.5</v>
      </c>
      <c r="I110" s="57">
        <v>12.5</v>
      </c>
      <c r="J110" s="57">
        <v>12.6</v>
      </c>
      <c r="K110" s="57">
        <v>12.823</v>
      </c>
      <c r="L110" s="56">
        <v>13.14</v>
      </c>
      <c r="M110" s="57">
        <v>12.984999999999999</v>
      </c>
      <c r="N110" s="56">
        <v>13.307</v>
      </c>
      <c r="O110" s="57">
        <v>13.318</v>
      </c>
      <c r="P110" s="56">
        <v>13.683999999999999</v>
      </c>
      <c r="Q110" s="57">
        <v>13.834</v>
      </c>
      <c r="R110" s="56">
        <v>13.843</v>
      </c>
    </row>
    <row r="111" spans="1:18" x14ac:dyDescent="0.2">
      <c r="A111" s="43" t="s">
        <v>44</v>
      </c>
      <c r="B111" s="55">
        <v>73.8</v>
      </c>
      <c r="C111" s="55">
        <v>74</v>
      </c>
      <c r="D111" s="55">
        <v>74.099999999999994</v>
      </c>
      <c r="E111" s="55">
        <v>74.599999999999994</v>
      </c>
      <c r="F111" s="56">
        <v>74.8</v>
      </c>
      <c r="G111" s="56">
        <v>74.400000000000006</v>
      </c>
      <c r="H111" s="57">
        <v>75</v>
      </c>
      <c r="I111" s="57">
        <v>75.3</v>
      </c>
      <c r="J111" s="57">
        <v>75.900000000000006</v>
      </c>
      <c r="K111" s="57">
        <v>75.703999999999994</v>
      </c>
      <c r="L111" s="56">
        <v>76.537999999999997</v>
      </c>
      <c r="M111" s="57">
        <v>75.986000000000004</v>
      </c>
      <c r="N111" s="56">
        <v>78.210999999999999</v>
      </c>
      <c r="O111" s="57">
        <v>86.308000000000007</v>
      </c>
      <c r="P111" s="56">
        <v>87.72</v>
      </c>
      <c r="Q111" s="57">
        <v>79.676000000000002</v>
      </c>
      <c r="R111" s="56">
        <v>82.471999999999994</v>
      </c>
    </row>
    <row r="112" spans="1:18" x14ac:dyDescent="0.2">
      <c r="A112" s="42" t="s">
        <v>43</v>
      </c>
      <c r="B112" s="55">
        <v>41.3</v>
      </c>
      <c r="C112" s="55">
        <v>41.5</v>
      </c>
      <c r="D112" s="55">
        <v>41.9</v>
      </c>
      <c r="E112" s="55">
        <v>42.1</v>
      </c>
      <c r="F112" s="56">
        <v>42.1</v>
      </c>
      <c r="G112" s="56">
        <v>42</v>
      </c>
      <c r="H112" s="57">
        <v>42.7</v>
      </c>
      <c r="I112" s="57">
        <v>43</v>
      </c>
      <c r="J112" s="57">
        <v>42.6</v>
      </c>
      <c r="K112" s="57">
        <v>43.725000000000001</v>
      </c>
      <c r="L112" s="56">
        <v>43.993000000000002</v>
      </c>
      <c r="M112" s="57">
        <v>43.884</v>
      </c>
      <c r="N112" s="56">
        <v>43.865000000000002</v>
      </c>
      <c r="O112" s="57">
        <v>43.978999999999999</v>
      </c>
      <c r="P112" s="56">
        <v>44.674999999999997</v>
      </c>
      <c r="Q112" s="57">
        <v>44.863</v>
      </c>
      <c r="R112" s="56">
        <v>45.048999999999999</v>
      </c>
    </row>
    <row r="113" spans="1:18" s="40" customFormat="1" x14ac:dyDescent="0.2">
      <c r="A113" s="41" t="s">
        <v>41</v>
      </c>
      <c r="B113" s="52">
        <v>161</v>
      </c>
      <c r="C113" s="52">
        <v>162.1</v>
      </c>
      <c r="D113" s="52">
        <v>164.4</v>
      </c>
      <c r="E113" s="52">
        <v>166.2</v>
      </c>
      <c r="F113" s="53">
        <v>167</v>
      </c>
      <c r="G113" s="53">
        <v>168.4</v>
      </c>
      <c r="H113" s="54">
        <v>171.9</v>
      </c>
      <c r="I113" s="54">
        <v>175.2</v>
      </c>
      <c r="J113" s="54">
        <v>177.8</v>
      </c>
      <c r="K113" s="54">
        <v>179.31399999999999</v>
      </c>
      <c r="L113" s="187">
        <v>179.899</v>
      </c>
      <c r="M113" s="54">
        <v>176.33799999999999</v>
      </c>
      <c r="N113" s="187">
        <v>182.45099999999999</v>
      </c>
      <c r="O113" s="54">
        <v>182.71299999999999</v>
      </c>
      <c r="P113" s="187">
        <v>185.63900000000001</v>
      </c>
      <c r="Q113" s="54">
        <v>185.61600000000001</v>
      </c>
      <c r="R113" s="187">
        <v>186.59899999999999</v>
      </c>
    </row>
    <row r="114" spans="1:18" x14ac:dyDescent="0.2">
      <c r="A114" s="43" t="s">
        <v>40</v>
      </c>
      <c r="B114" s="55">
        <v>36.299999999999997</v>
      </c>
      <c r="C114" s="55">
        <v>36.5</v>
      </c>
      <c r="D114" s="55">
        <v>36.700000000000003</v>
      </c>
      <c r="E114" s="55">
        <v>36.799999999999997</v>
      </c>
      <c r="F114" s="56">
        <v>36.799999999999997</v>
      </c>
      <c r="G114" s="56">
        <v>37.1</v>
      </c>
      <c r="H114" s="57">
        <v>37.4</v>
      </c>
      <c r="I114" s="57">
        <v>38</v>
      </c>
      <c r="J114" s="57">
        <v>38.5</v>
      </c>
      <c r="K114" s="57">
        <v>38.057000000000002</v>
      </c>
      <c r="L114" s="56">
        <v>37.497999999999998</v>
      </c>
      <c r="M114" s="57">
        <v>36.441000000000003</v>
      </c>
      <c r="N114" s="56">
        <v>38.168999999999997</v>
      </c>
      <c r="O114" s="57">
        <v>38.298999999999999</v>
      </c>
      <c r="P114" s="56">
        <v>38.476999999999997</v>
      </c>
      <c r="Q114" s="57">
        <v>38.447000000000003</v>
      </c>
      <c r="R114" s="56">
        <v>38.545999999999999</v>
      </c>
    </row>
    <row r="115" spans="1:18" x14ac:dyDescent="0.2">
      <c r="A115" s="43" t="s">
        <v>39</v>
      </c>
      <c r="B115" s="55">
        <v>38.5</v>
      </c>
      <c r="C115" s="55">
        <v>38</v>
      </c>
      <c r="D115" s="55">
        <v>37.9</v>
      </c>
      <c r="E115" s="55">
        <v>38.6</v>
      </c>
      <c r="F115" s="56">
        <v>38.200000000000003</v>
      </c>
      <c r="G115" s="56">
        <v>38.299999999999997</v>
      </c>
      <c r="H115" s="57">
        <v>38.6</v>
      </c>
      <c r="I115" s="57">
        <v>38.5</v>
      </c>
      <c r="J115" s="57">
        <v>38.200000000000003</v>
      </c>
      <c r="K115" s="57">
        <v>39.241999999999997</v>
      </c>
      <c r="L115" s="56">
        <v>39.445</v>
      </c>
      <c r="M115" s="57">
        <v>39.210999999999999</v>
      </c>
      <c r="N115" s="56">
        <v>39.033999999999999</v>
      </c>
      <c r="O115" s="57">
        <v>39.408999999999999</v>
      </c>
      <c r="P115" s="56">
        <v>40.29</v>
      </c>
      <c r="Q115" s="57">
        <v>40.331000000000003</v>
      </c>
      <c r="R115" s="56">
        <v>39.807000000000002</v>
      </c>
    </row>
    <row r="116" spans="1:18" x14ac:dyDescent="0.2">
      <c r="A116" s="43" t="s">
        <v>38</v>
      </c>
      <c r="B116" s="55">
        <v>19.7</v>
      </c>
      <c r="C116" s="55">
        <v>20.100000000000001</v>
      </c>
      <c r="D116" s="55">
        <v>20.9</v>
      </c>
      <c r="E116" s="55">
        <v>21.5</v>
      </c>
      <c r="F116" s="56">
        <v>22.3</v>
      </c>
      <c r="G116" s="56">
        <v>22.4</v>
      </c>
      <c r="H116" s="57">
        <v>23.5</v>
      </c>
      <c r="I116" s="57">
        <v>25</v>
      </c>
      <c r="J116" s="57">
        <v>25.6</v>
      </c>
      <c r="K116" s="57">
        <v>26.349</v>
      </c>
      <c r="L116" s="207">
        <v>26.51</v>
      </c>
      <c r="M116" s="208">
        <v>24.57</v>
      </c>
      <c r="N116" s="207">
        <v>26.532</v>
      </c>
      <c r="O116" s="208">
        <v>26.422999999999998</v>
      </c>
      <c r="P116" s="207">
        <v>27.263000000000002</v>
      </c>
      <c r="Q116" s="208">
        <v>27.259</v>
      </c>
      <c r="R116" s="207">
        <v>27.818999999999999</v>
      </c>
    </row>
    <row r="117" spans="1:18" x14ac:dyDescent="0.2">
      <c r="A117" s="42" t="s">
        <v>37</v>
      </c>
      <c r="B117" s="58">
        <v>66.400000000000006</v>
      </c>
      <c r="C117" s="58">
        <v>67.5</v>
      </c>
      <c r="D117" s="58">
        <v>68.900000000000006</v>
      </c>
      <c r="E117" s="58">
        <v>69.3</v>
      </c>
      <c r="F117" s="59">
        <v>69.7</v>
      </c>
      <c r="G117" s="59">
        <v>70.599999999999994</v>
      </c>
      <c r="H117" s="60">
        <v>72.3</v>
      </c>
      <c r="I117" s="60">
        <v>73.7</v>
      </c>
      <c r="J117" s="60">
        <v>75.5</v>
      </c>
      <c r="K117" s="60">
        <v>75.665999999999997</v>
      </c>
      <c r="L117" s="59">
        <v>76.445999999999998</v>
      </c>
      <c r="M117" s="60">
        <v>76.116</v>
      </c>
      <c r="N117" s="59">
        <v>78.715999999999994</v>
      </c>
      <c r="O117" s="60">
        <v>78.581999999999994</v>
      </c>
      <c r="P117" s="59">
        <v>79.608999999999995</v>
      </c>
      <c r="Q117" s="60">
        <v>79.578999999999994</v>
      </c>
      <c r="R117" s="59">
        <v>80.427000000000007</v>
      </c>
    </row>
    <row r="118" spans="1:18" x14ac:dyDescent="0.2">
      <c r="A118" s="472" t="s">
        <v>12</v>
      </c>
      <c r="B118" s="472"/>
      <c r="C118" s="472"/>
      <c r="D118" s="472"/>
      <c r="E118" s="472"/>
      <c r="F118" s="472"/>
      <c r="H118" s="39"/>
      <c r="I118" s="39"/>
      <c r="J118" s="39"/>
      <c r="K118" s="39"/>
      <c r="L118" s="39"/>
      <c r="O118" s="199"/>
    </row>
    <row r="119" spans="1:18" x14ac:dyDescent="0.2">
      <c r="A119" s="196" t="s">
        <v>222</v>
      </c>
      <c r="B119" s="159"/>
      <c r="C119" s="159"/>
      <c r="D119" s="159"/>
      <c r="E119" s="159"/>
      <c r="F119" s="159"/>
      <c r="O119" s="199"/>
    </row>
    <row r="120" spans="1:18" x14ac:dyDescent="0.2">
      <c r="A120" s="160" t="s">
        <v>225</v>
      </c>
      <c r="B120" s="160"/>
      <c r="C120" s="160"/>
      <c r="D120" s="160"/>
      <c r="E120" s="160"/>
      <c r="F120" s="160"/>
      <c r="O120" s="199"/>
    </row>
    <row r="121" spans="1:18" x14ac:dyDescent="0.2">
      <c r="A121" s="160" t="s">
        <v>269</v>
      </c>
      <c r="B121" s="160"/>
      <c r="C121" s="160"/>
      <c r="D121" s="160"/>
      <c r="E121" s="160"/>
      <c r="F121" s="160"/>
      <c r="O121" s="199"/>
    </row>
  </sheetData>
  <mergeCells count="1">
    <mergeCell ref="A118:F118"/>
  </mergeCells>
  <pageMargins left="0.78740157499999996" right="0.78740157499999996" top="0.984251969" bottom="0.984251969" header="0.5" footer="0.5"/>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2"/>
  <sheetViews>
    <sheetView showGridLines="0" zoomScaleNormal="100" workbookViewId="0">
      <pane xSplit="1" ySplit="3" topLeftCell="B4" activePane="bottomRight" state="frozen"/>
      <selection pane="topRight" activeCell="B1" sqref="B1"/>
      <selection pane="bottomLeft" activeCell="A5" sqref="A5"/>
      <selection pane="bottomRight"/>
    </sheetView>
  </sheetViews>
  <sheetFormatPr baseColWidth="10" defaultRowHeight="12.75" x14ac:dyDescent="0.2"/>
  <cols>
    <col min="1" max="1" width="42.42578125" style="75" customWidth="1"/>
    <col min="2" max="5" width="20.7109375" style="75" customWidth="1"/>
    <col min="6" max="16384" width="11.42578125" style="75"/>
  </cols>
  <sheetData>
    <row r="1" spans="1:6" x14ac:dyDescent="0.2">
      <c r="A1" s="61" t="s">
        <v>270</v>
      </c>
      <c r="B1" s="61"/>
      <c r="C1" s="61"/>
      <c r="D1" s="61"/>
      <c r="E1" s="61"/>
    </row>
    <row r="2" spans="1:6" x14ac:dyDescent="0.2">
      <c r="A2" s="119" t="s">
        <v>26</v>
      </c>
      <c r="B2" s="61"/>
      <c r="C2" s="61"/>
      <c r="D2" s="61"/>
      <c r="E2" s="61"/>
    </row>
    <row r="3" spans="1:6" ht="26.25" customHeight="1" x14ac:dyDescent="0.2">
      <c r="A3" s="200"/>
      <c r="B3" s="201" t="s">
        <v>160</v>
      </c>
      <c r="C3" s="201" t="s">
        <v>161</v>
      </c>
      <c r="D3" s="201" t="s">
        <v>162</v>
      </c>
      <c r="E3" s="428" t="s">
        <v>163</v>
      </c>
      <c r="F3" s="205"/>
    </row>
    <row r="4" spans="1:6" x14ac:dyDescent="0.2">
      <c r="A4" s="62" t="s">
        <v>151</v>
      </c>
      <c r="B4" s="213">
        <v>251.59299999999999</v>
      </c>
      <c r="C4" s="213">
        <v>231.529</v>
      </c>
      <c r="D4" s="213">
        <v>151.613</v>
      </c>
      <c r="E4" s="429">
        <f t="shared" ref="E4:E35" si="0">B4+C4+D4</f>
        <v>634.7349999999999</v>
      </c>
      <c r="F4" s="205"/>
    </row>
    <row r="5" spans="1:6" x14ac:dyDescent="0.2">
      <c r="A5" s="63" t="s">
        <v>150</v>
      </c>
      <c r="B5" s="214">
        <v>7.9690000000000003</v>
      </c>
      <c r="C5" s="214">
        <v>9.5329999999999995</v>
      </c>
      <c r="D5" s="214">
        <v>9.8119999999999994</v>
      </c>
      <c r="E5" s="430">
        <f t="shared" si="0"/>
        <v>27.314</v>
      </c>
      <c r="F5" s="205"/>
    </row>
    <row r="6" spans="1:6" x14ac:dyDescent="0.2">
      <c r="A6" s="63" t="s">
        <v>149</v>
      </c>
      <c r="B6" s="214">
        <v>3.5680000000000001</v>
      </c>
      <c r="C6" s="214">
        <v>4.8310000000000004</v>
      </c>
      <c r="D6" s="214">
        <v>3.8279999999999998</v>
      </c>
      <c r="E6" s="431">
        <f t="shared" si="0"/>
        <v>12.227</v>
      </c>
    </row>
    <row r="7" spans="1:6" x14ac:dyDescent="0.2">
      <c r="A7" s="63" t="s">
        <v>148</v>
      </c>
      <c r="B7" s="214">
        <v>5.3380000000000001</v>
      </c>
      <c r="C7" s="214">
        <v>6.0540000000000003</v>
      </c>
      <c r="D7" s="214">
        <v>4.3949999999999996</v>
      </c>
      <c r="E7" s="431">
        <f t="shared" si="0"/>
        <v>15.786999999999999</v>
      </c>
    </row>
    <row r="8" spans="1:6" x14ac:dyDescent="0.2">
      <c r="A8" s="63" t="s">
        <v>147</v>
      </c>
      <c r="B8" s="214">
        <v>25.457999999999998</v>
      </c>
      <c r="C8" s="214">
        <v>21.623000000000001</v>
      </c>
      <c r="D8" s="214">
        <v>14.881</v>
      </c>
      <c r="E8" s="431">
        <f t="shared" si="0"/>
        <v>61.962000000000003</v>
      </c>
    </row>
    <row r="9" spans="1:6" x14ac:dyDescent="0.2">
      <c r="A9" s="63" t="s">
        <v>146</v>
      </c>
      <c r="B9" s="214">
        <v>14.516999999999999</v>
      </c>
      <c r="C9" s="214">
        <v>13.109</v>
      </c>
      <c r="D9" s="214">
        <v>7.4039999999999999</v>
      </c>
      <c r="E9" s="431">
        <f t="shared" si="0"/>
        <v>35.03</v>
      </c>
    </row>
    <row r="10" spans="1:6" x14ac:dyDescent="0.2">
      <c r="A10" s="63" t="s">
        <v>145</v>
      </c>
      <c r="B10" s="214">
        <v>7.1539999999999999</v>
      </c>
      <c r="C10" s="214">
        <v>9.3460000000000001</v>
      </c>
      <c r="D10" s="214">
        <v>6.1980000000000004</v>
      </c>
      <c r="E10" s="431">
        <f t="shared" si="0"/>
        <v>22.698</v>
      </c>
    </row>
    <row r="11" spans="1:6" x14ac:dyDescent="0.2">
      <c r="A11" s="63" t="s">
        <v>144</v>
      </c>
      <c r="B11" s="214">
        <v>13.176</v>
      </c>
      <c r="C11" s="214">
        <v>13.573</v>
      </c>
      <c r="D11" s="214">
        <v>9.2110000000000003</v>
      </c>
      <c r="E11" s="431">
        <f t="shared" si="0"/>
        <v>35.96</v>
      </c>
    </row>
    <row r="12" spans="1:6" x14ac:dyDescent="0.2">
      <c r="A12" s="63" t="s">
        <v>143</v>
      </c>
      <c r="B12" s="214">
        <v>19.148</v>
      </c>
      <c r="C12" s="214">
        <v>23.591000000000001</v>
      </c>
      <c r="D12" s="214">
        <v>13.175000000000001</v>
      </c>
      <c r="E12" s="431">
        <f t="shared" si="0"/>
        <v>55.914000000000001</v>
      </c>
    </row>
    <row r="13" spans="1:6" x14ac:dyDescent="0.2">
      <c r="A13" s="63" t="s">
        <v>142</v>
      </c>
      <c r="B13" s="214">
        <v>42.783000000000001</v>
      </c>
      <c r="C13" s="214">
        <v>38.161000000000001</v>
      </c>
      <c r="D13" s="214">
        <v>23.055</v>
      </c>
      <c r="E13" s="431">
        <f t="shared" si="0"/>
        <v>103.999</v>
      </c>
    </row>
    <row r="14" spans="1:6" x14ac:dyDescent="0.2">
      <c r="A14" s="63" t="s">
        <v>141</v>
      </c>
      <c r="B14" s="214">
        <v>21.571999999999999</v>
      </c>
      <c r="C14" s="214">
        <v>18.768000000000001</v>
      </c>
      <c r="D14" s="214">
        <v>18.146999999999998</v>
      </c>
      <c r="E14" s="431">
        <f t="shared" si="0"/>
        <v>58.487000000000002</v>
      </c>
    </row>
    <row r="15" spans="1:6" x14ac:dyDescent="0.2">
      <c r="A15" s="63" t="s">
        <v>140</v>
      </c>
      <c r="B15" s="214">
        <v>78.212000000000003</v>
      </c>
      <c r="C15" s="214">
        <v>56.85</v>
      </c>
      <c r="D15" s="214">
        <v>32.665999999999997</v>
      </c>
      <c r="E15" s="431">
        <f t="shared" si="0"/>
        <v>167.72800000000001</v>
      </c>
    </row>
    <row r="16" spans="1:6" x14ac:dyDescent="0.2">
      <c r="A16" s="64" t="s">
        <v>139</v>
      </c>
      <c r="B16" s="216">
        <v>12.698</v>
      </c>
      <c r="C16" s="216">
        <v>16.09</v>
      </c>
      <c r="D16" s="216">
        <v>8.8409999999999993</v>
      </c>
      <c r="E16" s="432">
        <f t="shared" si="0"/>
        <v>37.628999999999998</v>
      </c>
    </row>
    <row r="17" spans="1:5" x14ac:dyDescent="0.2">
      <c r="A17" s="62" t="s">
        <v>138</v>
      </c>
      <c r="B17" s="213">
        <v>83.137</v>
      </c>
      <c r="C17" s="213">
        <v>76.061000000000007</v>
      </c>
      <c r="D17" s="213">
        <v>64.924999999999997</v>
      </c>
      <c r="E17" s="433">
        <f t="shared" si="0"/>
        <v>224.12299999999999</v>
      </c>
    </row>
    <row r="18" spans="1:5" x14ac:dyDescent="0.2">
      <c r="A18" s="63" t="s">
        <v>137</v>
      </c>
      <c r="B18" s="214">
        <v>21.556000000000001</v>
      </c>
      <c r="C18" s="214">
        <v>15.504</v>
      </c>
      <c r="D18" s="214">
        <v>13.574999999999999</v>
      </c>
      <c r="E18" s="431">
        <f t="shared" si="0"/>
        <v>50.635000000000005</v>
      </c>
    </row>
    <row r="19" spans="1:5" x14ac:dyDescent="0.2">
      <c r="A19" s="63" t="s">
        <v>136</v>
      </c>
      <c r="B19" s="214">
        <v>5.2930000000000001</v>
      </c>
      <c r="C19" s="214">
        <v>6.2720000000000002</v>
      </c>
      <c r="D19" s="214">
        <v>4.9210000000000003</v>
      </c>
      <c r="E19" s="431">
        <f t="shared" si="0"/>
        <v>16.486000000000001</v>
      </c>
    </row>
    <row r="20" spans="1:5" x14ac:dyDescent="0.2">
      <c r="A20" s="63" t="s">
        <v>135</v>
      </c>
      <c r="B20" s="214">
        <v>13.331</v>
      </c>
      <c r="C20" s="214">
        <v>14.398999999999999</v>
      </c>
      <c r="D20" s="214">
        <v>12.988</v>
      </c>
      <c r="E20" s="431">
        <f t="shared" si="0"/>
        <v>40.717999999999996</v>
      </c>
    </row>
    <row r="21" spans="1:5" x14ac:dyDescent="0.2">
      <c r="A21" s="63" t="s">
        <v>134</v>
      </c>
      <c r="B21" s="214">
        <v>8.4670000000000005</v>
      </c>
      <c r="C21" s="214">
        <v>8.4510000000000005</v>
      </c>
      <c r="D21" s="214">
        <v>8.83</v>
      </c>
      <c r="E21" s="431">
        <f t="shared" si="0"/>
        <v>25.747999999999998</v>
      </c>
    </row>
    <row r="22" spans="1:5" x14ac:dyDescent="0.2">
      <c r="A22" s="63" t="s">
        <v>133</v>
      </c>
      <c r="B22" s="214">
        <v>18.628</v>
      </c>
      <c r="C22" s="214">
        <v>15.316000000000001</v>
      </c>
      <c r="D22" s="214">
        <v>11.821999999999999</v>
      </c>
      <c r="E22" s="431">
        <f t="shared" si="0"/>
        <v>45.766000000000005</v>
      </c>
    </row>
    <row r="23" spans="1:5" x14ac:dyDescent="0.2">
      <c r="A23" s="63" t="s">
        <v>132</v>
      </c>
      <c r="B23" s="214">
        <v>5.3239999999999998</v>
      </c>
      <c r="C23" s="214">
        <v>5.0439999999999996</v>
      </c>
      <c r="D23" s="214">
        <v>2.9350000000000001</v>
      </c>
      <c r="E23" s="431">
        <f t="shared" si="0"/>
        <v>13.302999999999999</v>
      </c>
    </row>
    <row r="24" spans="1:5" x14ac:dyDescent="0.2">
      <c r="A24" s="63" t="s">
        <v>131</v>
      </c>
      <c r="B24" s="214">
        <v>6.319</v>
      </c>
      <c r="C24" s="214">
        <v>7.008</v>
      </c>
      <c r="D24" s="214">
        <v>5.8129999999999997</v>
      </c>
      <c r="E24" s="431">
        <f t="shared" si="0"/>
        <v>19.14</v>
      </c>
    </row>
    <row r="25" spans="1:5" x14ac:dyDescent="0.2">
      <c r="A25" s="64" t="s">
        <v>130</v>
      </c>
      <c r="B25" s="214">
        <v>4.2190000000000003</v>
      </c>
      <c r="C25" s="214">
        <v>4.0670000000000002</v>
      </c>
      <c r="D25" s="214">
        <v>4.0410000000000004</v>
      </c>
      <c r="E25" s="432">
        <f t="shared" si="0"/>
        <v>12.327000000000002</v>
      </c>
    </row>
    <row r="26" spans="1:5" x14ac:dyDescent="0.2">
      <c r="A26" s="65" t="s">
        <v>129</v>
      </c>
      <c r="B26" s="218">
        <v>108.03100000000001</v>
      </c>
      <c r="C26" s="218">
        <v>100.38</v>
      </c>
      <c r="D26" s="219">
        <v>70.022000000000006</v>
      </c>
      <c r="E26" s="434">
        <f t="shared" si="0"/>
        <v>278.43299999999999</v>
      </c>
    </row>
    <row r="27" spans="1:5" x14ac:dyDescent="0.2">
      <c r="A27" s="66" t="s">
        <v>128</v>
      </c>
      <c r="B27" s="215">
        <v>13.834</v>
      </c>
      <c r="C27" s="215">
        <v>20.777000000000001</v>
      </c>
      <c r="D27" s="220">
        <v>11.086</v>
      </c>
      <c r="E27" s="435">
        <f t="shared" si="0"/>
        <v>45.697000000000003</v>
      </c>
    </row>
    <row r="28" spans="1:5" x14ac:dyDescent="0.2">
      <c r="A28" s="66" t="s">
        <v>127</v>
      </c>
      <c r="B28" s="215">
        <v>28.843</v>
      </c>
      <c r="C28" s="215">
        <v>25.282</v>
      </c>
      <c r="D28" s="220">
        <v>19.419</v>
      </c>
      <c r="E28" s="435">
        <f t="shared" si="0"/>
        <v>73.543999999999997</v>
      </c>
    </row>
    <row r="29" spans="1:5" x14ac:dyDescent="0.2">
      <c r="A29" s="66" t="s">
        <v>126</v>
      </c>
      <c r="B29" s="215">
        <v>47.164000000000001</v>
      </c>
      <c r="C29" s="215">
        <v>33.713999999999999</v>
      </c>
      <c r="D29" s="220">
        <v>21.402999999999999</v>
      </c>
      <c r="E29" s="435">
        <f t="shared" si="0"/>
        <v>102.28100000000001</v>
      </c>
    </row>
    <row r="30" spans="1:5" x14ac:dyDescent="0.2">
      <c r="A30" s="67" t="s">
        <v>125</v>
      </c>
      <c r="B30" s="217">
        <v>18.190000000000001</v>
      </c>
      <c r="C30" s="217">
        <v>20.606999999999999</v>
      </c>
      <c r="D30" s="221">
        <v>18.114000000000001</v>
      </c>
      <c r="E30" s="436">
        <f t="shared" si="0"/>
        <v>56.911000000000001</v>
      </c>
    </row>
    <row r="31" spans="1:5" x14ac:dyDescent="0.2">
      <c r="A31" s="62" t="s">
        <v>124</v>
      </c>
      <c r="B31" s="213">
        <v>72.921999999999997</v>
      </c>
      <c r="C31" s="213">
        <v>70.587999999999994</v>
      </c>
      <c r="D31" s="213">
        <v>53.454000000000001</v>
      </c>
      <c r="E31" s="433">
        <f t="shared" si="0"/>
        <v>196.964</v>
      </c>
    </row>
    <row r="32" spans="1:5" x14ac:dyDescent="0.2">
      <c r="A32" s="63" t="s">
        <v>123</v>
      </c>
      <c r="B32" s="214">
        <v>8.5289999999999999</v>
      </c>
      <c r="C32" s="214">
        <v>8.3789999999999996</v>
      </c>
      <c r="D32" s="214">
        <v>6.9109999999999996</v>
      </c>
      <c r="E32" s="431">
        <f t="shared" si="0"/>
        <v>23.819000000000003</v>
      </c>
    </row>
    <row r="33" spans="1:5" x14ac:dyDescent="0.2">
      <c r="A33" s="63" t="s">
        <v>122</v>
      </c>
      <c r="B33" s="214">
        <v>10.085000000000001</v>
      </c>
      <c r="C33" s="214">
        <v>10.153</v>
      </c>
      <c r="D33" s="214">
        <v>8.5280000000000005</v>
      </c>
      <c r="E33" s="431">
        <f t="shared" si="0"/>
        <v>28.765999999999998</v>
      </c>
    </row>
    <row r="34" spans="1:5" x14ac:dyDescent="0.2">
      <c r="A34" s="63" t="s">
        <v>121</v>
      </c>
      <c r="B34" s="214">
        <v>6.0179999999999998</v>
      </c>
      <c r="C34" s="214">
        <v>5.8920000000000003</v>
      </c>
      <c r="D34" s="214">
        <v>5.1950000000000003</v>
      </c>
      <c r="E34" s="431">
        <f t="shared" si="0"/>
        <v>17.105</v>
      </c>
    </row>
    <row r="35" spans="1:5" x14ac:dyDescent="0.2">
      <c r="A35" s="63" t="s">
        <v>120</v>
      </c>
      <c r="B35" s="214">
        <v>17.87</v>
      </c>
      <c r="C35" s="214">
        <v>16.186</v>
      </c>
      <c r="D35" s="214">
        <v>14.407</v>
      </c>
      <c r="E35" s="431">
        <f t="shared" si="0"/>
        <v>48.462999999999994</v>
      </c>
    </row>
    <row r="36" spans="1:5" x14ac:dyDescent="0.2">
      <c r="A36" s="63" t="s">
        <v>119</v>
      </c>
      <c r="B36" s="214">
        <v>22.972000000000001</v>
      </c>
      <c r="C36" s="214">
        <v>21.350999999999999</v>
      </c>
      <c r="D36" s="214">
        <v>11.496</v>
      </c>
      <c r="E36" s="431">
        <f t="shared" ref="E36:E67" si="1">B36+C36+D36</f>
        <v>55.819000000000003</v>
      </c>
    </row>
    <row r="37" spans="1:5" x14ac:dyDescent="0.2">
      <c r="A37" s="64" t="s">
        <v>118</v>
      </c>
      <c r="B37" s="214">
        <v>7.4480000000000004</v>
      </c>
      <c r="C37" s="214">
        <v>8.6270000000000007</v>
      </c>
      <c r="D37" s="214">
        <v>6.9169999999999998</v>
      </c>
      <c r="E37" s="432">
        <f t="shared" si="1"/>
        <v>22.992000000000004</v>
      </c>
    </row>
    <row r="38" spans="1:5" x14ac:dyDescent="0.2">
      <c r="A38" s="68" t="s">
        <v>117</v>
      </c>
      <c r="B38" s="213">
        <v>10.791</v>
      </c>
      <c r="C38" s="213">
        <v>13.95</v>
      </c>
      <c r="D38" s="213">
        <v>6.4089999999999998</v>
      </c>
      <c r="E38" s="433">
        <f t="shared" si="1"/>
        <v>31.15</v>
      </c>
    </row>
    <row r="39" spans="1:5" x14ac:dyDescent="0.2">
      <c r="A39" s="66" t="s">
        <v>116</v>
      </c>
      <c r="B39" s="214">
        <v>4.9969999999999999</v>
      </c>
      <c r="C39" s="214">
        <v>9.4770000000000003</v>
      </c>
      <c r="D39" s="214">
        <v>3.6789999999999998</v>
      </c>
      <c r="E39" s="431">
        <f t="shared" si="1"/>
        <v>18.152999999999999</v>
      </c>
    </row>
    <row r="40" spans="1:5" x14ac:dyDescent="0.2">
      <c r="A40" s="67" t="s">
        <v>115</v>
      </c>
      <c r="B40" s="216">
        <v>5.7939999999999996</v>
      </c>
      <c r="C40" s="216">
        <v>4.4729999999999999</v>
      </c>
      <c r="D40" s="216">
        <v>2.73</v>
      </c>
      <c r="E40" s="432">
        <f t="shared" si="1"/>
        <v>12.997</v>
      </c>
    </row>
    <row r="41" spans="1:5" x14ac:dyDescent="0.2">
      <c r="A41" s="62" t="s">
        <v>114</v>
      </c>
      <c r="B41" s="213">
        <v>175.31899999999999</v>
      </c>
      <c r="C41" s="213">
        <v>136.017</v>
      </c>
      <c r="D41" s="213">
        <v>112.95099999999999</v>
      </c>
      <c r="E41" s="433">
        <f t="shared" si="1"/>
        <v>424.28700000000003</v>
      </c>
    </row>
    <row r="42" spans="1:5" x14ac:dyDescent="0.2">
      <c r="A42" s="63" t="s">
        <v>113</v>
      </c>
      <c r="B42" s="214">
        <v>39.268999999999998</v>
      </c>
      <c r="C42" s="214">
        <v>27.164000000000001</v>
      </c>
      <c r="D42" s="214">
        <v>22.323</v>
      </c>
      <c r="E42" s="431">
        <f t="shared" si="1"/>
        <v>88.756</v>
      </c>
    </row>
    <row r="43" spans="1:5" x14ac:dyDescent="0.2">
      <c r="A43" s="63" t="s">
        <v>112</v>
      </c>
      <c r="B43" s="214">
        <v>19.605</v>
      </c>
      <c r="C43" s="214">
        <v>16.172000000000001</v>
      </c>
      <c r="D43" s="214">
        <v>16.364999999999998</v>
      </c>
      <c r="E43" s="431">
        <f t="shared" si="1"/>
        <v>52.141999999999996</v>
      </c>
    </row>
    <row r="44" spans="1:5" x14ac:dyDescent="0.2">
      <c r="A44" s="63" t="s">
        <v>111</v>
      </c>
      <c r="B44" s="214">
        <v>7.0359999999999996</v>
      </c>
      <c r="C44" s="214">
        <v>7.1239999999999997</v>
      </c>
      <c r="D44" s="214">
        <v>5.444</v>
      </c>
      <c r="E44" s="431">
        <f t="shared" si="1"/>
        <v>19.603999999999999</v>
      </c>
    </row>
    <row r="45" spans="1:5" x14ac:dyDescent="0.2">
      <c r="A45" s="63" t="s">
        <v>110</v>
      </c>
      <c r="B45" s="214">
        <v>8.4570000000000007</v>
      </c>
      <c r="C45" s="214">
        <v>7.726</v>
      </c>
      <c r="D45" s="214">
        <v>5.1059999999999999</v>
      </c>
      <c r="E45" s="431">
        <f t="shared" si="1"/>
        <v>21.289000000000001</v>
      </c>
    </row>
    <row r="46" spans="1:5" x14ac:dyDescent="0.2">
      <c r="A46" s="63" t="s">
        <v>109</v>
      </c>
      <c r="B46" s="214">
        <v>4.569</v>
      </c>
      <c r="C46" s="214">
        <v>4.5279999999999996</v>
      </c>
      <c r="D46" s="214">
        <v>4.1719999999999997</v>
      </c>
      <c r="E46" s="431">
        <f t="shared" si="1"/>
        <v>13.268999999999998</v>
      </c>
    </row>
    <row r="47" spans="1:5" x14ac:dyDescent="0.2">
      <c r="A47" s="63" t="s">
        <v>108</v>
      </c>
      <c r="B47" s="214">
        <v>20.634</v>
      </c>
      <c r="C47" s="214">
        <v>15.81</v>
      </c>
      <c r="D47" s="214">
        <v>13.592000000000001</v>
      </c>
      <c r="E47" s="431">
        <f t="shared" si="1"/>
        <v>50.036000000000001</v>
      </c>
    </row>
    <row r="48" spans="1:5" x14ac:dyDescent="0.2">
      <c r="A48" s="63" t="s">
        <v>107</v>
      </c>
      <c r="B48" s="214">
        <v>28.838999999999999</v>
      </c>
      <c r="C48" s="214">
        <v>17.695</v>
      </c>
      <c r="D48" s="214">
        <v>16.765000000000001</v>
      </c>
      <c r="E48" s="431">
        <f t="shared" si="1"/>
        <v>63.298999999999999</v>
      </c>
    </row>
    <row r="49" spans="1:5" x14ac:dyDescent="0.2">
      <c r="A49" s="63" t="s">
        <v>106</v>
      </c>
      <c r="B49" s="214">
        <v>5.1390000000000002</v>
      </c>
      <c r="C49" s="214">
        <v>4.6689999999999996</v>
      </c>
      <c r="D49" s="214">
        <v>4.7949999999999999</v>
      </c>
      <c r="E49" s="431">
        <f t="shared" si="1"/>
        <v>14.603</v>
      </c>
    </row>
    <row r="50" spans="1:5" x14ac:dyDescent="0.2">
      <c r="A50" s="63" t="s">
        <v>105</v>
      </c>
      <c r="B50" s="214">
        <v>32.716000000000001</v>
      </c>
      <c r="C50" s="214">
        <v>25.161999999999999</v>
      </c>
      <c r="D50" s="214">
        <v>14.714</v>
      </c>
      <c r="E50" s="431">
        <f t="shared" si="1"/>
        <v>72.591999999999999</v>
      </c>
    </row>
    <row r="51" spans="1:5" x14ac:dyDescent="0.2">
      <c r="A51" s="64" t="s">
        <v>104</v>
      </c>
      <c r="B51" s="216">
        <v>9.0549999999999997</v>
      </c>
      <c r="C51" s="216">
        <v>9.9670000000000005</v>
      </c>
      <c r="D51" s="216">
        <v>9.6750000000000007</v>
      </c>
      <c r="E51" s="432">
        <f t="shared" si="1"/>
        <v>28.696999999999999</v>
      </c>
    </row>
    <row r="52" spans="1:5" x14ac:dyDescent="0.2">
      <c r="A52" s="62" t="s">
        <v>103</v>
      </c>
      <c r="B52" s="213">
        <v>189.03100000000001</v>
      </c>
      <c r="C52" s="213">
        <v>165.82400000000001</v>
      </c>
      <c r="D52" s="213">
        <v>120.864</v>
      </c>
      <c r="E52" s="433">
        <f t="shared" si="1"/>
        <v>475.71900000000005</v>
      </c>
    </row>
    <row r="53" spans="1:5" x14ac:dyDescent="0.2">
      <c r="A53" s="63" t="s">
        <v>102</v>
      </c>
      <c r="B53" s="214">
        <v>91.578999999999994</v>
      </c>
      <c r="C53" s="214">
        <v>79.703000000000003</v>
      </c>
      <c r="D53" s="214">
        <v>56.213000000000001</v>
      </c>
      <c r="E53" s="431">
        <f t="shared" si="1"/>
        <v>227.49499999999998</v>
      </c>
    </row>
    <row r="54" spans="1:5" x14ac:dyDescent="0.2">
      <c r="A54" s="63" t="s">
        <v>101</v>
      </c>
      <c r="B54" s="214">
        <v>43.524000000000001</v>
      </c>
      <c r="C54" s="214">
        <v>38.801000000000002</v>
      </c>
      <c r="D54" s="214">
        <v>23.417000000000002</v>
      </c>
      <c r="E54" s="431">
        <f t="shared" si="1"/>
        <v>105.742</v>
      </c>
    </row>
    <row r="55" spans="1:5" x14ac:dyDescent="0.2">
      <c r="A55" s="63" t="s">
        <v>100</v>
      </c>
      <c r="B55" s="214">
        <v>13.725</v>
      </c>
      <c r="C55" s="214">
        <v>13.673</v>
      </c>
      <c r="D55" s="214">
        <v>12.227</v>
      </c>
      <c r="E55" s="431">
        <f t="shared" si="1"/>
        <v>39.625</v>
      </c>
    </row>
    <row r="56" spans="1:5" x14ac:dyDescent="0.2">
      <c r="A56" s="63" t="s">
        <v>99</v>
      </c>
      <c r="B56" s="214">
        <v>21.062000000000001</v>
      </c>
      <c r="C56" s="214">
        <v>18.363</v>
      </c>
      <c r="D56" s="214">
        <v>13.106</v>
      </c>
      <c r="E56" s="431">
        <f t="shared" si="1"/>
        <v>52.530999999999999</v>
      </c>
    </row>
    <row r="57" spans="1:5" x14ac:dyDescent="0.2">
      <c r="A57" s="64" t="s">
        <v>98</v>
      </c>
      <c r="B57" s="216">
        <v>19.140999999999998</v>
      </c>
      <c r="C57" s="216">
        <v>15.284000000000001</v>
      </c>
      <c r="D57" s="216">
        <v>15.901</v>
      </c>
      <c r="E57" s="432">
        <f t="shared" si="1"/>
        <v>50.325999999999993</v>
      </c>
    </row>
    <row r="58" spans="1:5" x14ac:dyDescent="0.2">
      <c r="A58" s="62" t="s">
        <v>97</v>
      </c>
      <c r="B58" s="222">
        <v>544.43499999999995</v>
      </c>
      <c r="C58" s="222">
        <v>370.69499999999999</v>
      </c>
      <c r="D58" s="222">
        <v>183.45500000000001</v>
      </c>
      <c r="E58" s="433">
        <f t="shared" si="1"/>
        <v>1098.5849999999998</v>
      </c>
    </row>
    <row r="59" spans="1:5" x14ac:dyDescent="0.2">
      <c r="A59" s="63" t="s">
        <v>96</v>
      </c>
      <c r="B59" s="214">
        <v>52.835000000000001</v>
      </c>
      <c r="C59" s="214">
        <v>37.655000000000001</v>
      </c>
      <c r="D59" s="214">
        <v>13.348000000000001</v>
      </c>
      <c r="E59" s="431">
        <f t="shared" si="1"/>
        <v>103.83800000000001</v>
      </c>
    </row>
    <row r="60" spans="1:5" x14ac:dyDescent="0.2">
      <c r="A60" s="63" t="s">
        <v>95</v>
      </c>
      <c r="B60" s="214">
        <v>51.433999999999997</v>
      </c>
      <c r="C60" s="214">
        <v>45.817999999999998</v>
      </c>
      <c r="D60" s="214">
        <v>17.655999999999999</v>
      </c>
      <c r="E60" s="431">
        <f t="shared" si="1"/>
        <v>114.90799999999999</v>
      </c>
    </row>
    <row r="61" spans="1:5" x14ac:dyDescent="0.2">
      <c r="A61" s="63" t="s">
        <v>94</v>
      </c>
      <c r="B61" s="214">
        <v>194.21700000000001</v>
      </c>
      <c r="C61" s="214">
        <v>80.518000000000001</v>
      </c>
      <c r="D61" s="214">
        <v>62.44</v>
      </c>
      <c r="E61" s="431">
        <f t="shared" si="1"/>
        <v>337.17500000000001</v>
      </c>
    </row>
    <row r="62" spans="1:5" x14ac:dyDescent="0.2">
      <c r="A62" s="63" t="s">
        <v>93</v>
      </c>
      <c r="B62" s="214">
        <v>43.475000000000001</v>
      </c>
      <c r="C62" s="214">
        <v>36.296999999999997</v>
      </c>
      <c r="D62" s="214">
        <v>14.275</v>
      </c>
      <c r="E62" s="431">
        <f t="shared" si="1"/>
        <v>94.046999999999997</v>
      </c>
    </row>
    <row r="63" spans="1:5" x14ac:dyDescent="0.2">
      <c r="A63" s="63" t="s">
        <v>92</v>
      </c>
      <c r="B63" s="214">
        <v>64.986000000000004</v>
      </c>
      <c r="C63" s="214">
        <v>55.289000000000001</v>
      </c>
      <c r="D63" s="214">
        <v>18.259</v>
      </c>
      <c r="E63" s="431">
        <f t="shared" si="1"/>
        <v>138.53399999999999</v>
      </c>
    </row>
    <row r="64" spans="1:5" x14ac:dyDescent="0.2">
      <c r="A64" s="63" t="s">
        <v>91</v>
      </c>
      <c r="B64" s="214">
        <v>50.621000000000002</v>
      </c>
      <c r="C64" s="214">
        <v>45.981000000000002</v>
      </c>
      <c r="D64" s="214">
        <v>26.882999999999999</v>
      </c>
      <c r="E64" s="431">
        <f t="shared" si="1"/>
        <v>123.485</v>
      </c>
    </row>
    <row r="65" spans="1:5" x14ac:dyDescent="0.2">
      <c r="A65" s="63" t="s">
        <v>90</v>
      </c>
      <c r="B65" s="214">
        <v>39.734999999999999</v>
      </c>
      <c r="C65" s="214">
        <v>32.603999999999999</v>
      </c>
      <c r="D65" s="214">
        <v>15.227</v>
      </c>
      <c r="E65" s="431">
        <f t="shared" si="1"/>
        <v>87.566000000000003</v>
      </c>
    </row>
    <row r="66" spans="1:5" x14ac:dyDescent="0.2">
      <c r="A66" s="64" t="s">
        <v>89</v>
      </c>
      <c r="B66" s="216">
        <v>47.131999999999998</v>
      </c>
      <c r="C66" s="216">
        <v>36.533000000000001</v>
      </c>
      <c r="D66" s="216">
        <v>15.367000000000001</v>
      </c>
      <c r="E66" s="432">
        <f t="shared" si="1"/>
        <v>99.031999999999996</v>
      </c>
    </row>
    <row r="67" spans="1:5" x14ac:dyDescent="0.2">
      <c r="A67" s="68" t="s">
        <v>88</v>
      </c>
      <c r="B67" s="213">
        <v>94.91</v>
      </c>
      <c r="C67" s="213">
        <v>99.07</v>
      </c>
      <c r="D67" s="213">
        <v>71.635000000000005</v>
      </c>
      <c r="E67" s="433">
        <f t="shared" si="1"/>
        <v>265.61500000000001</v>
      </c>
    </row>
    <row r="68" spans="1:5" x14ac:dyDescent="0.2">
      <c r="A68" s="66" t="s">
        <v>87</v>
      </c>
      <c r="B68" s="214">
        <v>22.702999999999999</v>
      </c>
      <c r="C68" s="214">
        <v>22.006</v>
      </c>
      <c r="D68" s="214">
        <v>14.935</v>
      </c>
      <c r="E68" s="431">
        <f t="shared" ref="E68:E99" si="2">B68+C68+D68</f>
        <v>59.644000000000005</v>
      </c>
    </row>
    <row r="69" spans="1:5" x14ac:dyDescent="0.2">
      <c r="A69" s="66" t="s">
        <v>86</v>
      </c>
      <c r="B69" s="214">
        <v>12.023999999999999</v>
      </c>
      <c r="C69" s="214">
        <v>14.635</v>
      </c>
      <c r="D69" s="214">
        <v>10.432</v>
      </c>
      <c r="E69" s="431">
        <f t="shared" si="2"/>
        <v>37.091000000000001</v>
      </c>
    </row>
    <row r="70" spans="1:5" x14ac:dyDescent="0.2">
      <c r="A70" s="66" t="s">
        <v>85</v>
      </c>
      <c r="B70" s="214">
        <v>6.91</v>
      </c>
      <c r="C70" s="214">
        <v>7.1950000000000003</v>
      </c>
      <c r="D70" s="214">
        <v>7.5439999999999996</v>
      </c>
      <c r="E70" s="431">
        <f t="shared" si="2"/>
        <v>21.649000000000001</v>
      </c>
    </row>
    <row r="71" spans="1:5" x14ac:dyDescent="0.2">
      <c r="A71" s="66" t="s">
        <v>84</v>
      </c>
      <c r="B71" s="214">
        <v>14.064</v>
      </c>
      <c r="C71" s="214">
        <v>15.477</v>
      </c>
      <c r="D71" s="214">
        <v>7.7480000000000002</v>
      </c>
      <c r="E71" s="431">
        <f t="shared" si="2"/>
        <v>37.289000000000001</v>
      </c>
    </row>
    <row r="72" spans="1:5" x14ac:dyDescent="0.2">
      <c r="A72" s="69" t="s">
        <v>83</v>
      </c>
      <c r="B72" s="216">
        <v>39.209000000000003</v>
      </c>
      <c r="C72" s="216">
        <v>39.756999999999998</v>
      </c>
      <c r="D72" s="216">
        <v>30.975999999999999</v>
      </c>
      <c r="E72" s="432">
        <f t="shared" si="2"/>
        <v>109.94200000000001</v>
      </c>
    </row>
    <row r="73" spans="1:5" x14ac:dyDescent="0.2">
      <c r="A73" s="68" t="s">
        <v>82</v>
      </c>
      <c r="B73" s="213">
        <v>185.636</v>
      </c>
      <c r="C73" s="213">
        <v>196.82300000000001</v>
      </c>
      <c r="D73" s="213">
        <v>123.983</v>
      </c>
      <c r="E73" s="433">
        <f t="shared" si="2"/>
        <v>506.44200000000001</v>
      </c>
    </row>
    <row r="74" spans="1:5" x14ac:dyDescent="0.2">
      <c r="A74" s="70" t="s">
        <v>81</v>
      </c>
      <c r="B74" s="214">
        <v>9.3569999999999993</v>
      </c>
      <c r="C74" s="214">
        <v>13.113</v>
      </c>
      <c r="D74" s="214">
        <v>9.5909999999999993</v>
      </c>
      <c r="E74" s="431">
        <f t="shared" si="2"/>
        <v>32.061</v>
      </c>
    </row>
    <row r="75" spans="1:5" x14ac:dyDescent="0.2">
      <c r="A75" s="70" t="s">
        <v>80</v>
      </c>
      <c r="B75" s="214">
        <v>65.98</v>
      </c>
      <c r="C75" s="214">
        <v>54.787999999999997</v>
      </c>
      <c r="D75" s="214">
        <v>28.292999999999999</v>
      </c>
      <c r="E75" s="431">
        <f t="shared" si="2"/>
        <v>149.06100000000001</v>
      </c>
    </row>
    <row r="76" spans="1:5" x14ac:dyDescent="0.2">
      <c r="A76" s="70" t="s">
        <v>79</v>
      </c>
      <c r="B76" s="214">
        <v>10.196999999999999</v>
      </c>
      <c r="C76" s="214">
        <v>16.725000000000001</v>
      </c>
      <c r="D76" s="214">
        <v>7.3739999999999997</v>
      </c>
      <c r="E76" s="431">
        <f t="shared" si="2"/>
        <v>34.295999999999999</v>
      </c>
    </row>
    <row r="77" spans="1:5" x14ac:dyDescent="0.2">
      <c r="A77" s="70" t="s">
        <v>78</v>
      </c>
      <c r="B77" s="214">
        <v>9.1549999999999994</v>
      </c>
      <c r="C77" s="214">
        <v>8.7789999999999999</v>
      </c>
      <c r="D77" s="214">
        <v>7.26</v>
      </c>
      <c r="E77" s="431">
        <f t="shared" si="2"/>
        <v>25.193999999999996</v>
      </c>
    </row>
    <row r="78" spans="1:5" x14ac:dyDescent="0.2">
      <c r="A78" s="70" t="s">
        <v>77</v>
      </c>
      <c r="B78" s="214">
        <v>17.648</v>
      </c>
      <c r="C78" s="214">
        <v>20.798999999999999</v>
      </c>
      <c r="D78" s="214">
        <v>11.895</v>
      </c>
      <c r="E78" s="431">
        <f t="shared" si="2"/>
        <v>50.341999999999999</v>
      </c>
    </row>
    <row r="79" spans="1:5" x14ac:dyDescent="0.2">
      <c r="A79" s="70" t="s">
        <v>76</v>
      </c>
      <c r="B79" s="214">
        <v>6.306</v>
      </c>
      <c r="C79" s="214">
        <v>7.3289999999999997</v>
      </c>
      <c r="D79" s="214">
        <v>6.8769999999999998</v>
      </c>
      <c r="E79" s="431">
        <f t="shared" si="2"/>
        <v>20.512</v>
      </c>
    </row>
    <row r="80" spans="1:5" x14ac:dyDescent="0.2">
      <c r="A80" s="70" t="s">
        <v>75</v>
      </c>
      <c r="B80" s="214">
        <v>3.09</v>
      </c>
      <c r="C80" s="214">
        <v>4.032</v>
      </c>
      <c r="D80" s="214">
        <v>3.4380000000000002</v>
      </c>
      <c r="E80" s="431">
        <f t="shared" si="2"/>
        <v>10.56</v>
      </c>
    </row>
    <row r="81" spans="1:5" x14ac:dyDescent="0.2">
      <c r="A81" s="70" t="s">
        <v>74</v>
      </c>
      <c r="B81" s="214">
        <v>13.968</v>
      </c>
      <c r="C81" s="214">
        <v>13.063000000000001</v>
      </c>
      <c r="D81" s="214">
        <v>11.949</v>
      </c>
      <c r="E81" s="431">
        <f t="shared" si="2"/>
        <v>38.979999999999997</v>
      </c>
    </row>
    <row r="82" spans="1:5" x14ac:dyDescent="0.2">
      <c r="A82" s="70" t="s">
        <v>73</v>
      </c>
      <c r="B82" s="214">
        <v>8.2219999999999995</v>
      </c>
      <c r="C82" s="214">
        <v>10.837999999999999</v>
      </c>
      <c r="D82" s="214">
        <v>6.5990000000000002</v>
      </c>
      <c r="E82" s="431">
        <f t="shared" si="2"/>
        <v>25.658999999999999</v>
      </c>
    </row>
    <row r="83" spans="1:5" x14ac:dyDescent="0.2">
      <c r="A83" s="70" t="s">
        <v>72</v>
      </c>
      <c r="B83" s="214">
        <v>16.625</v>
      </c>
      <c r="C83" s="214">
        <v>19.29</v>
      </c>
      <c r="D83" s="214">
        <v>12.217000000000001</v>
      </c>
      <c r="E83" s="431">
        <f t="shared" si="2"/>
        <v>48.131999999999998</v>
      </c>
    </row>
    <row r="84" spans="1:5" x14ac:dyDescent="0.2">
      <c r="A84" s="70" t="s">
        <v>71</v>
      </c>
      <c r="B84" s="214">
        <v>8.1430000000000007</v>
      </c>
      <c r="C84" s="214">
        <v>12.342000000000001</v>
      </c>
      <c r="D84" s="214">
        <v>7.5590000000000002</v>
      </c>
      <c r="E84" s="431">
        <f t="shared" si="2"/>
        <v>28.044</v>
      </c>
    </row>
    <row r="85" spans="1:5" x14ac:dyDescent="0.2">
      <c r="A85" s="64" t="s">
        <v>70</v>
      </c>
      <c r="B85" s="216">
        <v>16.945</v>
      </c>
      <c r="C85" s="216">
        <v>15.725</v>
      </c>
      <c r="D85" s="216">
        <v>10.930999999999999</v>
      </c>
      <c r="E85" s="432">
        <f t="shared" si="2"/>
        <v>43.600999999999999</v>
      </c>
    </row>
    <row r="86" spans="1:5" x14ac:dyDescent="0.2">
      <c r="A86" s="62" t="s">
        <v>69</v>
      </c>
      <c r="B86" s="222">
        <v>193.98</v>
      </c>
      <c r="C86" s="222">
        <v>201.01400000000001</v>
      </c>
      <c r="D86" s="222">
        <v>100.59699999999999</v>
      </c>
      <c r="E86" s="433">
        <f t="shared" si="2"/>
        <v>495.59100000000001</v>
      </c>
    </row>
    <row r="87" spans="1:5" x14ac:dyDescent="0.2">
      <c r="A87" s="63" t="s">
        <v>68</v>
      </c>
      <c r="B87" s="214">
        <v>8.8770000000000007</v>
      </c>
      <c r="C87" s="214">
        <v>14.231</v>
      </c>
      <c r="D87" s="214">
        <v>5.5179999999999998</v>
      </c>
      <c r="E87" s="431">
        <f t="shared" si="2"/>
        <v>28.626000000000001</v>
      </c>
    </row>
    <row r="88" spans="1:5" x14ac:dyDescent="0.2">
      <c r="A88" s="63" t="s">
        <v>67</v>
      </c>
      <c r="B88" s="214">
        <v>19.364000000000001</v>
      </c>
      <c r="C88" s="214">
        <v>20.396000000000001</v>
      </c>
      <c r="D88" s="214">
        <v>14.057</v>
      </c>
      <c r="E88" s="431">
        <f t="shared" si="2"/>
        <v>53.817000000000007</v>
      </c>
    </row>
    <row r="89" spans="1:5" x14ac:dyDescent="0.2">
      <c r="A89" s="63" t="s">
        <v>66</v>
      </c>
      <c r="B89" s="214">
        <v>45.136000000000003</v>
      </c>
      <c r="C89" s="214">
        <v>38.640999999999998</v>
      </c>
      <c r="D89" s="214">
        <v>19.536000000000001</v>
      </c>
      <c r="E89" s="431">
        <f t="shared" si="2"/>
        <v>103.313</v>
      </c>
    </row>
    <row r="90" spans="1:5" x14ac:dyDescent="0.2">
      <c r="A90" s="63" t="s">
        <v>65</v>
      </c>
      <c r="B90" s="214">
        <v>2.831</v>
      </c>
      <c r="C90" s="214">
        <v>2.5339999999999998</v>
      </c>
      <c r="D90" s="214">
        <v>2.085</v>
      </c>
      <c r="E90" s="431">
        <f t="shared" si="2"/>
        <v>7.45</v>
      </c>
    </row>
    <row r="91" spans="1:5" x14ac:dyDescent="0.2">
      <c r="A91" s="63" t="s">
        <v>64</v>
      </c>
      <c r="B91" s="214">
        <v>13.808999999999999</v>
      </c>
      <c r="C91" s="214">
        <v>16.367999999999999</v>
      </c>
      <c r="D91" s="214">
        <v>6.8570000000000002</v>
      </c>
      <c r="E91" s="431">
        <f t="shared" si="2"/>
        <v>37.033999999999999</v>
      </c>
    </row>
    <row r="92" spans="1:5" x14ac:dyDescent="0.2">
      <c r="A92" s="63" t="s">
        <v>63</v>
      </c>
      <c r="B92" s="214">
        <v>4.0670000000000002</v>
      </c>
      <c r="C92" s="214">
        <v>5.6609999999999996</v>
      </c>
      <c r="D92" s="214">
        <v>3.6869999999999998</v>
      </c>
      <c r="E92" s="431">
        <f t="shared" si="2"/>
        <v>13.414999999999999</v>
      </c>
    </row>
    <row r="93" spans="1:5" x14ac:dyDescent="0.2">
      <c r="A93" s="63" t="s">
        <v>62</v>
      </c>
      <c r="B93" s="214">
        <v>6.5220000000000002</v>
      </c>
      <c r="C93" s="214">
        <v>7.8979999999999997</v>
      </c>
      <c r="D93" s="214">
        <v>5.7210000000000001</v>
      </c>
      <c r="E93" s="431">
        <f t="shared" si="2"/>
        <v>20.140999999999998</v>
      </c>
    </row>
    <row r="94" spans="1:5" x14ac:dyDescent="0.2">
      <c r="A94" s="63" t="s">
        <v>61</v>
      </c>
      <c r="B94" s="214">
        <v>4.4859999999999998</v>
      </c>
      <c r="C94" s="214">
        <v>6.9009999999999998</v>
      </c>
      <c r="D94" s="214">
        <v>4.1139999999999999</v>
      </c>
      <c r="E94" s="431">
        <f t="shared" si="2"/>
        <v>15.501000000000001</v>
      </c>
    </row>
    <row r="95" spans="1:5" x14ac:dyDescent="0.2">
      <c r="A95" s="63" t="s">
        <v>60</v>
      </c>
      <c r="B95" s="214">
        <v>61.612000000000002</v>
      </c>
      <c r="C95" s="214">
        <v>54.802</v>
      </c>
      <c r="D95" s="214">
        <v>20.637</v>
      </c>
      <c r="E95" s="431">
        <f t="shared" si="2"/>
        <v>137.05099999999999</v>
      </c>
    </row>
    <row r="96" spans="1:5" x14ac:dyDescent="0.2">
      <c r="A96" s="70" t="s">
        <v>59</v>
      </c>
      <c r="B96" s="214">
        <v>6.4779999999999998</v>
      </c>
      <c r="C96" s="214">
        <v>7.5430000000000001</v>
      </c>
      <c r="D96" s="214">
        <v>5.7960000000000003</v>
      </c>
      <c r="E96" s="431">
        <f t="shared" si="2"/>
        <v>19.817</v>
      </c>
    </row>
    <row r="97" spans="1:5" x14ac:dyDescent="0.2">
      <c r="A97" s="66" t="s">
        <v>58</v>
      </c>
      <c r="B97" s="214">
        <v>4.0469999999999997</v>
      </c>
      <c r="C97" s="214">
        <v>6.2169999999999996</v>
      </c>
      <c r="D97" s="214">
        <v>3.23</v>
      </c>
      <c r="E97" s="431">
        <f t="shared" si="2"/>
        <v>13.494</v>
      </c>
    </row>
    <row r="98" spans="1:5" x14ac:dyDescent="0.2">
      <c r="A98" s="66" t="s">
        <v>57</v>
      </c>
      <c r="B98" s="214">
        <v>9.5830000000000002</v>
      </c>
      <c r="C98" s="214">
        <v>12.1</v>
      </c>
      <c r="D98" s="214">
        <v>5.4020000000000001</v>
      </c>
      <c r="E98" s="431">
        <f t="shared" si="2"/>
        <v>27.085000000000001</v>
      </c>
    </row>
    <row r="99" spans="1:5" x14ac:dyDescent="0.2">
      <c r="A99" s="69" t="s">
        <v>56</v>
      </c>
      <c r="B99" s="216">
        <v>7.1680000000000001</v>
      </c>
      <c r="C99" s="216">
        <v>7.7220000000000004</v>
      </c>
      <c r="D99" s="216">
        <v>3.9569999999999999</v>
      </c>
      <c r="E99" s="432">
        <f t="shared" si="2"/>
        <v>18.847000000000001</v>
      </c>
    </row>
    <row r="100" spans="1:5" x14ac:dyDescent="0.2">
      <c r="A100" s="62" t="s">
        <v>55</v>
      </c>
      <c r="B100" s="213">
        <v>105.21899999999999</v>
      </c>
      <c r="C100" s="213">
        <v>109.533</v>
      </c>
      <c r="D100" s="213">
        <v>71.147999999999996</v>
      </c>
      <c r="E100" s="433">
        <f t="shared" ref="E100:E117" si="3">B100+C100+D100</f>
        <v>285.89999999999998</v>
      </c>
    </row>
    <row r="101" spans="1:5" x14ac:dyDescent="0.2">
      <c r="A101" s="63" t="s">
        <v>54</v>
      </c>
      <c r="B101" s="214">
        <v>46.514000000000003</v>
      </c>
      <c r="C101" s="214">
        <v>43.39</v>
      </c>
      <c r="D101" s="214">
        <v>24.481000000000002</v>
      </c>
      <c r="E101" s="431">
        <f t="shared" si="3"/>
        <v>114.38499999999999</v>
      </c>
    </row>
    <row r="102" spans="1:5" x14ac:dyDescent="0.2">
      <c r="A102" s="63" t="s">
        <v>53</v>
      </c>
      <c r="B102" s="214">
        <v>22.837</v>
      </c>
      <c r="C102" s="214">
        <v>20.94</v>
      </c>
      <c r="D102" s="214">
        <v>16.300999999999998</v>
      </c>
      <c r="E102" s="431">
        <f t="shared" si="3"/>
        <v>60.078000000000003</v>
      </c>
    </row>
    <row r="103" spans="1:5" x14ac:dyDescent="0.2">
      <c r="A103" s="63" t="s">
        <v>52</v>
      </c>
      <c r="B103" s="214">
        <v>7.5869999999999997</v>
      </c>
      <c r="C103" s="214">
        <v>8.5470000000000006</v>
      </c>
      <c r="D103" s="214">
        <v>7.7530000000000001</v>
      </c>
      <c r="E103" s="431">
        <f t="shared" si="3"/>
        <v>23.887</v>
      </c>
    </row>
    <row r="104" spans="1:5" x14ac:dyDescent="0.2">
      <c r="A104" s="63" t="s">
        <v>51</v>
      </c>
      <c r="B104" s="214">
        <v>14.957000000000001</v>
      </c>
      <c r="C104" s="214">
        <v>15.382</v>
      </c>
      <c r="D104" s="214">
        <v>10.763</v>
      </c>
      <c r="E104" s="431">
        <f t="shared" si="3"/>
        <v>41.101999999999997</v>
      </c>
    </row>
    <row r="105" spans="1:5" x14ac:dyDescent="0.2">
      <c r="A105" s="63" t="s">
        <v>50</v>
      </c>
      <c r="B105" s="214">
        <v>13.324</v>
      </c>
      <c r="C105" s="214">
        <v>21.274000000000001</v>
      </c>
      <c r="D105" s="214">
        <v>11.85</v>
      </c>
      <c r="E105" s="432">
        <f t="shared" si="3"/>
        <v>46.448</v>
      </c>
    </row>
    <row r="106" spans="1:5" x14ac:dyDescent="0.2">
      <c r="A106" s="62" t="s">
        <v>49</v>
      </c>
      <c r="B106" s="213">
        <v>175.785</v>
      </c>
      <c r="C106" s="213">
        <v>173.22499999999999</v>
      </c>
      <c r="D106" s="213">
        <v>82.251000000000005</v>
      </c>
      <c r="E106" s="433">
        <f t="shared" si="3"/>
        <v>431.26099999999997</v>
      </c>
    </row>
    <row r="107" spans="1:5" x14ac:dyDescent="0.2">
      <c r="A107" s="63" t="s">
        <v>48</v>
      </c>
      <c r="B107" s="214">
        <v>4.41</v>
      </c>
      <c r="C107" s="214">
        <v>6.3609999999999998</v>
      </c>
      <c r="D107" s="214">
        <v>3.3250000000000002</v>
      </c>
      <c r="E107" s="431">
        <f t="shared" si="3"/>
        <v>14.096</v>
      </c>
    </row>
    <row r="108" spans="1:5" x14ac:dyDescent="0.2">
      <c r="A108" s="63" t="s">
        <v>47</v>
      </c>
      <c r="B108" s="214">
        <v>32.807000000000002</v>
      </c>
      <c r="C108" s="214">
        <v>39.92</v>
      </c>
      <c r="D108" s="214">
        <v>16.780999999999999</v>
      </c>
      <c r="E108" s="431">
        <f t="shared" si="3"/>
        <v>89.50800000000001</v>
      </c>
    </row>
    <row r="109" spans="1:5" x14ac:dyDescent="0.2">
      <c r="A109" s="63" t="s">
        <v>46</v>
      </c>
      <c r="B109" s="214">
        <v>82.631</v>
      </c>
      <c r="C109" s="214">
        <v>70.25</v>
      </c>
      <c r="D109" s="214">
        <v>33.411999999999999</v>
      </c>
      <c r="E109" s="431">
        <f t="shared" si="3"/>
        <v>186.29300000000001</v>
      </c>
    </row>
    <row r="110" spans="1:5" x14ac:dyDescent="0.2">
      <c r="A110" s="63" t="s">
        <v>45</v>
      </c>
      <c r="B110" s="214">
        <v>4.2930000000000001</v>
      </c>
      <c r="C110" s="214">
        <v>5.4749999999999996</v>
      </c>
      <c r="D110" s="214">
        <v>4.0750000000000002</v>
      </c>
      <c r="E110" s="431">
        <f t="shared" si="3"/>
        <v>13.843</v>
      </c>
    </row>
    <row r="111" spans="1:5" x14ac:dyDescent="0.2">
      <c r="A111" s="63" t="s">
        <v>44</v>
      </c>
      <c r="B111" s="214">
        <v>35.340000000000003</v>
      </c>
      <c r="C111" s="214">
        <v>33.844999999999999</v>
      </c>
      <c r="D111" s="214">
        <v>13.287000000000001</v>
      </c>
      <c r="E111" s="431">
        <f t="shared" si="3"/>
        <v>82.472000000000008</v>
      </c>
    </row>
    <row r="112" spans="1:5" x14ac:dyDescent="0.2">
      <c r="A112" s="64" t="s">
        <v>43</v>
      </c>
      <c r="B112" s="216">
        <v>16.303999999999998</v>
      </c>
      <c r="C112" s="216">
        <v>17.373999999999999</v>
      </c>
      <c r="D112" s="216">
        <v>11.371</v>
      </c>
      <c r="E112" s="432">
        <f t="shared" si="3"/>
        <v>45.048999999999999</v>
      </c>
    </row>
    <row r="113" spans="1:5" x14ac:dyDescent="0.2">
      <c r="A113" s="223" t="s">
        <v>41</v>
      </c>
      <c r="B113" s="213">
        <v>78.210999999999999</v>
      </c>
      <c r="C113" s="213">
        <v>73.103999999999999</v>
      </c>
      <c r="D113" s="213">
        <v>35.283999999999999</v>
      </c>
      <c r="E113" s="433">
        <f t="shared" si="3"/>
        <v>186.59899999999999</v>
      </c>
    </row>
    <row r="114" spans="1:5" x14ac:dyDescent="0.2">
      <c r="A114" s="63" t="s">
        <v>40</v>
      </c>
      <c r="B114" s="214">
        <v>15.847</v>
      </c>
      <c r="C114" s="214">
        <v>14.922000000000001</v>
      </c>
      <c r="D114" s="214">
        <v>7.7770000000000001</v>
      </c>
      <c r="E114" s="431">
        <f t="shared" si="3"/>
        <v>38.545999999999999</v>
      </c>
    </row>
    <row r="115" spans="1:5" x14ac:dyDescent="0.2">
      <c r="A115" s="63" t="s">
        <v>39</v>
      </c>
      <c r="B115" s="214">
        <v>13.827999999999999</v>
      </c>
      <c r="C115" s="214">
        <v>16.190999999999999</v>
      </c>
      <c r="D115" s="214">
        <v>9.7880000000000003</v>
      </c>
      <c r="E115" s="431">
        <f t="shared" si="3"/>
        <v>39.807000000000002</v>
      </c>
    </row>
    <row r="116" spans="1:5" x14ac:dyDescent="0.2">
      <c r="A116" s="63" t="s">
        <v>38</v>
      </c>
      <c r="B116" s="214">
        <v>13.903</v>
      </c>
      <c r="C116" s="214">
        <v>8.7970000000000006</v>
      </c>
      <c r="D116" s="214">
        <v>5.1189999999999998</v>
      </c>
      <c r="E116" s="431">
        <f t="shared" si="3"/>
        <v>27.819000000000003</v>
      </c>
    </row>
    <row r="117" spans="1:5" x14ac:dyDescent="0.2">
      <c r="A117" s="64" t="s">
        <v>37</v>
      </c>
      <c r="B117" s="216">
        <v>34.633000000000003</v>
      </c>
      <c r="C117" s="216">
        <v>33.194000000000003</v>
      </c>
      <c r="D117" s="216">
        <v>12.6</v>
      </c>
      <c r="E117" s="432">
        <f t="shared" si="3"/>
        <v>80.426999999999992</v>
      </c>
    </row>
    <row r="118" spans="1:5" x14ac:dyDescent="0.2">
      <c r="A118" s="162" t="s">
        <v>12</v>
      </c>
      <c r="B118" s="71"/>
      <c r="C118" s="71"/>
      <c r="D118" s="71"/>
      <c r="E118" s="71"/>
    </row>
    <row r="119" spans="1:5" x14ac:dyDescent="0.2">
      <c r="A119" s="194" t="s">
        <v>222</v>
      </c>
      <c r="B119" s="72"/>
      <c r="C119" s="72"/>
      <c r="D119" s="72"/>
      <c r="E119" s="72"/>
    </row>
    <row r="120" spans="1:5" x14ac:dyDescent="0.2">
      <c r="A120" s="394" t="s">
        <v>35</v>
      </c>
      <c r="B120" s="73"/>
      <c r="C120" s="73"/>
      <c r="D120" s="73"/>
      <c r="E120" s="73"/>
    </row>
    <row r="121" spans="1:5" x14ac:dyDescent="0.2">
      <c r="A121" s="395" t="s">
        <v>243</v>
      </c>
      <c r="B121" s="74"/>
      <c r="C121" s="74"/>
      <c r="D121" s="74"/>
      <c r="E121" s="74"/>
    </row>
    <row r="122" spans="1:5" x14ac:dyDescent="0.2">
      <c r="A122" s="415" t="s">
        <v>272</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3AB8-B640-476C-9C1A-AF35273BA70B}">
  <dimension ref="A1:E122"/>
  <sheetViews>
    <sheetView showGridLines="0" zoomScaleNormal="100" workbookViewId="0"/>
  </sheetViews>
  <sheetFormatPr baseColWidth="10" defaultRowHeight="12.75" x14ac:dyDescent="0.2"/>
  <cols>
    <col min="1" max="1" width="34.28515625" style="75" customWidth="1"/>
    <col min="2" max="5" width="15.7109375" style="75" customWidth="1"/>
    <col min="6" max="16384" width="11.42578125" style="75"/>
  </cols>
  <sheetData>
    <row r="1" spans="1:5" x14ac:dyDescent="0.2">
      <c r="A1" s="61" t="s">
        <v>271</v>
      </c>
      <c r="B1" s="61"/>
      <c r="C1" s="61"/>
      <c r="D1" s="61"/>
      <c r="E1" s="61"/>
    </row>
    <row r="2" spans="1:5" x14ac:dyDescent="0.2">
      <c r="A2" s="119" t="s">
        <v>26</v>
      </c>
      <c r="B2" s="61"/>
      <c r="C2" s="61"/>
      <c r="D2" s="61"/>
      <c r="E2" s="61"/>
    </row>
    <row r="3" spans="1:5" ht="29.25" customHeight="1" x14ac:dyDescent="0.2">
      <c r="A3" s="227"/>
      <c r="B3" s="228" t="s">
        <v>10</v>
      </c>
      <c r="C3" s="228" t="s">
        <v>11</v>
      </c>
      <c r="D3" s="228" t="s">
        <v>14</v>
      </c>
      <c r="E3" s="379" t="s">
        <v>164</v>
      </c>
    </row>
    <row r="4" spans="1:5" x14ac:dyDescent="0.2">
      <c r="A4" s="223" t="s">
        <v>151</v>
      </c>
      <c r="B4" s="213">
        <v>422.64600000000002</v>
      </c>
      <c r="C4" s="213">
        <v>165.73699999999999</v>
      </c>
      <c r="D4" s="377">
        <v>46.351999999999997</v>
      </c>
      <c r="E4" s="433">
        <f>B4+C4+D4</f>
        <v>634.73500000000001</v>
      </c>
    </row>
    <row r="5" spans="1:5" x14ac:dyDescent="0.2">
      <c r="A5" s="63" t="s">
        <v>150</v>
      </c>
      <c r="B5" s="214">
        <v>19.629000000000001</v>
      </c>
      <c r="C5" s="214">
        <v>5.7709999999999999</v>
      </c>
      <c r="D5" s="214">
        <v>1.9139999999999999</v>
      </c>
      <c r="E5" s="431">
        <f t="shared" ref="E5:E68" si="0">B5+C5+D5</f>
        <v>27.314000000000004</v>
      </c>
    </row>
    <row r="6" spans="1:5" x14ac:dyDescent="0.2">
      <c r="A6" s="63" t="s">
        <v>149</v>
      </c>
      <c r="B6" s="214">
        <v>8.7669999999999995</v>
      </c>
      <c r="C6" s="214">
        <v>2.8039999999999998</v>
      </c>
      <c r="D6" s="214">
        <v>0.65600000000000003</v>
      </c>
      <c r="E6" s="431">
        <f t="shared" si="0"/>
        <v>12.227</v>
      </c>
    </row>
    <row r="7" spans="1:5" x14ac:dyDescent="0.2">
      <c r="A7" s="63" t="s">
        <v>148</v>
      </c>
      <c r="B7" s="214">
        <v>10.214</v>
      </c>
      <c r="C7" s="214">
        <v>3.9980000000000002</v>
      </c>
      <c r="D7" s="214">
        <v>1.575</v>
      </c>
      <c r="E7" s="431">
        <f t="shared" si="0"/>
        <v>15.786999999999999</v>
      </c>
    </row>
    <row r="8" spans="1:5" x14ac:dyDescent="0.2">
      <c r="A8" s="63" t="s">
        <v>147</v>
      </c>
      <c r="B8" s="214">
        <v>42.173999999999999</v>
      </c>
      <c r="C8" s="214">
        <v>15.083</v>
      </c>
      <c r="D8" s="214">
        <v>4.7050000000000001</v>
      </c>
      <c r="E8" s="431">
        <f t="shared" si="0"/>
        <v>61.961999999999996</v>
      </c>
    </row>
    <row r="9" spans="1:5" x14ac:dyDescent="0.2">
      <c r="A9" s="63" t="s">
        <v>146</v>
      </c>
      <c r="B9" s="214">
        <v>23.6</v>
      </c>
      <c r="C9" s="214">
        <v>9.24</v>
      </c>
      <c r="D9" s="214">
        <v>2.19</v>
      </c>
      <c r="E9" s="431">
        <f t="shared" si="0"/>
        <v>35.03</v>
      </c>
    </row>
    <row r="10" spans="1:5" x14ac:dyDescent="0.2">
      <c r="A10" s="63" t="s">
        <v>145</v>
      </c>
      <c r="B10" s="214">
        <v>14.542</v>
      </c>
      <c r="C10" s="214">
        <v>6.13</v>
      </c>
      <c r="D10" s="214">
        <v>2.0259999999999998</v>
      </c>
      <c r="E10" s="431">
        <f t="shared" si="0"/>
        <v>22.698</v>
      </c>
    </row>
    <row r="11" spans="1:5" x14ac:dyDescent="0.2">
      <c r="A11" s="63" t="s">
        <v>144</v>
      </c>
      <c r="B11" s="214">
        <v>24.658000000000001</v>
      </c>
      <c r="C11" s="214">
        <v>8.5990000000000002</v>
      </c>
      <c r="D11" s="214">
        <v>2.7029999999999998</v>
      </c>
      <c r="E11" s="431">
        <f t="shared" si="0"/>
        <v>35.960000000000008</v>
      </c>
    </row>
    <row r="12" spans="1:5" x14ac:dyDescent="0.2">
      <c r="A12" s="63" t="s">
        <v>143</v>
      </c>
      <c r="B12" s="214">
        <v>36.017000000000003</v>
      </c>
      <c r="C12" s="214">
        <v>15.739000000000001</v>
      </c>
      <c r="D12" s="214">
        <v>4.1580000000000004</v>
      </c>
      <c r="E12" s="431">
        <f t="shared" si="0"/>
        <v>55.914000000000001</v>
      </c>
    </row>
    <row r="13" spans="1:5" x14ac:dyDescent="0.2">
      <c r="A13" s="63" t="s">
        <v>142</v>
      </c>
      <c r="B13" s="214">
        <v>66.828000000000003</v>
      </c>
      <c r="C13" s="214">
        <v>30.888999999999999</v>
      </c>
      <c r="D13" s="214">
        <v>6.282</v>
      </c>
      <c r="E13" s="431">
        <f t="shared" si="0"/>
        <v>103.999</v>
      </c>
    </row>
    <row r="14" spans="1:5" x14ac:dyDescent="0.2">
      <c r="A14" s="63" t="s">
        <v>141</v>
      </c>
      <c r="B14" s="214">
        <v>38.097000000000001</v>
      </c>
      <c r="C14" s="214">
        <v>15.002000000000001</v>
      </c>
      <c r="D14" s="214">
        <v>5.3879999999999999</v>
      </c>
      <c r="E14" s="431">
        <f t="shared" si="0"/>
        <v>58.487000000000002</v>
      </c>
    </row>
    <row r="15" spans="1:5" x14ac:dyDescent="0.2">
      <c r="A15" s="63" t="s">
        <v>140</v>
      </c>
      <c r="B15" s="214">
        <v>113.042</v>
      </c>
      <c r="C15" s="214">
        <v>42.002000000000002</v>
      </c>
      <c r="D15" s="214">
        <v>12.683999999999999</v>
      </c>
      <c r="E15" s="431">
        <f t="shared" si="0"/>
        <v>167.72800000000001</v>
      </c>
    </row>
    <row r="16" spans="1:5" x14ac:dyDescent="0.2">
      <c r="A16" s="64" t="s">
        <v>139</v>
      </c>
      <c r="B16" s="216">
        <v>25.077999999999999</v>
      </c>
      <c r="C16" s="216">
        <v>10.48</v>
      </c>
      <c r="D16" s="216">
        <v>2.0710000000000002</v>
      </c>
      <c r="E16" s="432">
        <f t="shared" si="0"/>
        <v>37.628999999999998</v>
      </c>
    </row>
    <row r="17" spans="1:5" x14ac:dyDescent="0.2">
      <c r="A17" s="223" t="s">
        <v>138</v>
      </c>
      <c r="B17" s="213">
        <v>153.751</v>
      </c>
      <c r="C17" s="213">
        <v>55.991999999999997</v>
      </c>
      <c r="D17" s="377">
        <v>14.38</v>
      </c>
      <c r="E17" s="433">
        <f t="shared" si="0"/>
        <v>224.12299999999999</v>
      </c>
    </row>
    <row r="18" spans="1:5" x14ac:dyDescent="0.2">
      <c r="A18" s="63" t="s">
        <v>137</v>
      </c>
      <c r="B18" s="214">
        <v>34.619999999999997</v>
      </c>
      <c r="C18" s="214">
        <v>12.494999999999999</v>
      </c>
      <c r="D18" s="214">
        <v>3.52</v>
      </c>
      <c r="E18" s="431">
        <f t="shared" si="0"/>
        <v>50.634999999999998</v>
      </c>
    </row>
    <row r="19" spans="1:5" x14ac:dyDescent="0.2">
      <c r="A19" s="63" t="s">
        <v>136</v>
      </c>
      <c r="B19" s="214">
        <v>11.646000000000001</v>
      </c>
      <c r="C19" s="214">
        <v>3.8650000000000002</v>
      </c>
      <c r="D19" s="214">
        <v>0.97499999999999998</v>
      </c>
      <c r="E19" s="431">
        <f t="shared" si="0"/>
        <v>16.486000000000001</v>
      </c>
    </row>
    <row r="20" spans="1:5" x14ac:dyDescent="0.2">
      <c r="A20" s="63" t="s">
        <v>135</v>
      </c>
      <c r="B20" s="214">
        <v>28.116</v>
      </c>
      <c r="C20" s="214">
        <v>10.428000000000001</v>
      </c>
      <c r="D20" s="214">
        <v>2.1739999999999999</v>
      </c>
      <c r="E20" s="431">
        <f t="shared" si="0"/>
        <v>40.717999999999996</v>
      </c>
    </row>
    <row r="21" spans="1:5" x14ac:dyDescent="0.2">
      <c r="A21" s="63" t="s">
        <v>134</v>
      </c>
      <c r="B21" s="214">
        <v>17.332999999999998</v>
      </c>
      <c r="C21" s="214">
        <v>6.8719999999999999</v>
      </c>
      <c r="D21" s="214">
        <v>1.5429999999999999</v>
      </c>
      <c r="E21" s="431">
        <f t="shared" si="0"/>
        <v>25.747999999999998</v>
      </c>
    </row>
    <row r="22" spans="1:5" x14ac:dyDescent="0.2">
      <c r="A22" s="63" t="s">
        <v>133</v>
      </c>
      <c r="B22" s="214">
        <v>31.401</v>
      </c>
      <c r="C22" s="214">
        <v>11.173999999999999</v>
      </c>
      <c r="D22" s="214">
        <v>3.1909999999999998</v>
      </c>
      <c r="E22" s="431">
        <f t="shared" si="0"/>
        <v>45.766000000000005</v>
      </c>
    </row>
    <row r="23" spans="1:5" x14ac:dyDescent="0.2">
      <c r="A23" s="63" t="s">
        <v>132</v>
      </c>
      <c r="B23" s="214">
        <v>9.36</v>
      </c>
      <c r="C23" s="214">
        <v>3.0310000000000001</v>
      </c>
      <c r="D23" s="214">
        <v>0.91200000000000003</v>
      </c>
      <c r="E23" s="431">
        <f t="shared" si="0"/>
        <v>13.303000000000001</v>
      </c>
    </row>
    <row r="24" spans="1:5" x14ac:dyDescent="0.2">
      <c r="A24" s="63" t="s">
        <v>131</v>
      </c>
      <c r="B24" s="214">
        <v>12.457000000000001</v>
      </c>
      <c r="C24" s="214">
        <v>5.51</v>
      </c>
      <c r="D24" s="214">
        <v>1.173</v>
      </c>
      <c r="E24" s="431">
        <f t="shared" si="0"/>
        <v>19.14</v>
      </c>
    </row>
    <row r="25" spans="1:5" x14ac:dyDescent="0.2">
      <c r="A25" s="64" t="s">
        <v>130</v>
      </c>
      <c r="B25" s="214">
        <v>8.8179999999999996</v>
      </c>
      <c r="C25" s="214">
        <v>2.617</v>
      </c>
      <c r="D25" s="214">
        <v>0.89200000000000002</v>
      </c>
      <c r="E25" s="432">
        <f t="shared" si="0"/>
        <v>12.326999999999998</v>
      </c>
    </row>
    <row r="26" spans="1:5" x14ac:dyDescent="0.2">
      <c r="A26" s="65" t="s">
        <v>129</v>
      </c>
      <c r="B26" s="218">
        <v>179.78200000000001</v>
      </c>
      <c r="C26" s="219">
        <v>69.319000000000003</v>
      </c>
      <c r="D26" s="378">
        <v>29.332000000000001</v>
      </c>
      <c r="E26" s="433">
        <f t="shared" si="0"/>
        <v>278.43299999999999</v>
      </c>
    </row>
    <row r="27" spans="1:5" x14ac:dyDescent="0.2">
      <c r="A27" s="66" t="s">
        <v>128</v>
      </c>
      <c r="B27" s="215">
        <v>30.370999999999999</v>
      </c>
      <c r="C27" s="215">
        <v>11.227</v>
      </c>
      <c r="D27" s="375">
        <v>4.0990000000000002</v>
      </c>
      <c r="E27" s="431">
        <f t="shared" si="0"/>
        <v>45.697000000000003</v>
      </c>
    </row>
    <row r="28" spans="1:5" x14ac:dyDescent="0.2">
      <c r="A28" s="66" t="s">
        <v>127</v>
      </c>
      <c r="B28" s="215">
        <v>46.573999999999998</v>
      </c>
      <c r="C28" s="215">
        <v>18.292999999999999</v>
      </c>
      <c r="D28" s="375">
        <v>8.6769999999999996</v>
      </c>
      <c r="E28" s="431">
        <f t="shared" si="0"/>
        <v>73.543999999999983</v>
      </c>
    </row>
    <row r="29" spans="1:5" x14ac:dyDescent="0.2">
      <c r="A29" s="66" t="s">
        <v>126</v>
      </c>
      <c r="B29" s="215">
        <v>66.668000000000006</v>
      </c>
      <c r="C29" s="215">
        <v>26.065999999999999</v>
      </c>
      <c r="D29" s="375">
        <v>9.5470000000000006</v>
      </c>
      <c r="E29" s="431">
        <f t="shared" si="0"/>
        <v>102.28100000000001</v>
      </c>
    </row>
    <row r="30" spans="1:5" x14ac:dyDescent="0.2">
      <c r="A30" s="67" t="s">
        <v>125</v>
      </c>
      <c r="B30" s="217">
        <v>36.168999999999997</v>
      </c>
      <c r="C30" s="217">
        <v>13.733000000000001</v>
      </c>
      <c r="D30" s="376">
        <v>7.0090000000000003</v>
      </c>
      <c r="E30" s="432">
        <f t="shared" si="0"/>
        <v>56.911000000000001</v>
      </c>
    </row>
    <row r="31" spans="1:5" x14ac:dyDescent="0.2">
      <c r="A31" s="223" t="s">
        <v>124</v>
      </c>
      <c r="B31" s="213">
        <v>137.631</v>
      </c>
      <c r="C31" s="213">
        <v>46.094999999999999</v>
      </c>
      <c r="D31" s="377">
        <v>13.238</v>
      </c>
      <c r="E31" s="433">
        <f t="shared" si="0"/>
        <v>196.964</v>
      </c>
    </row>
    <row r="32" spans="1:5" x14ac:dyDescent="0.2">
      <c r="A32" s="63" t="s">
        <v>123</v>
      </c>
      <c r="B32" s="214">
        <v>17.201000000000001</v>
      </c>
      <c r="C32" s="214">
        <v>5.0750000000000002</v>
      </c>
      <c r="D32" s="214">
        <v>1.5429999999999999</v>
      </c>
      <c r="E32" s="431">
        <f t="shared" si="0"/>
        <v>23.818999999999999</v>
      </c>
    </row>
    <row r="33" spans="1:5" x14ac:dyDescent="0.2">
      <c r="A33" s="63" t="s">
        <v>122</v>
      </c>
      <c r="B33" s="214">
        <v>19.995000000000001</v>
      </c>
      <c r="C33" s="214">
        <v>6.7649999999999997</v>
      </c>
      <c r="D33" s="214">
        <v>2.0059999999999998</v>
      </c>
      <c r="E33" s="431">
        <f t="shared" si="0"/>
        <v>28.766000000000002</v>
      </c>
    </row>
    <row r="34" spans="1:5" x14ac:dyDescent="0.2">
      <c r="A34" s="63" t="s">
        <v>121</v>
      </c>
      <c r="B34" s="214">
        <v>12.04</v>
      </c>
      <c r="C34" s="214">
        <v>4.1040000000000001</v>
      </c>
      <c r="D34" s="214">
        <v>0.96099999999999997</v>
      </c>
      <c r="E34" s="431">
        <f t="shared" si="0"/>
        <v>17.104999999999997</v>
      </c>
    </row>
    <row r="35" spans="1:5" x14ac:dyDescent="0.2">
      <c r="A35" s="63" t="s">
        <v>120</v>
      </c>
      <c r="B35" s="214">
        <v>33.347000000000001</v>
      </c>
      <c r="C35" s="214">
        <v>11.093</v>
      </c>
      <c r="D35" s="214">
        <v>4.0229999999999997</v>
      </c>
      <c r="E35" s="431">
        <f t="shared" si="0"/>
        <v>48.462999999999994</v>
      </c>
    </row>
    <row r="36" spans="1:5" x14ac:dyDescent="0.2">
      <c r="A36" s="63" t="s">
        <v>119</v>
      </c>
      <c r="B36" s="214">
        <v>38.737000000000002</v>
      </c>
      <c r="C36" s="214">
        <v>13.798999999999999</v>
      </c>
      <c r="D36" s="214">
        <v>3.2829999999999999</v>
      </c>
      <c r="E36" s="431">
        <f t="shared" si="0"/>
        <v>55.819000000000003</v>
      </c>
    </row>
    <row r="37" spans="1:5" x14ac:dyDescent="0.2">
      <c r="A37" s="64" t="s">
        <v>118</v>
      </c>
      <c r="B37" s="214">
        <v>16.311</v>
      </c>
      <c r="C37" s="214">
        <v>5.2590000000000003</v>
      </c>
      <c r="D37" s="214">
        <v>1.4219999999999999</v>
      </c>
      <c r="E37" s="432">
        <f t="shared" si="0"/>
        <v>22.992000000000001</v>
      </c>
    </row>
    <row r="38" spans="1:5" x14ac:dyDescent="0.2">
      <c r="A38" s="68" t="s">
        <v>117</v>
      </c>
      <c r="B38" s="213">
        <v>24.138999999999999</v>
      </c>
      <c r="C38" s="213">
        <v>5.8540000000000001</v>
      </c>
      <c r="D38" s="377">
        <v>1.157</v>
      </c>
      <c r="E38" s="433">
        <f t="shared" si="0"/>
        <v>31.15</v>
      </c>
    </row>
    <row r="39" spans="1:5" x14ac:dyDescent="0.2">
      <c r="A39" s="66" t="s">
        <v>116</v>
      </c>
      <c r="B39" s="214">
        <v>14.39</v>
      </c>
      <c r="C39" s="214">
        <v>3.1469999999999998</v>
      </c>
      <c r="D39" s="214">
        <v>0.61599999999999999</v>
      </c>
      <c r="E39" s="431">
        <f t="shared" si="0"/>
        <v>18.152999999999999</v>
      </c>
    </row>
    <row r="40" spans="1:5" x14ac:dyDescent="0.2">
      <c r="A40" s="67" t="s">
        <v>115</v>
      </c>
      <c r="B40" s="216">
        <v>9.7490000000000006</v>
      </c>
      <c r="C40" s="216">
        <v>2.7069999999999999</v>
      </c>
      <c r="D40" s="216">
        <v>0.54100000000000004</v>
      </c>
      <c r="E40" s="432">
        <f t="shared" si="0"/>
        <v>12.997</v>
      </c>
    </row>
    <row r="41" spans="1:5" x14ac:dyDescent="0.2">
      <c r="A41" s="223" t="s">
        <v>114</v>
      </c>
      <c r="B41" s="213">
        <v>294.149</v>
      </c>
      <c r="C41" s="213">
        <v>102.57599999999999</v>
      </c>
      <c r="D41" s="377">
        <v>27.562000000000001</v>
      </c>
      <c r="E41" s="433">
        <f t="shared" si="0"/>
        <v>424.28700000000003</v>
      </c>
    </row>
    <row r="42" spans="1:5" x14ac:dyDescent="0.2">
      <c r="A42" s="63" t="s">
        <v>113</v>
      </c>
      <c r="B42" s="214">
        <v>61.213999999999999</v>
      </c>
      <c r="C42" s="214">
        <v>21.875</v>
      </c>
      <c r="D42" s="214">
        <v>5.6669999999999998</v>
      </c>
      <c r="E42" s="431">
        <f t="shared" si="0"/>
        <v>88.756</v>
      </c>
    </row>
    <row r="43" spans="1:5" x14ac:dyDescent="0.2">
      <c r="A43" s="63" t="s">
        <v>112</v>
      </c>
      <c r="B43" s="214">
        <v>36.953000000000003</v>
      </c>
      <c r="C43" s="214">
        <v>12.003</v>
      </c>
      <c r="D43" s="214">
        <v>3.1859999999999999</v>
      </c>
      <c r="E43" s="431">
        <f t="shared" si="0"/>
        <v>52.142000000000003</v>
      </c>
    </row>
    <row r="44" spans="1:5" x14ac:dyDescent="0.2">
      <c r="A44" s="63" t="s">
        <v>111</v>
      </c>
      <c r="B44" s="214">
        <v>13.866</v>
      </c>
      <c r="C44" s="214">
        <v>4.5739999999999998</v>
      </c>
      <c r="D44" s="214">
        <v>1.1639999999999999</v>
      </c>
      <c r="E44" s="431">
        <f t="shared" si="0"/>
        <v>19.603999999999999</v>
      </c>
    </row>
    <row r="45" spans="1:5" x14ac:dyDescent="0.2">
      <c r="A45" s="63" t="s">
        <v>110</v>
      </c>
      <c r="B45" s="214">
        <v>14.638</v>
      </c>
      <c r="C45" s="214">
        <v>5.1189999999999998</v>
      </c>
      <c r="D45" s="214">
        <v>1.532</v>
      </c>
      <c r="E45" s="431">
        <f t="shared" si="0"/>
        <v>21.288999999999998</v>
      </c>
    </row>
    <row r="46" spans="1:5" x14ac:dyDescent="0.2">
      <c r="A46" s="63" t="s">
        <v>109</v>
      </c>
      <c r="B46" s="214">
        <v>9.2230000000000008</v>
      </c>
      <c r="C46" s="214">
        <v>3.29</v>
      </c>
      <c r="D46" s="214">
        <v>0.75600000000000001</v>
      </c>
      <c r="E46" s="431">
        <f t="shared" si="0"/>
        <v>13.269000000000002</v>
      </c>
    </row>
    <row r="47" spans="1:5" x14ac:dyDescent="0.2">
      <c r="A47" s="63" t="s">
        <v>108</v>
      </c>
      <c r="B47" s="214">
        <v>33.469000000000001</v>
      </c>
      <c r="C47" s="214">
        <v>12.42</v>
      </c>
      <c r="D47" s="214">
        <v>4.1470000000000002</v>
      </c>
      <c r="E47" s="431">
        <f t="shared" si="0"/>
        <v>50.036000000000001</v>
      </c>
    </row>
    <row r="48" spans="1:5" x14ac:dyDescent="0.2">
      <c r="A48" s="63" t="s">
        <v>107</v>
      </c>
      <c r="B48" s="214">
        <v>43.972999999999999</v>
      </c>
      <c r="C48" s="214">
        <v>14.837999999999999</v>
      </c>
      <c r="D48" s="214">
        <v>4.4880000000000004</v>
      </c>
      <c r="E48" s="431">
        <f t="shared" si="0"/>
        <v>63.298999999999999</v>
      </c>
    </row>
    <row r="49" spans="1:5" x14ac:dyDescent="0.2">
      <c r="A49" s="63" t="s">
        <v>106</v>
      </c>
      <c r="B49" s="214">
        <v>9.7959999999999994</v>
      </c>
      <c r="C49" s="214">
        <v>3.9609999999999999</v>
      </c>
      <c r="D49" s="214">
        <v>0.84599999999999997</v>
      </c>
      <c r="E49" s="431">
        <f t="shared" si="0"/>
        <v>14.603</v>
      </c>
    </row>
    <row r="50" spans="1:5" x14ac:dyDescent="0.2">
      <c r="A50" s="63" t="s">
        <v>105</v>
      </c>
      <c r="B50" s="214">
        <v>51.25</v>
      </c>
      <c r="C50" s="214">
        <v>17.198</v>
      </c>
      <c r="D50" s="214">
        <v>4.1440000000000001</v>
      </c>
      <c r="E50" s="431">
        <f t="shared" si="0"/>
        <v>72.592000000000013</v>
      </c>
    </row>
    <row r="51" spans="1:5" x14ac:dyDescent="0.2">
      <c r="A51" s="64" t="s">
        <v>104</v>
      </c>
      <c r="B51" s="216">
        <v>19.766999999999999</v>
      </c>
      <c r="C51" s="216">
        <v>7.298</v>
      </c>
      <c r="D51" s="216">
        <v>1.6319999999999999</v>
      </c>
      <c r="E51" s="432">
        <f t="shared" si="0"/>
        <v>28.696999999999999</v>
      </c>
    </row>
    <row r="52" spans="1:5" x14ac:dyDescent="0.2">
      <c r="A52" s="223" t="s">
        <v>103</v>
      </c>
      <c r="B52" s="213">
        <v>324.16800000000001</v>
      </c>
      <c r="C52" s="213">
        <v>114.44799999999999</v>
      </c>
      <c r="D52" s="377">
        <v>37.103000000000002</v>
      </c>
      <c r="E52" s="433">
        <f t="shared" si="0"/>
        <v>475.71899999999999</v>
      </c>
    </row>
    <row r="53" spans="1:5" x14ac:dyDescent="0.2">
      <c r="A53" s="63" t="s">
        <v>102</v>
      </c>
      <c r="B53" s="214">
        <v>153.28200000000001</v>
      </c>
      <c r="C53" s="214">
        <v>54.02</v>
      </c>
      <c r="D53" s="214">
        <v>20.193000000000001</v>
      </c>
      <c r="E53" s="431">
        <f t="shared" si="0"/>
        <v>227.49500000000003</v>
      </c>
    </row>
    <row r="54" spans="1:5" x14ac:dyDescent="0.2">
      <c r="A54" s="63" t="s">
        <v>101</v>
      </c>
      <c r="B54" s="214">
        <v>75.058000000000007</v>
      </c>
      <c r="C54" s="214">
        <v>23.472999999999999</v>
      </c>
      <c r="D54" s="214">
        <v>7.2110000000000003</v>
      </c>
      <c r="E54" s="431">
        <f t="shared" si="0"/>
        <v>105.742</v>
      </c>
    </row>
    <row r="55" spans="1:5" x14ac:dyDescent="0.2">
      <c r="A55" s="63" t="s">
        <v>100</v>
      </c>
      <c r="B55" s="214">
        <v>27.033999999999999</v>
      </c>
      <c r="C55" s="214">
        <v>9.7149999999999999</v>
      </c>
      <c r="D55" s="214">
        <v>2.8759999999999999</v>
      </c>
      <c r="E55" s="431">
        <f t="shared" si="0"/>
        <v>39.624999999999993</v>
      </c>
    </row>
    <row r="56" spans="1:5" x14ac:dyDescent="0.2">
      <c r="A56" s="63" t="s">
        <v>99</v>
      </c>
      <c r="B56" s="214">
        <v>36.780999999999999</v>
      </c>
      <c r="C56" s="214">
        <v>12.664999999999999</v>
      </c>
      <c r="D56" s="214">
        <v>3.085</v>
      </c>
      <c r="E56" s="431">
        <f t="shared" si="0"/>
        <v>52.530999999999999</v>
      </c>
    </row>
    <row r="57" spans="1:5" x14ac:dyDescent="0.2">
      <c r="A57" s="64" t="s">
        <v>98</v>
      </c>
      <c r="B57" s="216">
        <v>32.012999999999998</v>
      </c>
      <c r="C57" s="216">
        <v>14.574999999999999</v>
      </c>
      <c r="D57" s="216">
        <v>3.738</v>
      </c>
      <c r="E57" s="432">
        <f t="shared" si="0"/>
        <v>50.325999999999993</v>
      </c>
    </row>
    <row r="58" spans="1:5" x14ac:dyDescent="0.2">
      <c r="A58" s="223" t="s">
        <v>97</v>
      </c>
      <c r="B58" s="222">
        <v>723.26199999999994</v>
      </c>
      <c r="C58" s="222">
        <v>309.67200000000003</v>
      </c>
      <c r="D58" s="222">
        <v>65.650999999999996</v>
      </c>
      <c r="E58" s="433">
        <f t="shared" si="0"/>
        <v>1098.585</v>
      </c>
    </row>
    <row r="59" spans="1:5" x14ac:dyDescent="0.2">
      <c r="A59" s="63" t="s">
        <v>96</v>
      </c>
      <c r="B59" s="214">
        <v>68.606999999999999</v>
      </c>
      <c r="C59" s="214">
        <v>30.370999999999999</v>
      </c>
      <c r="D59" s="214">
        <v>4.8600000000000003</v>
      </c>
      <c r="E59" s="431">
        <f t="shared" si="0"/>
        <v>103.83799999999999</v>
      </c>
    </row>
    <row r="60" spans="1:5" x14ac:dyDescent="0.2">
      <c r="A60" s="63" t="s">
        <v>95</v>
      </c>
      <c r="B60" s="214">
        <v>73.566000000000003</v>
      </c>
      <c r="C60" s="214">
        <v>34.204000000000001</v>
      </c>
      <c r="D60" s="214">
        <v>7.1379999999999999</v>
      </c>
      <c r="E60" s="431">
        <f t="shared" si="0"/>
        <v>114.90800000000002</v>
      </c>
    </row>
    <row r="61" spans="1:5" x14ac:dyDescent="0.2">
      <c r="A61" s="63" t="s">
        <v>94</v>
      </c>
      <c r="B61" s="214">
        <v>221.381</v>
      </c>
      <c r="C61" s="214">
        <v>92.787999999999997</v>
      </c>
      <c r="D61" s="214">
        <v>23.006</v>
      </c>
      <c r="E61" s="431">
        <f t="shared" si="0"/>
        <v>337.17499999999995</v>
      </c>
    </row>
    <row r="62" spans="1:5" x14ac:dyDescent="0.2">
      <c r="A62" s="63" t="s">
        <v>93</v>
      </c>
      <c r="B62" s="214">
        <v>65.317999999999998</v>
      </c>
      <c r="C62" s="214">
        <v>23.844999999999999</v>
      </c>
      <c r="D62" s="214">
        <v>4.8840000000000003</v>
      </c>
      <c r="E62" s="431">
        <f t="shared" si="0"/>
        <v>94.046999999999997</v>
      </c>
    </row>
    <row r="63" spans="1:5" x14ac:dyDescent="0.2">
      <c r="A63" s="63" t="s">
        <v>92</v>
      </c>
      <c r="B63" s="214">
        <v>88.873999999999995</v>
      </c>
      <c r="C63" s="214">
        <v>42.920999999999999</v>
      </c>
      <c r="D63" s="214">
        <v>6.7389999999999999</v>
      </c>
      <c r="E63" s="431">
        <f t="shared" si="0"/>
        <v>138.53399999999999</v>
      </c>
    </row>
    <row r="64" spans="1:5" x14ac:dyDescent="0.2">
      <c r="A64" s="63" t="s">
        <v>91</v>
      </c>
      <c r="B64" s="214">
        <v>81.710999999999999</v>
      </c>
      <c r="C64" s="214">
        <v>34.253999999999998</v>
      </c>
      <c r="D64" s="214">
        <v>7.52</v>
      </c>
      <c r="E64" s="431">
        <f t="shared" si="0"/>
        <v>123.485</v>
      </c>
    </row>
    <row r="65" spans="1:5" x14ac:dyDescent="0.2">
      <c r="A65" s="63" t="s">
        <v>90</v>
      </c>
      <c r="B65" s="214">
        <v>58.94</v>
      </c>
      <c r="C65" s="214">
        <v>23.591999999999999</v>
      </c>
      <c r="D65" s="214">
        <v>5.0339999999999998</v>
      </c>
      <c r="E65" s="431">
        <f t="shared" si="0"/>
        <v>87.566000000000003</v>
      </c>
    </row>
    <row r="66" spans="1:5" x14ac:dyDescent="0.2">
      <c r="A66" s="64" t="s">
        <v>89</v>
      </c>
      <c r="B66" s="216">
        <v>64.864999999999995</v>
      </c>
      <c r="C66" s="216">
        <v>27.696999999999999</v>
      </c>
      <c r="D66" s="216">
        <v>6.47</v>
      </c>
      <c r="E66" s="432">
        <f t="shared" si="0"/>
        <v>99.031999999999996</v>
      </c>
    </row>
    <row r="67" spans="1:5" x14ac:dyDescent="0.2">
      <c r="A67" s="68" t="s">
        <v>88</v>
      </c>
      <c r="B67" s="213">
        <v>181.43899999999999</v>
      </c>
      <c r="C67" s="213">
        <v>65.468999999999994</v>
      </c>
      <c r="D67" s="377">
        <v>18.707000000000001</v>
      </c>
      <c r="E67" s="433">
        <f t="shared" si="0"/>
        <v>265.61500000000001</v>
      </c>
    </row>
    <row r="68" spans="1:5" x14ac:dyDescent="0.2">
      <c r="A68" s="66" t="s">
        <v>87</v>
      </c>
      <c r="B68" s="214">
        <v>40.688000000000002</v>
      </c>
      <c r="C68" s="214">
        <v>14.116</v>
      </c>
      <c r="D68" s="214">
        <v>4.84</v>
      </c>
      <c r="E68" s="431">
        <f t="shared" si="0"/>
        <v>59.644000000000005</v>
      </c>
    </row>
    <row r="69" spans="1:5" x14ac:dyDescent="0.2">
      <c r="A69" s="66" t="s">
        <v>86</v>
      </c>
      <c r="B69" s="214">
        <v>24.81</v>
      </c>
      <c r="C69" s="214">
        <v>9.1470000000000002</v>
      </c>
      <c r="D69" s="214">
        <v>3.1339999999999999</v>
      </c>
      <c r="E69" s="431">
        <f t="shared" ref="E69:E117" si="1">B69+C69+D69</f>
        <v>37.091000000000001</v>
      </c>
    </row>
    <row r="70" spans="1:5" x14ac:dyDescent="0.2">
      <c r="A70" s="66" t="s">
        <v>85</v>
      </c>
      <c r="B70" s="214">
        <v>14.923</v>
      </c>
      <c r="C70" s="214">
        <v>5.0350000000000001</v>
      </c>
      <c r="D70" s="214">
        <v>1.6910000000000001</v>
      </c>
      <c r="E70" s="431">
        <f t="shared" si="1"/>
        <v>21.648999999999997</v>
      </c>
    </row>
    <row r="71" spans="1:5" x14ac:dyDescent="0.2">
      <c r="A71" s="66" t="s">
        <v>84</v>
      </c>
      <c r="B71" s="214">
        <v>25.655000000000001</v>
      </c>
      <c r="C71" s="214">
        <v>9.6980000000000004</v>
      </c>
      <c r="D71" s="214">
        <v>1.9359999999999999</v>
      </c>
      <c r="E71" s="431">
        <f t="shared" si="1"/>
        <v>37.289000000000001</v>
      </c>
    </row>
    <row r="72" spans="1:5" x14ac:dyDescent="0.2">
      <c r="A72" s="69" t="s">
        <v>83</v>
      </c>
      <c r="B72" s="216">
        <v>75.363</v>
      </c>
      <c r="C72" s="216">
        <v>27.472999999999999</v>
      </c>
      <c r="D72" s="216">
        <v>7.1059999999999999</v>
      </c>
      <c r="E72" s="432">
        <f t="shared" si="1"/>
        <v>109.94199999999999</v>
      </c>
    </row>
    <row r="73" spans="1:5" x14ac:dyDescent="0.2">
      <c r="A73" s="68" t="s">
        <v>82</v>
      </c>
      <c r="B73" s="213">
        <v>352.45499999999998</v>
      </c>
      <c r="C73" s="213">
        <v>122.236</v>
      </c>
      <c r="D73" s="377">
        <v>31.751000000000001</v>
      </c>
      <c r="E73" s="433">
        <f t="shared" si="1"/>
        <v>506.44199999999995</v>
      </c>
    </row>
    <row r="74" spans="1:5" x14ac:dyDescent="0.2">
      <c r="A74" s="70" t="s">
        <v>81</v>
      </c>
      <c r="B74" s="214">
        <v>21.905999999999999</v>
      </c>
      <c r="C74" s="214">
        <v>8.6859999999999999</v>
      </c>
      <c r="D74" s="214">
        <v>1.4690000000000001</v>
      </c>
      <c r="E74" s="431">
        <f t="shared" si="1"/>
        <v>32.061</v>
      </c>
    </row>
    <row r="75" spans="1:5" x14ac:dyDescent="0.2">
      <c r="A75" s="70" t="s">
        <v>80</v>
      </c>
      <c r="B75" s="214">
        <v>103.34099999999999</v>
      </c>
      <c r="C75" s="214">
        <v>35.811</v>
      </c>
      <c r="D75" s="214">
        <v>9.9090000000000007</v>
      </c>
      <c r="E75" s="431">
        <f t="shared" si="1"/>
        <v>149.06099999999998</v>
      </c>
    </row>
    <row r="76" spans="1:5" x14ac:dyDescent="0.2">
      <c r="A76" s="70" t="s">
        <v>79</v>
      </c>
      <c r="B76" s="214">
        <v>24.074000000000002</v>
      </c>
      <c r="C76" s="214">
        <v>8.4369999999999994</v>
      </c>
      <c r="D76" s="214">
        <v>1.7849999999999999</v>
      </c>
      <c r="E76" s="431">
        <f t="shared" si="1"/>
        <v>34.295999999999999</v>
      </c>
    </row>
    <row r="77" spans="1:5" x14ac:dyDescent="0.2">
      <c r="A77" s="70" t="s">
        <v>78</v>
      </c>
      <c r="B77" s="214">
        <v>17.686</v>
      </c>
      <c r="C77" s="214">
        <v>6.1769999999999996</v>
      </c>
      <c r="D77" s="214">
        <v>1.331</v>
      </c>
      <c r="E77" s="431">
        <f t="shared" si="1"/>
        <v>25.193999999999999</v>
      </c>
    </row>
    <row r="78" spans="1:5" x14ac:dyDescent="0.2">
      <c r="A78" s="70" t="s">
        <v>77</v>
      </c>
      <c r="B78" s="214">
        <v>35.21</v>
      </c>
      <c r="C78" s="214">
        <v>11.052</v>
      </c>
      <c r="D78" s="214">
        <v>4.08</v>
      </c>
      <c r="E78" s="431">
        <f t="shared" si="1"/>
        <v>50.341999999999999</v>
      </c>
    </row>
    <row r="79" spans="1:5" x14ac:dyDescent="0.2">
      <c r="A79" s="70" t="s">
        <v>76</v>
      </c>
      <c r="B79" s="214">
        <v>14.425000000000001</v>
      </c>
      <c r="C79" s="214">
        <v>4.843</v>
      </c>
      <c r="D79" s="214">
        <v>1.244</v>
      </c>
      <c r="E79" s="431">
        <f t="shared" si="1"/>
        <v>20.512</v>
      </c>
    </row>
    <row r="80" spans="1:5" x14ac:dyDescent="0.2">
      <c r="A80" s="70" t="s">
        <v>75</v>
      </c>
      <c r="B80" s="214">
        <v>7.5049999999999999</v>
      </c>
      <c r="C80" s="214">
        <v>2.6139999999999999</v>
      </c>
      <c r="D80" s="214">
        <v>0.441</v>
      </c>
      <c r="E80" s="431">
        <f t="shared" si="1"/>
        <v>10.56</v>
      </c>
    </row>
    <row r="81" spans="1:5" x14ac:dyDescent="0.2">
      <c r="A81" s="70" t="s">
        <v>74</v>
      </c>
      <c r="B81" s="214">
        <v>27.123000000000001</v>
      </c>
      <c r="C81" s="214">
        <v>9.5619999999999994</v>
      </c>
      <c r="D81" s="214">
        <v>2.2949999999999999</v>
      </c>
      <c r="E81" s="431">
        <f t="shared" si="1"/>
        <v>38.980000000000004</v>
      </c>
    </row>
    <row r="82" spans="1:5" x14ac:dyDescent="0.2">
      <c r="A82" s="70" t="s">
        <v>73</v>
      </c>
      <c r="B82" s="214">
        <v>18.221</v>
      </c>
      <c r="C82" s="214">
        <v>5.7220000000000004</v>
      </c>
      <c r="D82" s="214">
        <v>1.716</v>
      </c>
      <c r="E82" s="431">
        <f t="shared" si="1"/>
        <v>25.659000000000002</v>
      </c>
    </row>
    <row r="83" spans="1:5" x14ac:dyDescent="0.2">
      <c r="A83" s="70" t="s">
        <v>72</v>
      </c>
      <c r="B83" s="214">
        <v>33.673999999999999</v>
      </c>
      <c r="C83" s="214">
        <v>12.052</v>
      </c>
      <c r="D83" s="214">
        <v>2.4060000000000001</v>
      </c>
      <c r="E83" s="431">
        <f t="shared" si="1"/>
        <v>48.131999999999998</v>
      </c>
    </row>
    <row r="84" spans="1:5" x14ac:dyDescent="0.2">
      <c r="A84" s="70" t="s">
        <v>71</v>
      </c>
      <c r="B84" s="214">
        <v>19.271999999999998</v>
      </c>
      <c r="C84" s="214">
        <v>6.867</v>
      </c>
      <c r="D84" s="214">
        <v>1.905</v>
      </c>
      <c r="E84" s="431">
        <f t="shared" si="1"/>
        <v>28.044</v>
      </c>
    </row>
    <row r="85" spans="1:5" x14ac:dyDescent="0.2">
      <c r="A85" s="64" t="s">
        <v>70</v>
      </c>
      <c r="B85" s="216">
        <v>30.018000000000001</v>
      </c>
      <c r="C85" s="216">
        <v>10.413</v>
      </c>
      <c r="D85" s="216">
        <v>3.17</v>
      </c>
      <c r="E85" s="432">
        <f t="shared" si="1"/>
        <v>43.600999999999999</v>
      </c>
    </row>
    <row r="86" spans="1:5" x14ac:dyDescent="0.2">
      <c r="A86" s="223" t="s">
        <v>69</v>
      </c>
      <c r="B86" s="222">
        <v>338.00900000000001</v>
      </c>
      <c r="C86" s="222">
        <v>127.792</v>
      </c>
      <c r="D86" s="222">
        <v>29.79</v>
      </c>
      <c r="E86" s="433">
        <f t="shared" si="1"/>
        <v>495.59100000000007</v>
      </c>
    </row>
    <row r="87" spans="1:5" x14ac:dyDescent="0.2">
      <c r="A87" s="63" t="s">
        <v>68</v>
      </c>
      <c r="B87" s="214">
        <v>19.812999999999999</v>
      </c>
      <c r="C87" s="214">
        <v>7.2140000000000004</v>
      </c>
      <c r="D87" s="214">
        <v>1.599</v>
      </c>
      <c r="E87" s="431">
        <f t="shared" si="1"/>
        <v>28.626000000000001</v>
      </c>
    </row>
    <row r="88" spans="1:5" x14ac:dyDescent="0.2">
      <c r="A88" s="63" t="s">
        <v>67</v>
      </c>
      <c r="B88" s="214">
        <v>37.405999999999999</v>
      </c>
      <c r="C88" s="214">
        <v>12.65</v>
      </c>
      <c r="D88" s="214">
        <v>3.7610000000000001</v>
      </c>
      <c r="E88" s="431">
        <f t="shared" si="1"/>
        <v>53.817</v>
      </c>
    </row>
    <row r="89" spans="1:5" x14ac:dyDescent="0.2">
      <c r="A89" s="63" t="s">
        <v>66</v>
      </c>
      <c r="B89" s="214">
        <v>69.287999999999997</v>
      </c>
      <c r="C89" s="214">
        <v>27.547000000000001</v>
      </c>
      <c r="D89" s="214">
        <v>6.4779999999999998</v>
      </c>
      <c r="E89" s="431">
        <f t="shared" si="1"/>
        <v>103.31299999999999</v>
      </c>
    </row>
    <row r="90" spans="1:5" x14ac:dyDescent="0.2">
      <c r="A90" s="63" t="s">
        <v>65</v>
      </c>
      <c r="B90" s="214">
        <v>4.9610000000000003</v>
      </c>
      <c r="C90" s="214">
        <v>1.825</v>
      </c>
      <c r="D90" s="214">
        <v>0.66400000000000003</v>
      </c>
      <c r="E90" s="431">
        <f t="shared" si="1"/>
        <v>7.45</v>
      </c>
    </row>
    <row r="91" spans="1:5" x14ac:dyDescent="0.2">
      <c r="A91" s="63" t="s">
        <v>64</v>
      </c>
      <c r="B91" s="214">
        <v>26.134</v>
      </c>
      <c r="C91" s="214">
        <v>9.0050000000000008</v>
      </c>
      <c r="D91" s="214">
        <v>1.895</v>
      </c>
      <c r="E91" s="431">
        <f t="shared" si="1"/>
        <v>37.034000000000006</v>
      </c>
    </row>
    <row r="92" spans="1:5" x14ac:dyDescent="0.2">
      <c r="A92" s="63" t="s">
        <v>63</v>
      </c>
      <c r="B92" s="214">
        <v>8.7110000000000003</v>
      </c>
      <c r="C92" s="214">
        <v>4.048</v>
      </c>
      <c r="D92" s="214">
        <v>0.65600000000000003</v>
      </c>
      <c r="E92" s="431">
        <f t="shared" si="1"/>
        <v>13.415000000000001</v>
      </c>
    </row>
    <row r="93" spans="1:5" x14ac:dyDescent="0.2">
      <c r="A93" s="63" t="s">
        <v>62</v>
      </c>
      <c r="B93" s="214">
        <v>13.425000000000001</v>
      </c>
      <c r="C93" s="214">
        <v>5.0640000000000001</v>
      </c>
      <c r="D93" s="214">
        <v>1.6519999999999999</v>
      </c>
      <c r="E93" s="431">
        <f t="shared" si="1"/>
        <v>20.141000000000002</v>
      </c>
    </row>
    <row r="94" spans="1:5" x14ac:dyDescent="0.2">
      <c r="A94" s="63" t="s">
        <v>61</v>
      </c>
      <c r="B94" s="214">
        <v>10.778</v>
      </c>
      <c r="C94" s="214">
        <v>3.88</v>
      </c>
      <c r="D94" s="214">
        <v>0.84299999999999997</v>
      </c>
      <c r="E94" s="431">
        <f t="shared" si="1"/>
        <v>15.501000000000001</v>
      </c>
    </row>
    <row r="95" spans="1:5" x14ac:dyDescent="0.2">
      <c r="A95" s="63" t="s">
        <v>60</v>
      </c>
      <c r="B95" s="214">
        <v>92.893000000000001</v>
      </c>
      <c r="C95" s="214">
        <v>36.780999999999999</v>
      </c>
      <c r="D95" s="214">
        <v>7.3769999999999998</v>
      </c>
      <c r="E95" s="431">
        <f t="shared" si="1"/>
        <v>137.05100000000002</v>
      </c>
    </row>
    <row r="96" spans="1:5" x14ac:dyDescent="0.2">
      <c r="A96" s="70" t="s">
        <v>59</v>
      </c>
      <c r="B96" s="214">
        <v>14.436999999999999</v>
      </c>
      <c r="C96" s="214">
        <v>4.3220000000000001</v>
      </c>
      <c r="D96" s="214">
        <v>1.0580000000000001</v>
      </c>
      <c r="E96" s="431">
        <f t="shared" si="1"/>
        <v>19.817</v>
      </c>
    </row>
    <row r="97" spans="1:5" x14ac:dyDescent="0.2">
      <c r="A97" s="66" t="s">
        <v>58</v>
      </c>
      <c r="B97" s="214">
        <v>8.9350000000000005</v>
      </c>
      <c r="C97" s="214">
        <v>3.8279999999999998</v>
      </c>
      <c r="D97" s="214">
        <v>0.73099999999999998</v>
      </c>
      <c r="E97" s="431">
        <f t="shared" si="1"/>
        <v>13.494</v>
      </c>
    </row>
    <row r="98" spans="1:5" x14ac:dyDescent="0.2">
      <c r="A98" s="66" t="s">
        <v>57</v>
      </c>
      <c r="B98" s="214">
        <v>18.38</v>
      </c>
      <c r="C98" s="214">
        <v>6.9279999999999999</v>
      </c>
      <c r="D98" s="214">
        <v>1.7769999999999999</v>
      </c>
      <c r="E98" s="431">
        <f t="shared" si="1"/>
        <v>27.085000000000001</v>
      </c>
    </row>
    <row r="99" spans="1:5" x14ac:dyDescent="0.2">
      <c r="A99" s="69" t="s">
        <v>56</v>
      </c>
      <c r="B99" s="216">
        <v>12.848000000000001</v>
      </c>
      <c r="C99" s="216">
        <v>4.7</v>
      </c>
      <c r="D99" s="216">
        <v>1.2989999999999999</v>
      </c>
      <c r="E99" s="432">
        <f t="shared" si="1"/>
        <v>18.847000000000001</v>
      </c>
    </row>
    <row r="100" spans="1:5" x14ac:dyDescent="0.2">
      <c r="A100" s="223" t="s">
        <v>55</v>
      </c>
      <c r="B100" s="213">
        <v>187.10300000000001</v>
      </c>
      <c r="C100" s="213">
        <v>69.724000000000004</v>
      </c>
      <c r="D100" s="377">
        <v>29.073</v>
      </c>
      <c r="E100" s="433">
        <f t="shared" si="1"/>
        <v>285.89999999999998</v>
      </c>
    </row>
    <row r="101" spans="1:5" x14ac:dyDescent="0.2">
      <c r="A101" s="63" t="s">
        <v>54</v>
      </c>
      <c r="B101" s="214">
        <v>76.503</v>
      </c>
      <c r="C101" s="214">
        <v>27.045000000000002</v>
      </c>
      <c r="D101" s="214">
        <v>10.837</v>
      </c>
      <c r="E101" s="431">
        <f t="shared" si="1"/>
        <v>114.38500000000001</v>
      </c>
    </row>
    <row r="102" spans="1:5" x14ac:dyDescent="0.2">
      <c r="A102" s="63" t="s">
        <v>53</v>
      </c>
      <c r="B102" s="214">
        <v>38.238999999999997</v>
      </c>
      <c r="C102" s="214">
        <v>14.329000000000001</v>
      </c>
      <c r="D102" s="214">
        <v>7.51</v>
      </c>
      <c r="E102" s="431">
        <f t="shared" si="1"/>
        <v>60.077999999999996</v>
      </c>
    </row>
    <row r="103" spans="1:5" x14ac:dyDescent="0.2">
      <c r="A103" s="63" t="s">
        <v>52</v>
      </c>
      <c r="B103" s="214">
        <v>15.157</v>
      </c>
      <c r="C103" s="214">
        <v>6.4130000000000003</v>
      </c>
      <c r="D103" s="214">
        <v>2.3170000000000002</v>
      </c>
      <c r="E103" s="431">
        <f t="shared" si="1"/>
        <v>23.887</v>
      </c>
    </row>
    <row r="104" spans="1:5" x14ac:dyDescent="0.2">
      <c r="A104" s="63" t="s">
        <v>51</v>
      </c>
      <c r="B104" s="214">
        <v>27.084</v>
      </c>
      <c r="C104" s="214">
        <v>11.103999999999999</v>
      </c>
      <c r="D104" s="214">
        <v>2.9140000000000001</v>
      </c>
      <c r="E104" s="431">
        <f t="shared" si="1"/>
        <v>41.102000000000004</v>
      </c>
    </row>
    <row r="105" spans="1:5" x14ac:dyDescent="0.2">
      <c r="A105" s="63" t="s">
        <v>50</v>
      </c>
      <c r="B105" s="214">
        <v>30.12</v>
      </c>
      <c r="C105" s="214">
        <v>10.833</v>
      </c>
      <c r="D105" s="214">
        <v>5.4950000000000001</v>
      </c>
      <c r="E105" s="432">
        <f t="shared" si="1"/>
        <v>46.448</v>
      </c>
    </row>
    <row r="106" spans="1:5" x14ac:dyDescent="0.2">
      <c r="A106" s="223" t="s">
        <v>49</v>
      </c>
      <c r="B106" s="213">
        <v>307.33199999999999</v>
      </c>
      <c r="C106" s="213">
        <v>96.906999999999996</v>
      </c>
      <c r="D106" s="377">
        <v>27.021999999999998</v>
      </c>
      <c r="E106" s="433">
        <f t="shared" si="1"/>
        <v>431.26099999999997</v>
      </c>
    </row>
    <row r="107" spans="1:5" x14ac:dyDescent="0.2">
      <c r="A107" s="63" t="s">
        <v>48</v>
      </c>
      <c r="B107" s="214">
        <v>9.64</v>
      </c>
      <c r="C107" s="214">
        <v>3.8860000000000001</v>
      </c>
      <c r="D107" s="214">
        <v>0.56999999999999995</v>
      </c>
      <c r="E107" s="431">
        <f t="shared" si="1"/>
        <v>14.096</v>
      </c>
    </row>
    <row r="108" spans="1:5" x14ac:dyDescent="0.2">
      <c r="A108" s="63" t="s">
        <v>47</v>
      </c>
      <c r="B108" s="214">
        <v>62.040999999999997</v>
      </c>
      <c r="C108" s="214">
        <v>22.808</v>
      </c>
      <c r="D108" s="214">
        <v>4.6589999999999998</v>
      </c>
      <c r="E108" s="431">
        <f t="shared" si="1"/>
        <v>89.507999999999996</v>
      </c>
    </row>
    <row r="109" spans="1:5" x14ac:dyDescent="0.2">
      <c r="A109" s="63" t="s">
        <v>46</v>
      </c>
      <c r="B109" s="214">
        <v>134.71899999999999</v>
      </c>
      <c r="C109" s="214">
        <v>39.380000000000003</v>
      </c>
      <c r="D109" s="214">
        <v>12.194000000000001</v>
      </c>
      <c r="E109" s="431">
        <f t="shared" si="1"/>
        <v>186.29299999999998</v>
      </c>
    </row>
    <row r="110" spans="1:5" x14ac:dyDescent="0.2">
      <c r="A110" s="63" t="s">
        <v>45</v>
      </c>
      <c r="B110" s="214">
        <v>8.93</v>
      </c>
      <c r="C110" s="214">
        <v>4.2149999999999999</v>
      </c>
      <c r="D110" s="214">
        <v>0.69799999999999995</v>
      </c>
      <c r="E110" s="431">
        <f t="shared" si="1"/>
        <v>13.843</v>
      </c>
    </row>
    <row r="111" spans="1:5" x14ac:dyDescent="0.2">
      <c r="A111" s="63" t="s">
        <v>44</v>
      </c>
      <c r="B111" s="214">
        <v>60.094999999999999</v>
      </c>
      <c r="C111" s="214">
        <v>15.994</v>
      </c>
      <c r="D111" s="214">
        <v>6.383</v>
      </c>
      <c r="E111" s="431">
        <f t="shared" si="1"/>
        <v>82.471999999999994</v>
      </c>
    </row>
    <row r="112" spans="1:5" x14ac:dyDescent="0.2">
      <c r="A112" s="64" t="s">
        <v>43</v>
      </c>
      <c r="B112" s="216">
        <v>31.907</v>
      </c>
      <c r="C112" s="216">
        <v>10.624000000000001</v>
      </c>
      <c r="D112" s="216">
        <v>2.5179999999999998</v>
      </c>
      <c r="E112" s="432">
        <f t="shared" si="1"/>
        <v>45.048999999999999</v>
      </c>
    </row>
    <row r="113" spans="1:5" x14ac:dyDescent="0.2">
      <c r="A113" s="223" t="s">
        <v>41</v>
      </c>
      <c r="B113" s="213">
        <v>119.958</v>
      </c>
      <c r="C113" s="213">
        <v>55.884999999999998</v>
      </c>
      <c r="D113" s="377">
        <v>10.756</v>
      </c>
      <c r="E113" s="433">
        <f t="shared" si="1"/>
        <v>186.59899999999999</v>
      </c>
    </row>
    <row r="114" spans="1:5" x14ac:dyDescent="0.2">
      <c r="A114" s="63" t="s">
        <v>40</v>
      </c>
      <c r="B114" s="214">
        <v>28.292999999999999</v>
      </c>
      <c r="C114" s="214">
        <v>7.9349999999999996</v>
      </c>
      <c r="D114" s="214">
        <v>2.3180000000000001</v>
      </c>
      <c r="E114" s="431">
        <f t="shared" si="1"/>
        <v>38.545999999999999</v>
      </c>
    </row>
    <row r="115" spans="1:5" x14ac:dyDescent="0.2">
      <c r="A115" s="63" t="s">
        <v>39</v>
      </c>
      <c r="B115" s="214">
        <v>26.902999999999999</v>
      </c>
      <c r="C115" s="214">
        <v>10.281000000000001</v>
      </c>
      <c r="D115" s="214">
        <v>2.6230000000000002</v>
      </c>
      <c r="E115" s="431">
        <f t="shared" si="1"/>
        <v>39.806999999999995</v>
      </c>
    </row>
    <row r="116" spans="1:5" x14ac:dyDescent="0.2">
      <c r="A116" s="63" t="s">
        <v>38</v>
      </c>
      <c r="B116" s="214">
        <v>17.265000000000001</v>
      </c>
      <c r="C116" s="214">
        <v>9.1430000000000007</v>
      </c>
      <c r="D116" s="214">
        <v>1.411</v>
      </c>
      <c r="E116" s="431">
        <f t="shared" si="1"/>
        <v>27.819000000000003</v>
      </c>
    </row>
    <row r="117" spans="1:5" x14ac:dyDescent="0.2">
      <c r="A117" s="64" t="s">
        <v>37</v>
      </c>
      <c r="B117" s="216">
        <v>47.497</v>
      </c>
      <c r="C117" s="216">
        <v>28.526</v>
      </c>
      <c r="D117" s="216">
        <v>4.4039999999999999</v>
      </c>
      <c r="E117" s="432">
        <f t="shared" si="1"/>
        <v>80.426999999999992</v>
      </c>
    </row>
    <row r="118" spans="1:5" x14ac:dyDescent="0.2">
      <c r="A118" s="161" t="s">
        <v>12</v>
      </c>
      <c r="B118" s="71"/>
      <c r="C118" s="71"/>
      <c r="D118" s="71"/>
      <c r="E118" s="71"/>
    </row>
    <row r="119" spans="1:5" x14ac:dyDescent="0.2">
      <c r="A119" s="195" t="s">
        <v>222</v>
      </c>
      <c r="B119" s="72"/>
      <c r="C119" s="72"/>
      <c r="D119" s="72"/>
      <c r="E119" s="72"/>
    </row>
    <row r="120" spans="1:5" x14ac:dyDescent="0.2">
      <c r="A120" s="195" t="s">
        <v>225</v>
      </c>
      <c r="B120" s="72"/>
      <c r="C120" s="72"/>
      <c r="D120" s="72"/>
      <c r="E120" s="72"/>
    </row>
    <row r="121" spans="1:5" x14ac:dyDescent="0.2">
      <c r="A121" s="396" t="s">
        <v>241</v>
      </c>
      <c r="B121" s="72"/>
      <c r="C121" s="72"/>
      <c r="D121" s="72"/>
      <c r="E121" s="72"/>
    </row>
    <row r="122" spans="1:5" x14ac:dyDescent="0.2">
      <c r="A122" s="437" t="s">
        <v>273</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29"/>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RowHeight="12.75" x14ac:dyDescent="0.2"/>
  <cols>
    <col min="1" max="1" width="40.7109375" style="75" customWidth="1"/>
    <col min="2" max="11" width="9.140625" style="75" customWidth="1"/>
    <col min="12" max="12" width="9.7109375" style="75" customWidth="1"/>
    <col min="13" max="16384" width="11.42578125" style="75"/>
  </cols>
  <sheetData>
    <row r="1" spans="1:16" x14ac:dyDescent="0.2">
      <c r="A1" s="76" t="s">
        <v>223</v>
      </c>
      <c r="B1" s="77"/>
      <c r="C1" s="77"/>
      <c r="D1" s="77"/>
      <c r="E1" s="77"/>
      <c r="F1" s="77"/>
      <c r="G1" s="77"/>
      <c r="H1" s="77"/>
      <c r="I1" s="77"/>
      <c r="J1" s="77"/>
      <c r="K1" s="77"/>
      <c r="L1" s="77"/>
    </row>
    <row r="2" spans="1:16" x14ac:dyDescent="0.2">
      <c r="A2" s="206" t="s">
        <v>220</v>
      </c>
      <c r="B2" s="77"/>
      <c r="C2" s="77"/>
      <c r="D2" s="77"/>
      <c r="E2" s="77"/>
      <c r="F2" s="77"/>
      <c r="G2" s="77"/>
      <c r="H2" s="77"/>
      <c r="I2" s="77"/>
      <c r="J2" s="77"/>
      <c r="K2" s="77"/>
      <c r="L2" s="77"/>
    </row>
    <row r="3" spans="1:16" ht="14.25" x14ac:dyDescent="0.2">
      <c r="A3" s="78"/>
      <c r="B3" s="381">
        <v>2011</v>
      </c>
      <c r="C3" s="381">
        <v>2012</v>
      </c>
      <c r="D3" s="381">
        <v>2013</v>
      </c>
      <c r="E3" s="381">
        <v>2014</v>
      </c>
      <c r="F3" s="381">
        <v>2015</v>
      </c>
      <c r="G3" s="381">
        <v>2016</v>
      </c>
      <c r="H3" s="381">
        <v>2017</v>
      </c>
      <c r="I3" s="381">
        <v>2018</v>
      </c>
      <c r="J3" s="381">
        <v>2019</v>
      </c>
      <c r="K3" s="381">
        <v>2020</v>
      </c>
      <c r="L3" s="380">
        <v>2021</v>
      </c>
      <c r="M3" s="381" t="s">
        <v>274</v>
      </c>
      <c r="N3" s="389" t="s">
        <v>275</v>
      </c>
      <c r="O3" s="278" t="s">
        <v>279</v>
      </c>
    </row>
    <row r="4" spans="1:16" x14ac:dyDescent="0.2">
      <c r="A4" s="79" t="s">
        <v>151</v>
      </c>
      <c r="B4" s="386">
        <v>70.667019106572567</v>
      </c>
      <c r="C4" s="388">
        <v>70.506351153652531</v>
      </c>
      <c r="D4" s="388">
        <v>70.678080272540527</v>
      </c>
      <c r="E4" s="388">
        <v>70.762378603245438</v>
      </c>
      <c r="F4" s="388">
        <v>70.518496795696493</v>
      </c>
      <c r="G4" s="388">
        <v>70.121952550103316</v>
      </c>
      <c r="H4" s="388">
        <v>70.639830285326155</v>
      </c>
      <c r="I4" s="388">
        <v>71.079335155053585</v>
      </c>
      <c r="J4" s="388">
        <v>71.222933845836636</v>
      </c>
      <c r="K4" s="388">
        <v>71.753058622142632</v>
      </c>
      <c r="L4" s="386">
        <v>71.312601911091136</v>
      </c>
      <c r="M4" s="388">
        <v>70.945838663599929</v>
      </c>
      <c r="N4" s="382">
        <v>71.674383030482403</v>
      </c>
      <c r="O4" s="188">
        <v>71.966805968114699</v>
      </c>
      <c r="P4" s="198"/>
    </row>
    <row r="5" spans="1:16" x14ac:dyDescent="0.2">
      <c r="A5" s="80" t="s">
        <v>150</v>
      </c>
      <c r="B5" s="81">
        <v>75.814827419632053</v>
      </c>
      <c r="C5" s="90">
        <v>75.179797339064052</v>
      </c>
      <c r="D5" s="90">
        <v>75.958105101806865</v>
      </c>
      <c r="E5" s="90">
        <v>75.690094992939137</v>
      </c>
      <c r="F5" s="90">
        <v>75.226530641828688</v>
      </c>
      <c r="G5" s="90">
        <v>75.151146199350421</v>
      </c>
      <c r="H5" s="90">
        <v>76.0920931165887</v>
      </c>
      <c r="I5" s="90">
        <v>76.934824897172277</v>
      </c>
      <c r="J5" s="90">
        <v>76.247146848987128</v>
      </c>
      <c r="K5" s="90">
        <v>76.981232571564547</v>
      </c>
      <c r="L5" s="81">
        <v>76.242716217537762</v>
      </c>
      <c r="M5" s="90">
        <v>76.703317441686707</v>
      </c>
      <c r="N5" s="82">
        <v>77.707955340691498</v>
      </c>
      <c r="O5" s="90">
        <v>78.108050595461805</v>
      </c>
      <c r="P5" s="198"/>
    </row>
    <row r="6" spans="1:16" x14ac:dyDescent="0.2">
      <c r="A6" s="80" t="s">
        <v>149</v>
      </c>
      <c r="B6" s="81">
        <v>77.488818405712692</v>
      </c>
      <c r="C6" s="90">
        <v>77.214721476536113</v>
      </c>
      <c r="D6" s="90">
        <v>77.602810423351556</v>
      </c>
      <c r="E6" s="90">
        <v>78.153758327623663</v>
      </c>
      <c r="F6" s="90">
        <v>77.741153122141426</v>
      </c>
      <c r="G6" s="90">
        <v>78.871529617840082</v>
      </c>
      <c r="H6" s="90">
        <v>78.795263426900135</v>
      </c>
      <c r="I6" s="90">
        <v>79.682313566699875</v>
      </c>
      <c r="J6" s="90">
        <v>78.759537234557953</v>
      </c>
      <c r="K6" s="90">
        <v>78.973373947034773</v>
      </c>
      <c r="L6" s="81">
        <v>78.804732071709466</v>
      </c>
      <c r="M6" s="90">
        <v>79.153417781486397</v>
      </c>
      <c r="N6" s="82">
        <v>80.179845169625693</v>
      </c>
      <c r="O6" s="90">
        <v>80.214738079668294</v>
      </c>
    </row>
    <row r="7" spans="1:16" x14ac:dyDescent="0.2">
      <c r="A7" s="80" t="s">
        <v>148</v>
      </c>
      <c r="B7" s="81">
        <v>59.222551264127063</v>
      </c>
      <c r="C7" s="90">
        <v>58.927088577548332</v>
      </c>
      <c r="D7" s="90">
        <v>59.409482843679278</v>
      </c>
      <c r="E7" s="90">
        <v>59.083318094598077</v>
      </c>
      <c r="F7" s="90">
        <v>58.674469479507628</v>
      </c>
      <c r="G7" s="90">
        <v>58.60689615642552</v>
      </c>
      <c r="H7" s="90">
        <v>59.195399097849055</v>
      </c>
      <c r="I7" s="90">
        <v>60.46897528917674</v>
      </c>
      <c r="J7" s="90">
        <v>60.130687013502694</v>
      </c>
      <c r="K7" s="90">
        <v>61.141491155855419</v>
      </c>
      <c r="L7" s="81">
        <v>61.706205104902942</v>
      </c>
      <c r="M7" s="90">
        <v>62.494097547918415</v>
      </c>
      <c r="N7" s="82">
        <v>63.959571071444202</v>
      </c>
      <c r="O7" s="90">
        <v>64.042534139911098</v>
      </c>
    </row>
    <row r="8" spans="1:16" x14ac:dyDescent="0.2">
      <c r="A8" s="80" t="s">
        <v>147</v>
      </c>
      <c r="B8" s="81">
        <v>85.363170719182619</v>
      </c>
      <c r="C8" s="90">
        <v>85.091443861552278</v>
      </c>
      <c r="D8" s="90">
        <v>85.448196107556839</v>
      </c>
      <c r="E8" s="90">
        <v>85.886167257877375</v>
      </c>
      <c r="F8" s="90">
        <v>85.810613552221383</v>
      </c>
      <c r="G8" s="90">
        <v>82.453982638574459</v>
      </c>
      <c r="H8" s="90">
        <v>83.414346946939858</v>
      </c>
      <c r="I8" s="90">
        <v>84.374925446407843</v>
      </c>
      <c r="J8" s="90">
        <v>83.271855657045592</v>
      </c>
      <c r="K8" s="90">
        <v>85.318216457437927</v>
      </c>
      <c r="L8" s="81">
        <v>86.090834313126351</v>
      </c>
      <c r="M8" s="90">
        <v>86.940218114065829</v>
      </c>
      <c r="N8" s="82">
        <v>87.543697034488503</v>
      </c>
      <c r="O8" s="90">
        <v>88.180380653788504</v>
      </c>
    </row>
    <row r="9" spans="1:16" x14ac:dyDescent="0.2">
      <c r="A9" s="80" t="s">
        <v>146</v>
      </c>
      <c r="B9" s="81">
        <v>47.373649263171288</v>
      </c>
      <c r="C9" s="90">
        <v>47.167700438381836</v>
      </c>
      <c r="D9" s="90">
        <v>47.582505647688492</v>
      </c>
      <c r="E9" s="90">
        <v>47.784531125971171</v>
      </c>
      <c r="F9" s="90">
        <v>47.330298839474402</v>
      </c>
      <c r="G9" s="90">
        <v>47.297998529794121</v>
      </c>
      <c r="H9" s="90">
        <v>47.900599992800032</v>
      </c>
      <c r="I9" s="90">
        <v>47.694572164985161</v>
      </c>
      <c r="J9" s="90">
        <v>47.966254653007958</v>
      </c>
      <c r="K9" s="90">
        <v>48.245826274157075</v>
      </c>
      <c r="L9" s="81">
        <v>48.182362734208205</v>
      </c>
      <c r="M9" s="90">
        <v>47.162450625852458</v>
      </c>
      <c r="N9" s="82">
        <v>47.378742493053103</v>
      </c>
      <c r="O9" s="90">
        <v>47.5203365687616</v>
      </c>
    </row>
    <row r="10" spans="1:16" x14ac:dyDescent="0.2">
      <c r="A10" s="80" t="s">
        <v>145</v>
      </c>
      <c r="B10" s="81">
        <v>58.737347657775921</v>
      </c>
      <c r="C10" s="90">
        <v>59.248754724498021</v>
      </c>
      <c r="D10" s="90">
        <v>58.992571832094384</v>
      </c>
      <c r="E10" s="90">
        <v>58.979541501361723</v>
      </c>
      <c r="F10" s="90">
        <v>59.194146302319936</v>
      </c>
      <c r="G10" s="90">
        <v>59.316736931058543</v>
      </c>
      <c r="H10" s="90">
        <v>59.985474570461214</v>
      </c>
      <c r="I10" s="90">
        <v>60.78199457692557</v>
      </c>
      <c r="J10" s="90">
        <v>60.885703305962288</v>
      </c>
      <c r="K10" s="90">
        <v>60.839587606989632</v>
      </c>
      <c r="L10" s="81">
        <v>61.099716159790496</v>
      </c>
      <c r="M10" s="90">
        <v>60.450773015009936</v>
      </c>
      <c r="N10" s="82">
        <v>61.400409280803302</v>
      </c>
      <c r="O10" s="90">
        <v>61.888132525293301</v>
      </c>
    </row>
    <row r="11" spans="1:16" x14ac:dyDescent="0.2">
      <c r="A11" s="80" t="s">
        <v>144</v>
      </c>
      <c r="B11" s="81">
        <v>59.869169211559722</v>
      </c>
      <c r="C11" s="90">
        <v>59.913579953525137</v>
      </c>
      <c r="D11" s="90">
        <v>60.286563286443425</v>
      </c>
      <c r="E11" s="90">
        <v>60.336005855508937</v>
      </c>
      <c r="F11" s="90">
        <v>60.599110784019636</v>
      </c>
      <c r="G11" s="90">
        <v>60.515560933321886</v>
      </c>
      <c r="H11" s="90">
        <v>60.483522984943377</v>
      </c>
      <c r="I11" s="90">
        <v>60.565076116306308</v>
      </c>
      <c r="J11" s="90">
        <v>60.126507360287881</v>
      </c>
      <c r="K11" s="90">
        <v>60.371388970439014</v>
      </c>
      <c r="L11" s="81">
        <v>60.509897844864419</v>
      </c>
      <c r="M11" s="90">
        <v>60.901644963587309</v>
      </c>
      <c r="N11" s="82">
        <v>62.671260447371999</v>
      </c>
      <c r="O11" s="90">
        <v>63.2969710664768</v>
      </c>
    </row>
    <row r="12" spans="1:16" x14ac:dyDescent="0.2">
      <c r="A12" s="80" t="s">
        <v>143</v>
      </c>
      <c r="B12" s="81">
        <v>58.704239857078896</v>
      </c>
      <c r="C12" s="90">
        <v>58.787700111740754</v>
      </c>
      <c r="D12" s="90">
        <v>59.249752327095635</v>
      </c>
      <c r="E12" s="90">
        <v>59.269227080174417</v>
      </c>
      <c r="F12" s="90">
        <v>59.345910236260089</v>
      </c>
      <c r="G12" s="90">
        <v>58.803721332364923</v>
      </c>
      <c r="H12" s="90">
        <v>58.720097876903203</v>
      </c>
      <c r="I12" s="90">
        <v>58.808945240558543</v>
      </c>
      <c r="J12" s="90">
        <v>58.645938883421721</v>
      </c>
      <c r="K12" s="90">
        <v>57.915178869279231</v>
      </c>
      <c r="L12" s="81">
        <v>57.764502861425591</v>
      </c>
      <c r="M12" s="90">
        <v>57.784772882066882</v>
      </c>
      <c r="N12" s="82">
        <v>58.754601419573</v>
      </c>
      <c r="O12" s="90">
        <v>59.680494332565999</v>
      </c>
    </row>
    <row r="13" spans="1:16" x14ac:dyDescent="0.2">
      <c r="A13" s="80" t="s">
        <v>142</v>
      </c>
      <c r="B13" s="81">
        <v>72.936965634725865</v>
      </c>
      <c r="C13" s="90">
        <v>73.189774604703018</v>
      </c>
      <c r="D13" s="90">
        <v>73.584357160400316</v>
      </c>
      <c r="E13" s="90">
        <v>73.50623682424802</v>
      </c>
      <c r="F13" s="90">
        <v>73.157168463933928</v>
      </c>
      <c r="G13" s="90">
        <v>73.038473013527124</v>
      </c>
      <c r="H13" s="90">
        <v>74.045478991496751</v>
      </c>
      <c r="I13" s="90">
        <v>74.35581218655814</v>
      </c>
      <c r="J13" s="90">
        <v>75.21092130912723</v>
      </c>
      <c r="K13" s="90">
        <v>75.897677873199143</v>
      </c>
      <c r="L13" s="81">
        <v>75.138535812409657</v>
      </c>
      <c r="M13" s="90">
        <v>73.962098066896729</v>
      </c>
      <c r="N13" s="383">
        <v>73.721290604318895</v>
      </c>
      <c r="O13" s="209">
        <v>73.833703808124497</v>
      </c>
    </row>
    <row r="14" spans="1:16" x14ac:dyDescent="0.2">
      <c r="A14" s="80" t="s">
        <v>141</v>
      </c>
      <c r="B14" s="81">
        <v>68.413411381590038</v>
      </c>
      <c r="C14" s="90">
        <v>67.960784427182688</v>
      </c>
      <c r="D14" s="90">
        <v>67.637727505624952</v>
      </c>
      <c r="E14" s="90">
        <v>67.822361304193763</v>
      </c>
      <c r="F14" s="90">
        <v>67.388425576291667</v>
      </c>
      <c r="G14" s="90">
        <v>67.388352327916508</v>
      </c>
      <c r="H14" s="90">
        <v>67.826433543388006</v>
      </c>
      <c r="I14" s="90">
        <v>68.282429949917884</v>
      </c>
      <c r="J14" s="90">
        <v>68.953662169052762</v>
      </c>
      <c r="K14" s="90">
        <v>70.233208717285734</v>
      </c>
      <c r="L14" s="81">
        <v>69.727212232848743</v>
      </c>
      <c r="M14" s="90">
        <v>69.478920687999079</v>
      </c>
      <c r="N14" s="82">
        <v>70.0909554953396</v>
      </c>
      <c r="O14" s="90">
        <v>70.340956386252699</v>
      </c>
    </row>
    <row r="15" spans="1:16" x14ac:dyDescent="0.2">
      <c r="A15" s="80" t="s">
        <v>140</v>
      </c>
      <c r="B15" s="81">
        <v>81.830164071508619</v>
      </c>
      <c r="C15" s="90">
        <v>81.449043590528007</v>
      </c>
      <c r="D15" s="90">
        <v>81.244785684383871</v>
      </c>
      <c r="E15" s="90">
        <v>81.366086320938194</v>
      </c>
      <c r="F15" s="90">
        <v>80.997248328207462</v>
      </c>
      <c r="G15" s="90">
        <v>80.725682156794122</v>
      </c>
      <c r="H15" s="90">
        <v>81.140548002465977</v>
      </c>
      <c r="I15" s="90">
        <v>81.599690873924644</v>
      </c>
      <c r="J15" s="90">
        <v>82.116541620168704</v>
      </c>
      <c r="K15" s="90">
        <v>82.784299301328815</v>
      </c>
      <c r="L15" s="81">
        <v>81.39055832022936</v>
      </c>
      <c r="M15" s="90">
        <v>80.879451493913663</v>
      </c>
      <c r="N15" s="82">
        <v>82.010014381342501</v>
      </c>
      <c r="O15" s="90">
        <v>82.220493599807099</v>
      </c>
    </row>
    <row r="16" spans="1:16" x14ac:dyDescent="0.2">
      <c r="A16" s="80" t="s">
        <v>139</v>
      </c>
      <c r="B16" s="81">
        <v>75.34122471884622</v>
      </c>
      <c r="C16" s="90">
        <v>75.238085652265582</v>
      </c>
      <c r="D16" s="90">
        <v>75.713213222486033</v>
      </c>
      <c r="E16" s="90">
        <v>76.017546108584654</v>
      </c>
      <c r="F16" s="90">
        <v>75.960782903471298</v>
      </c>
      <c r="G16" s="90">
        <v>76.192761513862095</v>
      </c>
      <c r="H16" s="90">
        <v>76.747696536286441</v>
      </c>
      <c r="I16" s="90">
        <v>77.700772654936685</v>
      </c>
      <c r="J16" s="90">
        <v>77.622904293171644</v>
      </c>
      <c r="K16" s="90">
        <v>76.789721462215056</v>
      </c>
      <c r="L16" s="81">
        <v>77.201306982292351</v>
      </c>
      <c r="M16" s="90">
        <v>76.604181271682478</v>
      </c>
      <c r="N16" s="82">
        <v>77.375328770498896</v>
      </c>
      <c r="O16" s="90">
        <v>77.014869438762105</v>
      </c>
    </row>
    <row r="17" spans="1:15" x14ac:dyDescent="0.2">
      <c r="A17" s="79" t="s">
        <v>138</v>
      </c>
      <c r="B17" s="386">
        <v>71.181982719653007</v>
      </c>
      <c r="C17" s="388">
        <v>71.284479798131073</v>
      </c>
      <c r="D17" s="388">
        <v>71.677395335004746</v>
      </c>
      <c r="E17" s="388">
        <v>71.515981882430523</v>
      </c>
      <c r="F17" s="388">
        <v>71.554547825805301</v>
      </c>
      <c r="G17" s="388">
        <v>71.787072056044451</v>
      </c>
      <c r="H17" s="388">
        <v>72.322714992634729</v>
      </c>
      <c r="I17" s="388">
        <v>72.813747951522558</v>
      </c>
      <c r="J17" s="388">
        <v>73.445669855099865</v>
      </c>
      <c r="K17" s="388">
        <v>73.931297200300534</v>
      </c>
      <c r="L17" s="386">
        <v>73.684076872408951</v>
      </c>
      <c r="M17" s="388">
        <v>74.023820133798608</v>
      </c>
      <c r="N17" s="382">
        <v>75.097937758297704</v>
      </c>
      <c r="O17" s="188">
        <v>75.373890006730903</v>
      </c>
    </row>
    <row r="18" spans="1:15" x14ac:dyDescent="0.2">
      <c r="A18" s="80" t="s">
        <v>137</v>
      </c>
      <c r="B18" s="81">
        <v>85.295175595022727</v>
      </c>
      <c r="C18" s="90">
        <v>85.166367486613865</v>
      </c>
      <c r="D18" s="90">
        <v>85.434791141828583</v>
      </c>
      <c r="E18" s="90">
        <v>84.44561406297214</v>
      </c>
      <c r="F18" s="90">
        <v>84.369077521102739</v>
      </c>
      <c r="G18" s="90">
        <v>87.705572491498742</v>
      </c>
      <c r="H18" s="90">
        <v>85.730026257317618</v>
      </c>
      <c r="I18" s="90">
        <v>85.349459822872959</v>
      </c>
      <c r="J18" s="90">
        <v>86.6564296395768</v>
      </c>
      <c r="K18" s="90">
        <v>86.913434942370742</v>
      </c>
      <c r="L18" s="81">
        <v>86.323714572888235</v>
      </c>
      <c r="M18" s="90">
        <v>86.747683484159438</v>
      </c>
      <c r="N18" s="82">
        <v>89.009057952713803</v>
      </c>
      <c r="O18" s="90">
        <v>89.344210456960795</v>
      </c>
    </row>
    <row r="19" spans="1:15" x14ac:dyDescent="0.2">
      <c r="A19" s="80" t="s">
        <v>136</v>
      </c>
      <c r="B19" s="81">
        <v>73.364669462698345</v>
      </c>
      <c r="C19" s="90">
        <v>73.98044131885176</v>
      </c>
      <c r="D19" s="90">
        <v>74.513429594856191</v>
      </c>
      <c r="E19" s="90">
        <v>74.364708742395521</v>
      </c>
      <c r="F19" s="90">
        <v>74.26807279308909</v>
      </c>
      <c r="G19" s="90">
        <v>75.056843925799143</v>
      </c>
      <c r="H19" s="90">
        <v>76.528606261048452</v>
      </c>
      <c r="I19" s="90">
        <v>77.731146935322712</v>
      </c>
      <c r="J19" s="90">
        <v>78.509730266708303</v>
      </c>
      <c r="K19" s="90">
        <v>78.370986076687885</v>
      </c>
      <c r="L19" s="81">
        <v>78.275032916691984</v>
      </c>
      <c r="M19" s="90">
        <v>76.786696768287811</v>
      </c>
      <c r="N19" s="82">
        <v>78.067886018320394</v>
      </c>
      <c r="O19" s="90">
        <v>78.434470315426793</v>
      </c>
    </row>
    <row r="20" spans="1:15" x14ac:dyDescent="0.2">
      <c r="A20" s="80" t="s">
        <v>135</v>
      </c>
      <c r="B20" s="81">
        <v>63.574273165155461</v>
      </c>
      <c r="C20" s="90">
        <v>63.80117284537419</v>
      </c>
      <c r="D20" s="90">
        <v>64.269310691661218</v>
      </c>
      <c r="E20" s="90">
        <v>64.452243944573624</v>
      </c>
      <c r="F20" s="90">
        <v>64.655131315139229</v>
      </c>
      <c r="G20" s="90">
        <v>65.038653813201819</v>
      </c>
      <c r="H20" s="90">
        <v>65.138787369328242</v>
      </c>
      <c r="I20" s="90">
        <v>65.856254783537793</v>
      </c>
      <c r="J20" s="90">
        <v>66.524245244723303</v>
      </c>
      <c r="K20" s="90">
        <v>67.692456751961501</v>
      </c>
      <c r="L20" s="81">
        <v>68.708557826917527</v>
      </c>
      <c r="M20" s="90">
        <v>69.819081303765188</v>
      </c>
      <c r="N20" s="82">
        <v>70.043051262542207</v>
      </c>
      <c r="O20" s="90">
        <v>69.754818965359206</v>
      </c>
    </row>
    <row r="21" spans="1:15" x14ac:dyDescent="0.2">
      <c r="A21" s="80" t="s">
        <v>134</v>
      </c>
      <c r="B21" s="81">
        <v>66.742855806816223</v>
      </c>
      <c r="C21" s="90">
        <v>66.424777509982775</v>
      </c>
      <c r="D21" s="90">
        <v>67.593760195080577</v>
      </c>
      <c r="E21" s="90">
        <v>67.384352338785177</v>
      </c>
      <c r="F21" s="90">
        <v>67.166490552773354</v>
      </c>
      <c r="G21" s="90">
        <v>68.038855896932048</v>
      </c>
      <c r="H21" s="90">
        <v>68.29729621497205</v>
      </c>
      <c r="I21" s="90">
        <v>69.547584756214277</v>
      </c>
      <c r="J21" s="90">
        <v>70.453387339380541</v>
      </c>
      <c r="K21" s="90">
        <v>70.570194782670384</v>
      </c>
      <c r="L21" s="81">
        <v>69.764045217396216</v>
      </c>
      <c r="M21" s="90">
        <v>70.69048650914641</v>
      </c>
      <c r="N21" s="82">
        <v>71.708194187045194</v>
      </c>
      <c r="O21" s="90">
        <v>73.519101171439701</v>
      </c>
    </row>
    <row r="22" spans="1:15" x14ac:dyDescent="0.2">
      <c r="A22" s="80" t="s">
        <v>133</v>
      </c>
      <c r="B22" s="81">
        <v>78.395008285384222</v>
      </c>
      <c r="C22" s="90">
        <v>78.87890130553437</v>
      </c>
      <c r="D22" s="90">
        <v>78.838178525227747</v>
      </c>
      <c r="E22" s="90">
        <v>78.931523031201948</v>
      </c>
      <c r="F22" s="90">
        <v>79.000116054846529</v>
      </c>
      <c r="G22" s="90">
        <v>75.423825178413381</v>
      </c>
      <c r="H22" s="90">
        <v>76.836830093382332</v>
      </c>
      <c r="I22" s="90">
        <v>77.47133761938575</v>
      </c>
      <c r="J22" s="90">
        <v>77.119199409336559</v>
      </c>
      <c r="K22" s="90">
        <v>77.267865205564618</v>
      </c>
      <c r="L22" s="81">
        <v>76.821180599680346</v>
      </c>
      <c r="M22" s="90">
        <v>76.357025208771987</v>
      </c>
      <c r="N22" s="82">
        <v>77.591981971994798</v>
      </c>
      <c r="O22" s="90">
        <v>77.570443989790206</v>
      </c>
    </row>
    <row r="23" spans="1:15" x14ac:dyDescent="0.2">
      <c r="A23" s="80" t="s">
        <v>132</v>
      </c>
      <c r="B23" s="81">
        <v>50.058750414859723</v>
      </c>
      <c r="C23" s="90">
        <v>49.989614253084298</v>
      </c>
      <c r="D23" s="90">
        <v>50.041595703009229</v>
      </c>
      <c r="E23" s="90">
        <v>50.257873952342337</v>
      </c>
      <c r="F23" s="90">
        <v>50.473175549363255</v>
      </c>
      <c r="G23" s="90">
        <v>50.967157734720992</v>
      </c>
      <c r="H23" s="90">
        <v>51.030575905649556</v>
      </c>
      <c r="I23" s="90">
        <v>51.255460276544383</v>
      </c>
      <c r="J23" s="90">
        <v>51.350185005334808</v>
      </c>
      <c r="K23" s="90">
        <v>51.395502261318768</v>
      </c>
      <c r="L23" s="81">
        <v>51.709740041317112</v>
      </c>
      <c r="M23" s="90">
        <v>52.520594110138703</v>
      </c>
      <c r="N23" s="82">
        <v>52.983299287267997</v>
      </c>
      <c r="O23" s="90">
        <v>53.075354802269601</v>
      </c>
    </row>
    <row r="24" spans="1:15" x14ac:dyDescent="0.2">
      <c r="A24" s="80" t="s">
        <v>131</v>
      </c>
      <c r="B24" s="81">
        <v>66.692951025985195</v>
      </c>
      <c r="C24" s="90">
        <v>67.022989794568517</v>
      </c>
      <c r="D24" s="90">
        <v>67.667917572440146</v>
      </c>
      <c r="E24" s="90">
        <v>67.892365527357327</v>
      </c>
      <c r="F24" s="90">
        <v>67.903217062704456</v>
      </c>
      <c r="G24" s="90">
        <v>67.503898881606119</v>
      </c>
      <c r="H24" s="90">
        <v>67.473555387367696</v>
      </c>
      <c r="I24" s="90">
        <v>67.563361102267834</v>
      </c>
      <c r="J24" s="90">
        <v>68.886564611615356</v>
      </c>
      <c r="K24" s="90">
        <v>69.916351862177351</v>
      </c>
      <c r="L24" s="81">
        <v>67.785651338025772</v>
      </c>
      <c r="M24" s="90">
        <v>68.12414514300248</v>
      </c>
      <c r="N24" s="82">
        <v>68.681571082579097</v>
      </c>
      <c r="O24" s="90">
        <v>68.870892492324202</v>
      </c>
    </row>
    <row r="25" spans="1:15" x14ac:dyDescent="0.2">
      <c r="A25" s="80" t="s">
        <v>130</v>
      </c>
      <c r="B25" s="81">
        <v>73.280361447565454</v>
      </c>
      <c r="C25" s="90">
        <v>72.168646421508171</v>
      </c>
      <c r="D25" s="90">
        <v>71.966757365742751</v>
      </c>
      <c r="E25" s="90">
        <v>71.076323923311534</v>
      </c>
      <c r="F25" s="90">
        <v>71.073531500894688</v>
      </c>
      <c r="G25" s="90">
        <v>71.338078092723094</v>
      </c>
      <c r="H25" s="90">
        <v>80.65855512600676</v>
      </c>
      <c r="I25" s="90">
        <v>81.062050822774793</v>
      </c>
      <c r="J25" s="90">
        <v>81.638829710448377</v>
      </c>
      <c r="K25" s="90">
        <v>82.787258142090536</v>
      </c>
      <c r="L25" s="81">
        <v>82.976562174510434</v>
      </c>
      <c r="M25" s="90">
        <v>83.103048998419979</v>
      </c>
      <c r="N25" s="82">
        <v>83.9262520955197</v>
      </c>
      <c r="O25" s="90">
        <v>83.847631900244906</v>
      </c>
    </row>
    <row r="26" spans="1:15" x14ac:dyDescent="0.2">
      <c r="A26" s="79" t="s">
        <v>129</v>
      </c>
      <c r="B26" s="386">
        <v>73.732059489379253</v>
      </c>
      <c r="C26" s="388">
        <v>74.139534453214978</v>
      </c>
      <c r="D26" s="388">
        <v>74.553257375630167</v>
      </c>
      <c r="E26" s="388">
        <v>74.578540003398018</v>
      </c>
      <c r="F26" s="388">
        <v>74.050495876503376</v>
      </c>
      <c r="G26" s="388">
        <v>74.147694367213788</v>
      </c>
      <c r="H26" s="388">
        <v>74.667536743740655</v>
      </c>
      <c r="I26" s="388">
        <v>75.186384337819632</v>
      </c>
      <c r="J26" s="388">
        <v>75.315472048063356</v>
      </c>
      <c r="K26" s="388">
        <v>75.699970650796956</v>
      </c>
      <c r="L26" s="386">
        <v>74.813924196428289</v>
      </c>
      <c r="M26" s="388">
        <v>74.804448201528032</v>
      </c>
      <c r="N26" s="382">
        <v>75.895066677499599</v>
      </c>
      <c r="O26" s="188">
        <v>75.440526900265994</v>
      </c>
    </row>
    <row r="27" spans="1:15" x14ac:dyDescent="0.2">
      <c r="A27" s="80" t="s">
        <v>128</v>
      </c>
      <c r="B27" s="81">
        <v>67.692007559354792</v>
      </c>
      <c r="C27" s="90">
        <v>68.091019651718597</v>
      </c>
      <c r="D27" s="90">
        <v>68.662579064863237</v>
      </c>
      <c r="E27" s="90">
        <v>69.201920686225066</v>
      </c>
      <c r="F27" s="90">
        <v>68.733782023732644</v>
      </c>
      <c r="G27" s="90">
        <v>68.933093462287175</v>
      </c>
      <c r="H27" s="90">
        <v>69.977630069370463</v>
      </c>
      <c r="I27" s="90">
        <v>70.548649410862865</v>
      </c>
      <c r="J27" s="90">
        <v>70.413175321193549</v>
      </c>
      <c r="K27" s="90">
        <v>71.054838605973075</v>
      </c>
      <c r="L27" s="81">
        <v>69.635850773325444</v>
      </c>
      <c r="M27" s="90">
        <v>68.454031337746756</v>
      </c>
      <c r="N27" s="82">
        <v>69.2867503232507</v>
      </c>
      <c r="O27" s="90">
        <v>69.605283966708996</v>
      </c>
    </row>
    <row r="28" spans="1:15" x14ac:dyDescent="0.2">
      <c r="A28" s="80" t="s">
        <v>127</v>
      </c>
      <c r="B28" s="81">
        <v>73.213612757765958</v>
      </c>
      <c r="C28" s="90">
        <v>73.654041072546903</v>
      </c>
      <c r="D28" s="90">
        <v>73.929197637266725</v>
      </c>
      <c r="E28" s="90">
        <v>73.886954296773794</v>
      </c>
      <c r="F28" s="90">
        <v>73.31632551300784</v>
      </c>
      <c r="G28" s="90">
        <v>73.538175342806994</v>
      </c>
      <c r="H28" s="90">
        <v>73.512107542098278</v>
      </c>
      <c r="I28" s="90">
        <v>74.045941466598435</v>
      </c>
      <c r="J28" s="90">
        <v>74.318291089038524</v>
      </c>
      <c r="K28" s="90">
        <v>74.249612024583712</v>
      </c>
      <c r="L28" s="81">
        <v>72.522614852355161</v>
      </c>
      <c r="M28" s="90">
        <v>73.454106254005524</v>
      </c>
      <c r="N28" s="82">
        <v>74.484416844824693</v>
      </c>
      <c r="O28" s="90">
        <v>74.058922485521805</v>
      </c>
    </row>
    <row r="29" spans="1:15" x14ac:dyDescent="0.2">
      <c r="A29" s="80" t="s">
        <v>126</v>
      </c>
      <c r="B29" s="81">
        <v>83.126387525198339</v>
      </c>
      <c r="C29" s="90">
        <v>83.545727818072635</v>
      </c>
      <c r="D29" s="90">
        <v>84.218744379965187</v>
      </c>
      <c r="E29" s="90">
        <v>84.086713624857964</v>
      </c>
      <c r="F29" s="90">
        <v>83.861683991650139</v>
      </c>
      <c r="G29" s="90">
        <v>83.522987089956302</v>
      </c>
      <c r="H29" s="90">
        <v>84.195884569269666</v>
      </c>
      <c r="I29" s="90">
        <v>84.803089009476707</v>
      </c>
      <c r="J29" s="90">
        <v>85.045753959061159</v>
      </c>
      <c r="K29" s="90">
        <v>85.781781951265728</v>
      </c>
      <c r="L29" s="81">
        <v>84.908346152972356</v>
      </c>
      <c r="M29" s="90">
        <v>84.497917228588449</v>
      </c>
      <c r="N29" s="82">
        <v>86.166207369213495</v>
      </c>
      <c r="O29" s="90">
        <v>85.199912484987493</v>
      </c>
    </row>
    <row r="30" spans="1:15" x14ac:dyDescent="0.2">
      <c r="A30" s="80" t="s">
        <v>125</v>
      </c>
      <c r="B30" s="81">
        <v>66.394927060075645</v>
      </c>
      <c r="C30" s="90">
        <v>66.672539998975225</v>
      </c>
      <c r="D30" s="90">
        <v>66.695809190089051</v>
      </c>
      <c r="E30" s="90">
        <v>66.545405087338338</v>
      </c>
      <c r="F30" s="90">
        <v>65.545778863214053</v>
      </c>
      <c r="G30" s="90">
        <v>65.847887600097081</v>
      </c>
      <c r="H30" s="90">
        <v>66.337128106049391</v>
      </c>
      <c r="I30" s="90">
        <v>66.580145435293531</v>
      </c>
      <c r="J30" s="90">
        <v>66.569067111946737</v>
      </c>
      <c r="K30" s="90">
        <v>66.740164667568791</v>
      </c>
      <c r="L30" s="81">
        <v>67.227298093012408</v>
      </c>
      <c r="M30" s="90">
        <v>67.502199244524576</v>
      </c>
      <c r="N30" s="82">
        <v>67.999844430322796</v>
      </c>
      <c r="O30" s="90">
        <v>67.597370459741697</v>
      </c>
    </row>
    <row r="31" spans="1:15" x14ac:dyDescent="0.2">
      <c r="A31" s="79" t="s">
        <v>124</v>
      </c>
      <c r="B31" s="386">
        <v>68.477991582119714</v>
      </c>
      <c r="C31" s="388">
        <v>68.728560423956537</v>
      </c>
      <c r="D31" s="388">
        <v>69.000531558691662</v>
      </c>
      <c r="E31" s="388">
        <v>69.178137823201297</v>
      </c>
      <c r="F31" s="388">
        <v>69.113736719865486</v>
      </c>
      <c r="G31" s="388">
        <v>68.989805184839355</v>
      </c>
      <c r="H31" s="388">
        <v>69.658024009278861</v>
      </c>
      <c r="I31" s="388">
        <v>70.125152639236731</v>
      </c>
      <c r="J31" s="388">
        <v>70.511458247587015</v>
      </c>
      <c r="K31" s="388">
        <v>71.023433165516067</v>
      </c>
      <c r="L31" s="386">
        <v>71.399272196326606</v>
      </c>
      <c r="M31" s="388">
        <v>71.380667738776481</v>
      </c>
      <c r="N31" s="382">
        <v>72.080995114280896</v>
      </c>
      <c r="O31" s="188">
        <v>72.625604004526096</v>
      </c>
    </row>
    <row r="32" spans="1:15" x14ac:dyDescent="0.2">
      <c r="A32" s="80" t="s">
        <v>123</v>
      </c>
      <c r="B32" s="81">
        <v>71.277551415087672</v>
      </c>
      <c r="C32" s="90">
        <v>71.640202308930782</v>
      </c>
      <c r="D32" s="90">
        <v>71.685936690541538</v>
      </c>
      <c r="E32" s="90">
        <v>71.42310699342778</v>
      </c>
      <c r="F32" s="90">
        <v>71.446483647240797</v>
      </c>
      <c r="G32" s="90">
        <v>71.876572461198379</v>
      </c>
      <c r="H32" s="90">
        <v>72.67815582752273</v>
      </c>
      <c r="I32" s="90">
        <v>73.23413276476748</v>
      </c>
      <c r="J32" s="90">
        <v>73.606009978579579</v>
      </c>
      <c r="K32" s="90">
        <v>74.300481864557113</v>
      </c>
      <c r="L32" s="81">
        <v>74.158848936414671</v>
      </c>
      <c r="M32" s="90">
        <v>75.157715567234405</v>
      </c>
      <c r="N32" s="82">
        <v>75.677867207148395</v>
      </c>
      <c r="O32" s="90">
        <v>76.780220633471899</v>
      </c>
    </row>
    <row r="33" spans="1:15" x14ac:dyDescent="0.2">
      <c r="A33" s="80" t="s">
        <v>122</v>
      </c>
      <c r="B33" s="81">
        <v>61.965947078240518</v>
      </c>
      <c r="C33" s="90">
        <v>62.102906767116352</v>
      </c>
      <c r="D33" s="90">
        <v>62.064112279243908</v>
      </c>
      <c r="E33" s="90">
        <v>61.930060768552075</v>
      </c>
      <c r="F33" s="90">
        <v>61.790897116744631</v>
      </c>
      <c r="G33" s="90">
        <v>61.629958201464881</v>
      </c>
      <c r="H33" s="90">
        <v>61.889182366552021</v>
      </c>
      <c r="I33" s="90">
        <v>62.214675029258849</v>
      </c>
      <c r="J33" s="90">
        <v>62.861047606676067</v>
      </c>
      <c r="K33" s="90">
        <v>63.628972908171654</v>
      </c>
      <c r="L33" s="81">
        <v>63.853023959249853</v>
      </c>
      <c r="M33" s="90">
        <v>62.695437718209782</v>
      </c>
      <c r="N33" s="82">
        <v>63.084644245148901</v>
      </c>
      <c r="O33" s="90">
        <v>63.180532219934101</v>
      </c>
    </row>
    <row r="34" spans="1:15" x14ac:dyDescent="0.2">
      <c r="A34" s="80" t="s">
        <v>121</v>
      </c>
      <c r="B34" s="81">
        <v>67.676692710836505</v>
      </c>
      <c r="C34" s="90">
        <v>68.081739992378559</v>
      </c>
      <c r="D34" s="90">
        <v>67.860602435747026</v>
      </c>
      <c r="E34" s="90">
        <v>68.563563553465158</v>
      </c>
      <c r="F34" s="90">
        <v>68.256775860143051</v>
      </c>
      <c r="G34" s="90">
        <v>69.140614869358956</v>
      </c>
      <c r="H34" s="90">
        <v>70.166487792331878</v>
      </c>
      <c r="I34" s="90">
        <v>72.144812660664883</v>
      </c>
      <c r="J34" s="90">
        <v>72.080295646867697</v>
      </c>
      <c r="K34" s="90">
        <v>72.351997263143218</v>
      </c>
      <c r="L34" s="81">
        <v>73.572787815935271</v>
      </c>
      <c r="M34" s="90">
        <v>75.031098657843572</v>
      </c>
      <c r="N34" s="383">
        <v>75.574085631045307</v>
      </c>
      <c r="O34" s="209">
        <v>76.390093223595997</v>
      </c>
    </row>
    <row r="35" spans="1:15" x14ac:dyDescent="0.2">
      <c r="A35" s="80" t="s">
        <v>120</v>
      </c>
      <c r="B35" s="81">
        <v>70.375872072770235</v>
      </c>
      <c r="C35" s="90">
        <v>70.545875478280763</v>
      </c>
      <c r="D35" s="90">
        <v>70.66600771255554</v>
      </c>
      <c r="E35" s="90">
        <v>70.672864256508802</v>
      </c>
      <c r="F35" s="90">
        <v>70.550075903429502</v>
      </c>
      <c r="G35" s="90">
        <v>70.320808255199694</v>
      </c>
      <c r="H35" s="90">
        <v>71.170728911244993</v>
      </c>
      <c r="I35" s="90">
        <v>71.103105724939539</v>
      </c>
      <c r="J35" s="90">
        <v>71.89317704808856</v>
      </c>
      <c r="K35" s="90">
        <v>72.052821201991364</v>
      </c>
      <c r="L35" s="81">
        <v>73.328075507249338</v>
      </c>
      <c r="M35" s="90">
        <v>73.108890792910543</v>
      </c>
      <c r="N35" s="82">
        <v>73.244945439279206</v>
      </c>
      <c r="O35" s="90">
        <v>73.841438424581796</v>
      </c>
    </row>
    <row r="36" spans="1:15" x14ac:dyDescent="0.2">
      <c r="A36" s="80" t="s">
        <v>119</v>
      </c>
      <c r="B36" s="81">
        <v>72.943169559187353</v>
      </c>
      <c r="C36" s="90">
        <v>73.076491384503427</v>
      </c>
      <c r="D36" s="90">
        <v>73.598876476466145</v>
      </c>
      <c r="E36" s="90">
        <v>74.090546326667777</v>
      </c>
      <c r="F36" s="90">
        <v>74.224767896424922</v>
      </c>
      <c r="G36" s="90">
        <v>73.749963268375978</v>
      </c>
      <c r="H36" s="90">
        <v>74.459237337588206</v>
      </c>
      <c r="I36" s="90">
        <v>75.140401811716117</v>
      </c>
      <c r="J36" s="90">
        <v>75.094270201495107</v>
      </c>
      <c r="K36" s="90">
        <v>75.718037176655073</v>
      </c>
      <c r="L36" s="81">
        <v>75.505894410613777</v>
      </c>
      <c r="M36" s="90">
        <v>75.2539644860789</v>
      </c>
      <c r="N36" s="82">
        <v>76.891220564039699</v>
      </c>
      <c r="O36" s="90">
        <v>77.329597977441594</v>
      </c>
    </row>
    <row r="37" spans="1:15" x14ac:dyDescent="0.2">
      <c r="A37" s="80" t="s">
        <v>118</v>
      </c>
      <c r="B37" s="81">
        <v>62.620285445392362</v>
      </c>
      <c r="C37" s="90">
        <v>63.167843154395534</v>
      </c>
      <c r="D37" s="90">
        <v>64.125491521398615</v>
      </c>
      <c r="E37" s="90">
        <v>64.403153716866385</v>
      </c>
      <c r="F37" s="90">
        <v>64.202062666850239</v>
      </c>
      <c r="G37" s="90">
        <v>63.804594843727884</v>
      </c>
      <c r="H37" s="90">
        <v>64.172213722157281</v>
      </c>
      <c r="I37" s="90">
        <v>64.246950722017388</v>
      </c>
      <c r="J37" s="90">
        <v>64.640445570734045</v>
      </c>
      <c r="K37" s="90">
        <v>65.186211706075468</v>
      </c>
      <c r="L37" s="81">
        <v>65.201681841560443</v>
      </c>
      <c r="M37" s="90">
        <v>65.639633510585313</v>
      </c>
      <c r="N37" s="82">
        <v>66.109579954391904</v>
      </c>
      <c r="O37" s="90">
        <v>66.681906666951704</v>
      </c>
    </row>
    <row r="38" spans="1:15" x14ac:dyDescent="0.2">
      <c r="A38" s="79" t="s">
        <v>117</v>
      </c>
      <c r="B38" s="386">
        <v>81.222090415963862</v>
      </c>
      <c r="C38" s="388">
        <v>81.790052136496286</v>
      </c>
      <c r="D38" s="388">
        <v>82.083874122120349</v>
      </c>
      <c r="E38" s="388">
        <v>82.635947043428658</v>
      </c>
      <c r="F38" s="388">
        <v>82.266056856961598</v>
      </c>
      <c r="G38" s="388">
        <v>82.878349461435022</v>
      </c>
      <c r="H38" s="388">
        <v>83.933803974458442</v>
      </c>
      <c r="I38" s="388">
        <v>84.475623035915476</v>
      </c>
      <c r="J38" s="388">
        <v>83.727914605114009</v>
      </c>
      <c r="K38" s="388">
        <v>84.866378776039014</v>
      </c>
      <c r="L38" s="386">
        <v>83.693888017244149</v>
      </c>
      <c r="M38" s="388">
        <v>83.182260246323509</v>
      </c>
      <c r="N38" s="382">
        <v>83.775082536243403</v>
      </c>
      <c r="O38" s="188">
        <v>83.733088499064294</v>
      </c>
    </row>
    <row r="39" spans="1:15" x14ac:dyDescent="0.2">
      <c r="A39" s="80" t="s">
        <v>116</v>
      </c>
      <c r="B39" s="81">
        <v>96.781878272479602</v>
      </c>
      <c r="C39" s="90">
        <v>98.630098847845844</v>
      </c>
      <c r="D39" s="90">
        <v>97.325141626157247</v>
      </c>
      <c r="E39" s="90">
        <v>98.465047194923471</v>
      </c>
      <c r="F39" s="90">
        <v>98.021294582789039</v>
      </c>
      <c r="G39" s="90">
        <v>98.445838741790226</v>
      </c>
      <c r="H39" s="90">
        <v>99.91701643689629</v>
      </c>
      <c r="I39" s="90">
        <v>108.16629515855841</v>
      </c>
      <c r="J39" s="90">
        <v>107.38305702065155</v>
      </c>
      <c r="K39" s="90">
        <v>109.38968511885845</v>
      </c>
      <c r="L39" s="81">
        <v>105.52565124588898</v>
      </c>
      <c r="M39" s="90">
        <v>102.63941410486424</v>
      </c>
      <c r="N39" s="82">
        <v>102.551419598506</v>
      </c>
      <c r="O39" s="90">
        <v>102.34240842061401</v>
      </c>
    </row>
    <row r="40" spans="1:15" x14ac:dyDescent="0.2">
      <c r="A40" s="80" t="s">
        <v>115</v>
      </c>
      <c r="B40" s="81">
        <v>67.600849730508259</v>
      </c>
      <c r="C40" s="90">
        <v>67.29772776351885</v>
      </c>
      <c r="D40" s="90">
        <v>68.613502638365929</v>
      </c>
      <c r="E40" s="90">
        <v>68.633049805537667</v>
      </c>
      <c r="F40" s="90">
        <v>68.302175310882703</v>
      </c>
      <c r="G40" s="90">
        <v>68.914661324971618</v>
      </c>
      <c r="H40" s="90">
        <v>69.756842088587916</v>
      </c>
      <c r="I40" s="90">
        <v>63.699323721819269</v>
      </c>
      <c r="J40" s="90">
        <v>63.105689247640214</v>
      </c>
      <c r="K40" s="90">
        <v>63.580136978796673</v>
      </c>
      <c r="L40" s="81">
        <v>64.534509443097349</v>
      </c>
      <c r="M40" s="90">
        <v>65.57494622418524</v>
      </c>
      <c r="N40" s="82">
        <v>66.628869079496994</v>
      </c>
      <c r="O40" s="90">
        <v>66.585565638620807</v>
      </c>
    </row>
    <row r="41" spans="1:15" x14ac:dyDescent="0.2">
      <c r="A41" s="79" t="s">
        <v>114</v>
      </c>
      <c r="B41" s="386">
        <v>68.797939502504335</v>
      </c>
      <c r="C41" s="388">
        <v>68.778432275406303</v>
      </c>
      <c r="D41" s="388">
        <v>68.990176988971356</v>
      </c>
      <c r="E41" s="388">
        <v>68.993032481827115</v>
      </c>
      <c r="F41" s="388">
        <v>69.051184692030347</v>
      </c>
      <c r="G41" s="388">
        <v>68.888512572376072</v>
      </c>
      <c r="H41" s="388">
        <v>69.406253189905897</v>
      </c>
      <c r="I41" s="388">
        <v>69.993081108381261</v>
      </c>
      <c r="J41" s="388">
        <v>70.228453105226563</v>
      </c>
      <c r="K41" s="388">
        <v>70.139531412616492</v>
      </c>
      <c r="L41" s="386">
        <v>70.680912713634669</v>
      </c>
      <c r="M41" s="388">
        <v>71.108725607363695</v>
      </c>
      <c r="N41" s="382">
        <v>71.888498696511704</v>
      </c>
      <c r="O41" s="188">
        <v>72.263761671745101</v>
      </c>
    </row>
    <row r="42" spans="1:15" x14ac:dyDescent="0.2">
      <c r="A42" s="80" t="s">
        <v>113</v>
      </c>
      <c r="B42" s="81">
        <v>70.563485028024658</v>
      </c>
      <c r="C42" s="90">
        <v>70.561651758292044</v>
      </c>
      <c r="D42" s="90">
        <v>70.878472013410274</v>
      </c>
      <c r="E42" s="90">
        <v>70.890789360310421</v>
      </c>
      <c r="F42" s="90">
        <v>70.951235525077195</v>
      </c>
      <c r="G42" s="90">
        <v>70.946732913879472</v>
      </c>
      <c r="H42" s="90">
        <v>71.194468143444283</v>
      </c>
      <c r="I42" s="90">
        <v>71.448572189031182</v>
      </c>
      <c r="J42" s="90">
        <v>71.47206923391235</v>
      </c>
      <c r="K42" s="90">
        <v>71.443852478971451</v>
      </c>
      <c r="L42" s="81">
        <v>71.409643620686779</v>
      </c>
      <c r="M42" s="90">
        <v>71.068875047872467</v>
      </c>
      <c r="N42" s="82">
        <v>71.505041702545597</v>
      </c>
      <c r="O42" s="90">
        <v>71.979131079886599</v>
      </c>
    </row>
    <row r="43" spans="1:15" x14ac:dyDescent="0.2">
      <c r="A43" s="80" t="s">
        <v>112</v>
      </c>
      <c r="B43" s="81">
        <v>60.122935721280307</v>
      </c>
      <c r="C43" s="90">
        <v>59.928277790578484</v>
      </c>
      <c r="D43" s="90">
        <v>59.747448135674667</v>
      </c>
      <c r="E43" s="90">
        <v>59.966317255140233</v>
      </c>
      <c r="F43" s="90">
        <v>60.526778240786683</v>
      </c>
      <c r="G43" s="90">
        <v>59.91709941063128</v>
      </c>
      <c r="H43" s="90">
        <v>60.578031569915794</v>
      </c>
      <c r="I43" s="90">
        <v>61.311661540487698</v>
      </c>
      <c r="J43" s="90">
        <v>61.253901698826361</v>
      </c>
      <c r="K43" s="90">
        <v>61.603697236805431</v>
      </c>
      <c r="L43" s="81">
        <v>62.156460384126419</v>
      </c>
      <c r="M43" s="90">
        <v>62.65063089071549</v>
      </c>
      <c r="N43" s="82">
        <v>63.680796074353999</v>
      </c>
      <c r="O43" s="90">
        <v>63.951665075793898</v>
      </c>
    </row>
    <row r="44" spans="1:15" x14ac:dyDescent="0.2">
      <c r="A44" s="80" t="s">
        <v>111</v>
      </c>
      <c r="B44" s="81">
        <v>67.387613282414421</v>
      </c>
      <c r="C44" s="90">
        <v>66.40210865322463</v>
      </c>
      <c r="D44" s="90">
        <v>67.599965541046416</v>
      </c>
      <c r="E44" s="90">
        <v>68.230676255233121</v>
      </c>
      <c r="F44" s="90">
        <v>67.874405584919273</v>
      </c>
      <c r="G44" s="90">
        <v>67.644281564203311</v>
      </c>
      <c r="H44" s="90">
        <v>68.897515130319377</v>
      </c>
      <c r="I44" s="90">
        <v>69.40122117282661</v>
      </c>
      <c r="J44" s="90">
        <v>69.692195097762607</v>
      </c>
      <c r="K44" s="90">
        <v>70.385583309442652</v>
      </c>
      <c r="L44" s="81">
        <v>69.952897251833377</v>
      </c>
      <c r="M44" s="90">
        <v>69.977181201330765</v>
      </c>
      <c r="N44" s="82">
        <v>70.279370983837097</v>
      </c>
      <c r="O44" s="90">
        <v>70.306262072843595</v>
      </c>
    </row>
    <row r="45" spans="1:15" x14ac:dyDescent="0.2">
      <c r="A45" s="80" t="s">
        <v>110</v>
      </c>
      <c r="B45" s="81">
        <v>61.670739863168109</v>
      </c>
      <c r="C45" s="90">
        <v>62.03242939039044</v>
      </c>
      <c r="D45" s="90">
        <v>62.095375098793738</v>
      </c>
      <c r="E45" s="90">
        <v>62.769659913452664</v>
      </c>
      <c r="F45" s="90">
        <v>62.796417619867171</v>
      </c>
      <c r="G45" s="90">
        <v>61.823909049910036</v>
      </c>
      <c r="H45" s="90">
        <v>62.749192370463781</v>
      </c>
      <c r="I45" s="90">
        <v>63.0615590877755</v>
      </c>
      <c r="J45" s="90">
        <v>63.269968560196581</v>
      </c>
      <c r="K45" s="90">
        <v>63.826625541637164</v>
      </c>
      <c r="L45" s="81">
        <v>64.014570710659086</v>
      </c>
      <c r="M45" s="90">
        <v>64.493622935834196</v>
      </c>
      <c r="N45" s="82">
        <v>65.243417109326501</v>
      </c>
      <c r="O45" s="90">
        <v>65.078895088926799</v>
      </c>
    </row>
    <row r="46" spans="1:15" x14ac:dyDescent="0.2">
      <c r="A46" s="80" t="s">
        <v>109</v>
      </c>
      <c r="B46" s="81">
        <v>69.593859926231872</v>
      </c>
      <c r="C46" s="90">
        <v>69.210827048618668</v>
      </c>
      <c r="D46" s="90">
        <v>69.862326042591874</v>
      </c>
      <c r="E46" s="90">
        <v>69.702859922408081</v>
      </c>
      <c r="F46" s="90">
        <v>69.555300585146412</v>
      </c>
      <c r="G46" s="90">
        <v>69.166159462451589</v>
      </c>
      <c r="H46" s="90">
        <v>69.995072954761426</v>
      </c>
      <c r="I46" s="90">
        <v>70.622369120997604</v>
      </c>
      <c r="J46" s="90">
        <v>71.271834749082871</v>
      </c>
      <c r="K46" s="90">
        <v>72.223062241360594</v>
      </c>
      <c r="L46" s="81">
        <v>72.888095278872512</v>
      </c>
      <c r="M46" s="90">
        <v>74.138948132881637</v>
      </c>
      <c r="N46" s="82">
        <v>74.989783940146097</v>
      </c>
      <c r="O46" s="90">
        <v>74.590740869336202</v>
      </c>
    </row>
    <row r="47" spans="1:15" x14ac:dyDescent="0.2">
      <c r="A47" s="80" t="s">
        <v>108</v>
      </c>
      <c r="B47" s="81">
        <v>77.460189874546856</v>
      </c>
      <c r="C47" s="90">
        <v>76.982678884199487</v>
      </c>
      <c r="D47" s="90">
        <v>76.991332830521046</v>
      </c>
      <c r="E47" s="90">
        <v>76.972507122715214</v>
      </c>
      <c r="F47" s="90">
        <v>77.19540860615821</v>
      </c>
      <c r="G47" s="90">
        <v>76.623882049611353</v>
      </c>
      <c r="H47" s="90">
        <v>77.623928185407408</v>
      </c>
      <c r="I47" s="90">
        <v>78.445359078543689</v>
      </c>
      <c r="J47" s="90">
        <v>79.828339948562615</v>
      </c>
      <c r="K47" s="90">
        <v>78.765063156594451</v>
      </c>
      <c r="L47" s="81">
        <v>79.482777128636528</v>
      </c>
      <c r="M47" s="90">
        <v>81.107704703234816</v>
      </c>
      <c r="N47" s="82">
        <v>82.913510641334398</v>
      </c>
      <c r="O47" s="90">
        <v>84.278198563561403</v>
      </c>
    </row>
    <row r="48" spans="1:15" x14ac:dyDescent="0.2">
      <c r="A48" s="80" t="s">
        <v>107</v>
      </c>
      <c r="B48" s="81">
        <v>79.884218685481912</v>
      </c>
      <c r="C48" s="90">
        <v>79.904479034381026</v>
      </c>
      <c r="D48" s="90">
        <v>80.207169833808123</v>
      </c>
      <c r="E48" s="90">
        <v>80.462468251865843</v>
      </c>
      <c r="F48" s="90">
        <v>80.380755518187996</v>
      </c>
      <c r="G48" s="90">
        <v>80.173948891542139</v>
      </c>
      <c r="H48" s="90">
        <v>80.017308183071478</v>
      </c>
      <c r="I48" s="90">
        <v>80.421103653303717</v>
      </c>
      <c r="J48" s="90">
        <v>80.668764637338526</v>
      </c>
      <c r="K48" s="90">
        <v>81.14428029348683</v>
      </c>
      <c r="L48" s="81">
        <v>81.670428894902855</v>
      </c>
      <c r="M48" s="90">
        <v>82.03209267046357</v>
      </c>
      <c r="N48" s="82">
        <v>82.583535752322405</v>
      </c>
      <c r="O48" s="90">
        <v>82.314522689817593</v>
      </c>
    </row>
    <row r="49" spans="1:15" x14ac:dyDescent="0.2">
      <c r="A49" s="80" t="s">
        <v>106</v>
      </c>
      <c r="B49" s="81">
        <v>70.02989204560474</v>
      </c>
      <c r="C49" s="90">
        <v>70.250698119752258</v>
      </c>
      <c r="D49" s="90">
        <v>70.741769436397206</v>
      </c>
      <c r="E49" s="90">
        <v>70.596765726284531</v>
      </c>
      <c r="F49" s="90">
        <v>70.276946253417904</v>
      </c>
      <c r="G49" s="90">
        <v>71.401200734624226</v>
      </c>
      <c r="H49" s="90">
        <v>72.781791969346713</v>
      </c>
      <c r="I49" s="90">
        <v>73.624922882294868</v>
      </c>
      <c r="J49" s="90">
        <v>73.881238237534404</v>
      </c>
      <c r="K49" s="90">
        <v>74.669319523706577</v>
      </c>
      <c r="L49" s="81">
        <v>73.98351786269113</v>
      </c>
      <c r="M49" s="90">
        <v>74.703461032267342</v>
      </c>
      <c r="N49" s="82">
        <v>76.166702313290102</v>
      </c>
      <c r="O49" s="90">
        <v>76.856867430404904</v>
      </c>
    </row>
    <row r="50" spans="1:15" x14ac:dyDescent="0.2">
      <c r="A50" s="80" t="s">
        <v>105</v>
      </c>
      <c r="B50" s="81">
        <v>62.84359012613389</v>
      </c>
      <c r="C50" s="90">
        <v>63.312811009653252</v>
      </c>
      <c r="D50" s="90">
        <v>63.522146484300428</v>
      </c>
      <c r="E50" s="90">
        <v>62.893248432306478</v>
      </c>
      <c r="F50" s="90">
        <v>62.811669862023059</v>
      </c>
      <c r="G50" s="90">
        <v>62.832517959501843</v>
      </c>
      <c r="H50" s="90">
        <v>63.088488763468703</v>
      </c>
      <c r="I50" s="90">
        <v>63.84681742295993</v>
      </c>
      <c r="J50" s="90">
        <v>63.7861153059552</v>
      </c>
      <c r="K50" s="90">
        <v>64.196366045714925</v>
      </c>
      <c r="L50" s="81">
        <v>64.327814639518451</v>
      </c>
      <c r="M50" s="90">
        <v>64.508628805673879</v>
      </c>
      <c r="N50" s="82">
        <v>64.876634503666907</v>
      </c>
      <c r="O50" s="90">
        <v>65.317824749870297</v>
      </c>
    </row>
    <row r="51" spans="1:15" x14ac:dyDescent="0.2">
      <c r="A51" s="80" t="s">
        <v>104</v>
      </c>
      <c r="B51" s="81">
        <v>68.76273915070314</v>
      </c>
      <c r="C51" s="90">
        <v>68.802471391436598</v>
      </c>
      <c r="D51" s="90">
        <v>68.774768845270657</v>
      </c>
      <c r="E51" s="90">
        <v>68.756897278353108</v>
      </c>
      <c r="F51" s="90">
        <v>68.845986610910174</v>
      </c>
      <c r="G51" s="90">
        <v>69.458475400601642</v>
      </c>
      <c r="H51" s="90">
        <v>70.245935755310029</v>
      </c>
      <c r="I51" s="90">
        <v>71.218471616423912</v>
      </c>
      <c r="J51" s="90">
        <v>71.718062008580063</v>
      </c>
      <c r="K51" s="90">
        <v>67.526703980793386</v>
      </c>
      <c r="L51" s="81">
        <v>72.493025694697579</v>
      </c>
      <c r="M51" s="90">
        <v>74.077646955045964</v>
      </c>
      <c r="N51" s="82">
        <v>75.624552489772896</v>
      </c>
      <c r="O51" s="90">
        <v>76.526944854443897</v>
      </c>
    </row>
    <row r="52" spans="1:15" x14ac:dyDescent="0.2">
      <c r="A52" s="79" t="s">
        <v>103</v>
      </c>
      <c r="B52" s="386">
        <v>71.580296780508021</v>
      </c>
      <c r="C52" s="388">
        <v>71.609918224338173</v>
      </c>
      <c r="D52" s="388">
        <v>71.877211917419586</v>
      </c>
      <c r="E52" s="388">
        <v>72.092884392392975</v>
      </c>
      <c r="F52" s="388">
        <v>71.953395177024774</v>
      </c>
      <c r="G52" s="388">
        <v>72.011812599519729</v>
      </c>
      <c r="H52" s="388">
        <v>72.528654751507503</v>
      </c>
      <c r="I52" s="388">
        <v>73.110501122327662</v>
      </c>
      <c r="J52" s="388">
        <v>73.225434016915813</v>
      </c>
      <c r="K52" s="388">
        <v>74.363827806836127</v>
      </c>
      <c r="L52" s="386">
        <v>74.183766331505723</v>
      </c>
      <c r="M52" s="388">
        <v>74.423282564226412</v>
      </c>
      <c r="N52" s="382">
        <v>74.919005502347005</v>
      </c>
      <c r="O52" s="188">
        <v>75.129351505950893</v>
      </c>
    </row>
    <row r="53" spans="1:15" x14ac:dyDescent="0.2">
      <c r="A53" s="80" t="s">
        <v>102</v>
      </c>
      <c r="B53" s="81">
        <v>79.427822695871484</v>
      </c>
      <c r="C53" s="90">
        <v>79.327294302429053</v>
      </c>
      <c r="D53" s="90">
        <v>79.438629463395358</v>
      </c>
      <c r="E53" s="90">
        <v>79.533714834856994</v>
      </c>
      <c r="F53" s="90">
        <v>79.212631575086775</v>
      </c>
      <c r="G53" s="90">
        <v>80.486344834830348</v>
      </c>
      <c r="H53" s="90">
        <v>80.854493257106057</v>
      </c>
      <c r="I53" s="90">
        <v>81.426156616478394</v>
      </c>
      <c r="J53" s="90">
        <v>81.332683133512589</v>
      </c>
      <c r="K53" s="90">
        <v>82.908775272454079</v>
      </c>
      <c r="L53" s="81">
        <v>82.028358815237794</v>
      </c>
      <c r="M53" s="90">
        <v>81.762758710384119</v>
      </c>
      <c r="N53" s="82">
        <v>81.882409261335397</v>
      </c>
      <c r="O53" s="90">
        <v>82.356959466718706</v>
      </c>
    </row>
    <row r="54" spans="1:15" x14ac:dyDescent="0.2">
      <c r="A54" s="80" t="s">
        <v>101</v>
      </c>
      <c r="B54" s="81">
        <v>62.904909623190051</v>
      </c>
      <c r="C54" s="90">
        <v>63.217222121508854</v>
      </c>
      <c r="D54" s="90">
        <v>63.759033286602147</v>
      </c>
      <c r="E54" s="90">
        <v>64.056260694550431</v>
      </c>
      <c r="F54" s="90">
        <v>64.089638146501144</v>
      </c>
      <c r="G54" s="90">
        <v>64.296494343556802</v>
      </c>
      <c r="H54" s="90">
        <v>64.861119103481144</v>
      </c>
      <c r="I54" s="90">
        <v>65.474677310863541</v>
      </c>
      <c r="J54" s="90">
        <v>65.739789395307483</v>
      </c>
      <c r="K54" s="90">
        <v>66.818036979610639</v>
      </c>
      <c r="L54" s="81">
        <v>67.041940988405472</v>
      </c>
      <c r="M54" s="90">
        <v>67.665640529115379</v>
      </c>
      <c r="N54" s="82">
        <v>68.271224403728297</v>
      </c>
      <c r="O54" s="90">
        <v>68.415487407485003</v>
      </c>
    </row>
    <row r="55" spans="1:15" x14ac:dyDescent="0.2">
      <c r="A55" s="80" t="s">
        <v>100</v>
      </c>
      <c r="B55" s="81">
        <v>64.763999843302088</v>
      </c>
      <c r="C55" s="90">
        <v>65.0030606293207</v>
      </c>
      <c r="D55" s="90">
        <v>65.500427675054951</v>
      </c>
      <c r="E55" s="90">
        <v>66.039448299344812</v>
      </c>
      <c r="F55" s="90">
        <v>65.910683490938865</v>
      </c>
      <c r="G55" s="90">
        <v>66.249683016726664</v>
      </c>
      <c r="H55" s="90">
        <v>67.395100530471396</v>
      </c>
      <c r="I55" s="90">
        <v>68.414540149419949</v>
      </c>
      <c r="J55" s="90">
        <v>68.351469426893743</v>
      </c>
      <c r="K55" s="90">
        <v>69.398741035732456</v>
      </c>
      <c r="L55" s="81">
        <v>69.881981362654358</v>
      </c>
      <c r="M55" s="90">
        <v>71.114884740563099</v>
      </c>
      <c r="N55" s="82">
        <v>71.691476267960198</v>
      </c>
      <c r="O55" s="90">
        <v>71.839738327772594</v>
      </c>
    </row>
    <row r="56" spans="1:15" x14ac:dyDescent="0.2">
      <c r="A56" s="80" t="s">
        <v>99</v>
      </c>
      <c r="B56" s="81">
        <v>58.969415745618946</v>
      </c>
      <c r="C56" s="90">
        <v>58.698109435550066</v>
      </c>
      <c r="D56" s="90">
        <v>58.992437066930741</v>
      </c>
      <c r="E56" s="90">
        <v>58.825861679586588</v>
      </c>
      <c r="F56" s="90">
        <v>58.606350352145192</v>
      </c>
      <c r="G56" s="90">
        <v>58.32314397064826</v>
      </c>
      <c r="H56" s="90">
        <v>58.796245359774289</v>
      </c>
      <c r="I56" s="90">
        <v>58.773961211573059</v>
      </c>
      <c r="J56" s="90">
        <v>58.86971586040692</v>
      </c>
      <c r="K56" s="90">
        <v>59.198107048530275</v>
      </c>
      <c r="L56" s="81">
        <v>59.110461083557865</v>
      </c>
      <c r="M56" s="90">
        <v>59.582155258611046</v>
      </c>
      <c r="N56" s="82">
        <v>60.0489777008329</v>
      </c>
      <c r="O56" s="90">
        <v>60.040432940404997</v>
      </c>
    </row>
    <row r="57" spans="1:15" x14ac:dyDescent="0.2">
      <c r="A57" s="80" t="s">
        <v>98</v>
      </c>
      <c r="B57" s="81">
        <v>82.6397171204583</v>
      </c>
      <c r="C57" s="90">
        <v>82.759902750644471</v>
      </c>
      <c r="D57" s="90">
        <v>82.769770463451039</v>
      </c>
      <c r="E57" s="90">
        <v>83.563050570779637</v>
      </c>
      <c r="F57" s="90">
        <v>83.926785992673615</v>
      </c>
      <c r="G57" s="90">
        <v>78.465332685606597</v>
      </c>
      <c r="H57" s="90">
        <v>78.997215136309904</v>
      </c>
      <c r="I57" s="90">
        <v>80.027553729493434</v>
      </c>
      <c r="J57" s="90">
        <v>80.84352389550024</v>
      </c>
      <c r="K57" s="90">
        <v>81.435777078157273</v>
      </c>
      <c r="L57" s="81">
        <v>82.596475912205875</v>
      </c>
      <c r="M57" s="90">
        <v>82.756438104417953</v>
      </c>
      <c r="N57" s="82">
        <v>84.657978816214893</v>
      </c>
      <c r="O57" s="90">
        <v>84.165141052165197</v>
      </c>
    </row>
    <row r="58" spans="1:15" x14ac:dyDescent="0.2">
      <c r="A58" s="79" t="s">
        <v>97</v>
      </c>
      <c r="B58" s="386">
        <v>84.677037784994383</v>
      </c>
      <c r="C58" s="388">
        <v>84.441426179505484</v>
      </c>
      <c r="D58" s="388">
        <v>84.802604999850246</v>
      </c>
      <c r="E58" s="388">
        <v>84.859882966222784</v>
      </c>
      <c r="F58" s="388">
        <v>84.399034514158288</v>
      </c>
      <c r="G58" s="388">
        <v>84.023190113811083</v>
      </c>
      <c r="H58" s="388">
        <v>84.426671382881707</v>
      </c>
      <c r="I58" s="388">
        <v>84.685540786370538</v>
      </c>
      <c r="J58" s="388">
        <v>84.817350378975007</v>
      </c>
      <c r="K58" s="388">
        <v>85.325722898115927</v>
      </c>
      <c r="L58" s="386">
        <v>85.290726178564924</v>
      </c>
      <c r="M58" s="388">
        <v>83.462966103436386</v>
      </c>
      <c r="N58" s="382">
        <v>84.130450294605495</v>
      </c>
      <c r="O58" s="438">
        <v>84.598131673591098</v>
      </c>
    </row>
    <row r="59" spans="1:15" x14ac:dyDescent="0.2">
      <c r="A59" s="80" t="s">
        <v>96</v>
      </c>
      <c r="B59" s="81">
        <v>72.6212142571068</v>
      </c>
      <c r="C59" s="90">
        <v>72.667973010818386</v>
      </c>
      <c r="D59" s="90">
        <v>71.955624157911743</v>
      </c>
      <c r="E59" s="90">
        <v>71.450330945128613</v>
      </c>
      <c r="F59" s="90">
        <v>70.557085709167239</v>
      </c>
      <c r="G59" s="90">
        <v>68.599006655757648</v>
      </c>
      <c r="H59" s="90">
        <v>70.855475131444749</v>
      </c>
      <c r="I59" s="90">
        <v>71.232038445717308</v>
      </c>
      <c r="J59" s="90">
        <v>72.063269077267677</v>
      </c>
      <c r="K59" s="90">
        <v>74.27332930079946</v>
      </c>
      <c r="L59" s="81">
        <v>74.175704649312408</v>
      </c>
      <c r="M59" s="90">
        <v>73.199578819469991</v>
      </c>
      <c r="N59" s="82">
        <v>73.902832779560498</v>
      </c>
      <c r="O59" s="90">
        <v>74.3007045485502</v>
      </c>
    </row>
    <row r="60" spans="1:15" x14ac:dyDescent="0.2">
      <c r="A60" s="80" t="s">
        <v>95</v>
      </c>
      <c r="B60" s="81">
        <v>70.136845183021507</v>
      </c>
      <c r="C60" s="90">
        <v>69.554542535427871</v>
      </c>
      <c r="D60" s="90">
        <v>69.588787415434709</v>
      </c>
      <c r="E60" s="90">
        <v>70.20406517594057</v>
      </c>
      <c r="F60" s="90">
        <v>70.848225631540117</v>
      </c>
      <c r="G60" s="90">
        <v>69.837391289371809</v>
      </c>
      <c r="H60" s="90">
        <v>69.336595955476753</v>
      </c>
      <c r="I60" s="90">
        <v>69.195140134315494</v>
      </c>
      <c r="J60" s="90">
        <v>68.606737422963761</v>
      </c>
      <c r="K60" s="90">
        <v>68.958431936059796</v>
      </c>
      <c r="L60" s="81">
        <v>69.303173432172116</v>
      </c>
      <c r="M60" s="90">
        <v>66.53374327434112</v>
      </c>
      <c r="N60" s="82">
        <v>67.226278229895598</v>
      </c>
      <c r="O60" s="90">
        <v>65.8071267940485</v>
      </c>
    </row>
    <row r="61" spans="1:15" x14ac:dyDescent="0.2">
      <c r="A61" s="80" t="s">
        <v>94</v>
      </c>
      <c r="B61" s="81">
        <v>141.39948672837394</v>
      </c>
      <c r="C61" s="90">
        <v>141.51979080041343</v>
      </c>
      <c r="D61" s="90">
        <v>142.49692347993823</v>
      </c>
      <c r="E61" s="90">
        <v>142.29074802099458</v>
      </c>
      <c r="F61" s="90">
        <v>143.19246319741796</v>
      </c>
      <c r="G61" s="90">
        <v>144.30426389978612</v>
      </c>
      <c r="H61" s="90">
        <v>147.27378367386734</v>
      </c>
      <c r="I61" s="90">
        <v>148.70269216437791</v>
      </c>
      <c r="J61" s="90">
        <v>147.93624011858546</v>
      </c>
      <c r="K61" s="90">
        <v>150.34907627834866</v>
      </c>
      <c r="L61" s="81">
        <v>151.03526528905755</v>
      </c>
      <c r="M61" s="90">
        <v>150.72915877897711</v>
      </c>
      <c r="N61" s="383">
        <v>154.396519741589</v>
      </c>
      <c r="O61" s="255">
        <v>158.25272684225101</v>
      </c>
    </row>
    <row r="62" spans="1:15" x14ac:dyDescent="0.2">
      <c r="A62" s="80" t="s">
        <v>93</v>
      </c>
      <c r="B62" s="81">
        <v>61.584710809026824</v>
      </c>
      <c r="C62" s="90">
        <v>61.040952215590011</v>
      </c>
      <c r="D62" s="90">
        <v>61.486052022344431</v>
      </c>
      <c r="E62" s="90">
        <v>61.617187135577126</v>
      </c>
      <c r="F62" s="90">
        <v>60.837636021779126</v>
      </c>
      <c r="G62" s="90">
        <v>60.248061155345766</v>
      </c>
      <c r="H62" s="90">
        <v>60.72453625870164</v>
      </c>
      <c r="I62" s="90">
        <v>60.826168544418969</v>
      </c>
      <c r="J62" s="90">
        <v>61.065823394698405</v>
      </c>
      <c r="K62" s="90">
        <v>60.888435007200641</v>
      </c>
      <c r="L62" s="81">
        <v>60.955535125989066</v>
      </c>
      <c r="M62" s="90">
        <v>59.996894483006223</v>
      </c>
      <c r="N62" s="82">
        <v>59.8682093444015</v>
      </c>
      <c r="O62" s="90">
        <v>60.747011824021797</v>
      </c>
    </row>
    <row r="63" spans="1:15" x14ac:dyDescent="0.2">
      <c r="A63" s="80" t="s">
        <v>92</v>
      </c>
      <c r="B63" s="81">
        <v>77.005736711287454</v>
      </c>
      <c r="C63" s="90">
        <v>76.741967120755959</v>
      </c>
      <c r="D63" s="90">
        <v>77.401366678837277</v>
      </c>
      <c r="E63" s="90">
        <v>78.189849806005171</v>
      </c>
      <c r="F63" s="90">
        <v>78.089199234602916</v>
      </c>
      <c r="G63" s="90">
        <v>77.287465574917746</v>
      </c>
      <c r="H63" s="90">
        <v>76.337750271281053</v>
      </c>
      <c r="I63" s="90">
        <v>76.064291945770691</v>
      </c>
      <c r="J63" s="90">
        <v>78.353376227186203</v>
      </c>
      <c r="K63" s="90">
        <v>79.027010291094427</v>
      </c>
      <c r="L63" s="81">
        <v>79.425558506405864</v>
      </c>
      <c r="M63" s="90">
        <v>77.717176927949424</v>
      </c>
      <c r="N63" s="82">
        <v>77.804123436249697</v>
      </c>
      <c r="O63" s="90">
        <v>77.703344208342202</v>
      </c>
    </row>
    <row r="64" spans="1:15" x14ac:dyDescent="0.2">
      <c r="A64" s="80" t="s">
        <v>91</v>
      </c>
      <c r="B64" s="81">
        <v>86.530881065590407</v>
      </c>
      <c r="C64" s="90">
        <v>86.331518724042098</v>
      </c>
      <c r="D64" s="90">
        <v>86.615707999944561</v>
      </c>
      <c r="E64" s="90">
        <v>86.820065188147794</v>
      </c>
      <c r="F64" s="90">
        <v>84.351510887685478</v>
      </c>
      <c r="G64" s="90">
        <v>86.05342149530621</v>
      </c>
      <c r="H64" s="90">
        <v>85.972360275811269</v>
      </c>
      <c r="I64" s="90">
        <v>85.972650556608627</v>
      </c>
      <c r="J64" s="90">
        <v>85.712394750193127</v>
      </c>
      <c r="K64" s="90">
        <v>84.682558645151801</v>
      </c>
      <c r="L64" s="81">
        <v>84.816720501548701</v>
      </c>
      <c r="M64" s="90">
        <v>82.412128217761335</v>
      </c>
      <c r="N64" s="82">
        <v>83.103789264098097</v>
      </c>
      <c r="O64" s="90">
        <v>83.333566259333594</v>
      </c>
    </row>
    <row r="65" spans="1:15" x14ac:dyDescent="0.2">
      <c r="A65" s="80" t="s">
        <v>90</v>
      </c>
      <c r="B65" s="81">
        <v>65.006046946034772</v>
      </c>
      <c r="C65" s="90">
        <v>65.059289495569033</v>
      </c>
      <c r="D65" s="90">
        <v>66.034147311537524</v>
      </c>
      <c r="E65" s="90">
        <v>66.165380256811531</v>
      </c>
      <c r="F65" s="90">
        <v>65.430731917215127</v>
      </c>
      <c r="G65" s="90">
        <v>64.935070751280691</v>
      </c>
      <c r="H65" s="90">
        <v>64.558637562687792</v>
      </c>
      <c r="I65" s="90">
        <v>65.393126942868491</v>
      </c>
      <c r="J65" s="90">
        <v>65.566218101151577</v>
      </c>
      <c r="K65" s="90">
        <v>65.847916347873138</v>
      </c>
      <c r="L65" s="81">
        <v>65.449134897224482</v>
      </c>
      <c r="M65" s="90">
        <v>64.23988507611864</v>
      </c>
      <c r="N65" s="82">
        <v>64.364940366339397</v>
      </c>
      <c r="O65" s="90">
        <v>64.953053295733298</v>
      </c>
    </row>
    <row r="66" spans="1:15" x14ac:dyDescent="0.2">
      <c r="A66" s="80" t="s">
        <v>89</v>
      </c>
      <c r="B66" s="81">
        <v>65.993296050419289</v>
      </c>
      <c r="C66" s="90">
        <v>66.267737856663217</v>
      </c>
      <c r="D66" s="90">
        <v>67.181551017289209</v>
      </c>
      <c r="E66" s="90">
        <v>67.27211717997082</v>
      </c>
      <c r="F66" s="90">
        <v>66.740532527132345</v>
      </c>
      <c r="G66" s="90">
        <v>66.437928943782097</v>
      </c>
      <c r="H66" s="90">
        <v>66.241858254322082</v>
      </c>
      <c r="I66" s="90">
        <v>66.766160594228225</v>
      </c>
      <c r="J66" s="90">
        <v>66.406172512586693</v>
      </c>
      <c r="K66" s="90">
        <v>65.805333943753439</v>
      </c>
      <c r="L66" s="81">
        <v>65.24016092996834</v>
      </c>
      <c r="M66" s="90">
        <v>63.788884886115717</v>
      </c>
      <c r="N66" s="82">
        <v>63.555213450473701</v>
      </c>
      <c r="O66" s="90">
        <v>63.391306739861299</v>
      </c>
    </row>
    <row r="67" spans="1:15" x14ac:dyDescent="0.2">
      <c r="A67" s="79" t="s">
        <v>88</v>
      </c>
      <c r="B67" s="386">
        <v>71.214536014025114</v>
      </c>
      <c r="C67" s="388">
        <v>71.249531459820702</v>
      </c>
      <c r="D67" s="388">
        <v>71.49613897732425</v>
      </c>
      <c r="E67" s="388">
        <v>71.643555224741561</v>
      </c>
      <c r="F67" s="388">
        <v>71.524953129562476</v>
      </c>
      <c r="G67" s="388">
        <v>71.610276526173422</v>
      </c>
      <c r="H67" s="388">
        <v>72.361540353366195</v>
      </c>
      <c r="I67" s="388">
        <v>73.107694453165109</v>
      </c>
      <c r="J67" s="388">
        <v>73.464128169320304</v>
      </c>
      <c r="K67" s="388">
        <v>73.535722046090854</v>
      </c>
      <c r="L67" s="386">
        <v>73.665028853695119</v>
      </c>
      <c r="M67" s="388">
        <v>74.025533611017636</v>
      </c>
      <c r="N67" s="382">
        <v>74.898516684759798</v>
      </c>
      <c r="O67" s="188">
        <v>74.952406719276794</v>
      </c>
    </row>
    <row r="68" spans="1:15" x14ac:dyDescent="0.2">
      <c r="A68" s="80" t="s">
        <v>87</v>
      </c>
      <c r="B68" s="81">
        <v>76.23780893647664</v>
      </c>
      <c r="C68" s="90">
        <v>75.839539651002383</v>
      </c>
      <c r="D68" s="90">
        <v>76.347806697551377</v>
      </c>
      <c r="E68" s="90">
        <v>75.769500616676012</v>
      </c>
      <c r="F68" s="90">
        <v>75.34654913758898</v>
      </c>
      <c r="G68" s="90">
        <v>75.56319347851543</v>
      </c>
      <c r="H68" s="90">
        <v>76.491371549582766</v>
      </c>
      <c r="I68" s="90">
        <v>77.211848819582443</v>
      </c>
      <c r="J68" s="90">
        <v>77.420544533730506</v>
      </c>
      <c r="K68" s="90">
        <v>77.587307075960666</v>
      </c>
      <c r="L68" s="81">
        <v>77.853021793974179</v>
      </c>
      <c r="M68" s="90">
        <v>77.697432235028032</v>
      </c>
      <c r="N68" s="82">
        <v>79.180540819146898</v>
      </c>
      <c r="O68" s="90">
        <v>79.329916093436395</v>
      </c>
    </row>
    <row r="69" spans="1:15" x14ac:dyDescent="0.2">
      <c r="A69" s="80" t="s">
        <v>86</v>
      </c>
      <c r="B69" s="81">
        <v>65.388695687087619</v>
      </c>
      <c r="C69" s="90">
        <v>64.952414596712813</v>
      </c>
      <c r="D69" s="90">
        <v>65.53281546793275</v>
      </c>
      <c r="E69" s="90">
        <v>65.597404283624613</v>
      </c>
      <c r="F69" s="90">
        <v>65.588087470245625</v>
      </c>
      <c r="G69" s="90">
        <v>66.068193622705181</v>
      </c>
      <c r="H69" s="90">
        <v>67.097823866329648</v>
      </c>
      <c r="I69" s="90">
        <v>68.038971442408197</v>
      </c>
      <c r="J69" s="90">
        <v>68.623552451992779</v>
      </c>
      <c r="K69" s="90">
        <v>68.746456191093955</v>
      </c>
      <c r="L69" s="81">
        <v>69.207863387683389</v>
      </c>
      <c r="M69" s="90">
        <v>69.683833829763316</v>
      </c>
      <c r="N69" s="82">
        <v>70.490386939361002</v>
      </c>
      <c r="O69" s="90">
        <v>70.237065713554401</v>
      </c>
    </row>
    <row r="70" spans="1:15" x14ac:dyDescent="0.2">
      <c r="A70" s="80" t="s">
        <v>85</v>
      </c>
      <c r="B70" s="81">
        <v>64.621876450800883</v>
      </c>
      <c r="C70" s="90">
        <v>64.968226906220394</v>
      </c>
      <c r="D70" s="90">
        <v>66.756274089408592</v>
      </c>
      <c r="E70" s="90">
        <v>67.253042452510883</v>
      </c>
      <c r="F70" s="90">
        <v>67.475400273958613</v>
      </c>
      <c r="G70" s="90">
        <v>68.179724202344133</v>
      </c>
      <c r="H70" s="90">
        <v>68.3757111620735</v>
      </c>
      <c r="I70" s="90">
        <v>69.426003197862897</v>
      </c>
      <c r="J70" s="90">
        <v>70.728543686123331</v>
      </c>
      <c r="K70" s="90">
        <v>71.159518437845449</v>
      </c>
      <c r="L70" s="81">
        <v>71.670090727551212</v>
      </c>
      <c r="M70" s="90">
        <v>73.056962922683695</v>
      </c>
      <c r="N70" s="82">
        <v>73.967389720538804</v>
      </c>
      <c r="O70" s="90">
        <v>74.859166703445396</v>
      </c>
    </row>
    <row r="71" spans="1:15" x14ac:dyDescent="0.2">
      <c r="A71" s="80" t="s">
        <v>84</v>
      </c>
      <c r="B71" s="81">
        <v>56.467529477221618</v>
      </c>
      <c r="C71" s="90">
        <v>56.473674652983092</v>
      </c>
      <c r="D71" s="90">
        <v>56.481952714054167</v>
      </c>
      <c r="E71" s="90">
        <v>56.59500917224841</v>
      </c>
      <c r="F71" s="90">
        <v>56.425947135794495</v>
      </c>
      <c r="G71" s="90">
        <v>56.01390664015797</v>
      </c>
      <c r="H71" s="90">
        <v>56.377969638817802</v>
      </c>
      <c r="I71" s="90">
        <v>56.511421537328935</v>
      </c>
      <c r="J71" s="90">
        <v>57.523567422608096</v>
      </c>
      <c r="K71" s="90">
        <v>57.184728216538439</v>
      </c>
      <c r="L71" s="81">
        <v>57.491115085001212</v>
      </c>
      <c r="M71" s="90">
        <v>57.530030932754016</v>
      </c>
      <c r="N71" s="82">
        <v>57.544408684512703</v>
      </c>
      <c r="O71" s="90">
        <v>58.011325310411998</v>
      </c>
    </row>
    <row r="72" spans="1:15" x14ac:dyDescent="0.2">
      <c r="A72" s="80" t="s">
        <v>83</v>
      </c>
      <c r="B72" s="81">
        <v>79.258697669912664</v>
      </c>
      <c r="C72" s="90">
        <v>79.673689703478118</v>
      </c>
      <c r="D72" s="90">
        <v>79.419780229831119</v>
      </c>
      <c r="E72" s="90">
        <v>79.951191220063464</v>
      </c>
      <c r="F72" s="90">
        <v>79.917065970284781</v>
      </c>
      <c r="G72" s="90">
        <v>79.884274855133228</v>
      </c>
      <c r="H72" s="90">
        <v>80.77443680466132</v>
      </c>
      <c r="I72" s="90">
        <v>81.705949210650715</v>
      </c>
      <c r="J72" s="90">
        <v>81.401594133103146</v>
      </c>
      <c r="K72" s="90">
        <v>81.493889217894377</v>
      </c>
      <c r="L72" s="81">
        <v>81.242149163636483</v>
      </c>
      <c r="M72" s="90">
        <v>81.759853859246007</v>
      </c>
      <c r="N72" s="83">
        <v>82.714516215032504</v>
      </c>
      <c r="O72" s="91">
        <v>82.451031108212206</v>
      </c>
    </row>
    <row r="73" spans="1:15" x14ac:dyDescent="0.2">
      <c r="A73" s="79" t="s">
        <v>82</v>
      </c>
      <c r="B73" s="386">
        <v>74.693122712979644</v>
      </c>
      <c r="C73" s="388">
        <v>74.914331541511217</v>
      </c>
      <c r="D73" s="388">
        <v>75.459792901915165</v>
      </c>
      <c r="E73" s="388">
        <v>75.138092969411318</v>
      </c>
      <c r="F73" s="388">
        <v>74.968331958923756</v>
      </c>
      <c r="G73" s="388">
        <v>75.138758601185259</v>
      </c>
      <c r="H73" s="388">
        <v>75.855934079748906</v>
      </c>
      <c r="I73" s="388">
        <v>76.555690886772211</v>
      </c>
      <c r="J73" s="388">
        <v>76.592163602396269</v>
      </c>
      <c r="K73" s="388">
        <v>76.966279096187833</v>
      </c>
      <c r="L73" s="386">
        <v>77.003396080134266</v>
      </c>
      <c r="M73" s="388">
        <v>76.551050330633714</v>
      </c>
      <c r="N73" s="84">
        <v>77.199188241757795</v>
      </c>
      <c r="O73" s="92">
        <v>77.731240531534297</v>
      </c>
    </row>
    <row r="74" spans="1:15" x14ac:dyDescent="0.2">
      <c r="A74" s="80" t="s">
        <v>81</v>
      </c>
      <c r="B74" s="81">
        <v>67.593692655226732</v>
      </c>
      <c r="C74" s="90">
        <v>67.704231743787062</v>
      </c>
      <c r="D74" s="90">
        <v>68.407223347785802</v>
      </c>
      <c r="E74" s="90">
        <v>68.180733230179897</v>
      </c>
      <c r="F74" s="90">
        <v>67.697594863970863</v>
      </c>
      <c r="G74" s="90">
        <v>68.499078687823257</v>
      </c>
      <c r="H74" s="90">
        <v>69.475526103240526</v>
      </c>
      <c r="I74" s="90">
        <v>70.219138883538434</v>
      </c>
      <c r="J74" s="90">
        <v>70.157193179115765</v>
      </c>
      <c r="K74" s="90">
        <v>70.678546923559523</v>
      </c>
      <c r="L74" s="81">
        <v>71.574437657979459</v>
      </c>
      <c r="M74" s="90">
        <v>71.991600139506787</v>
      </c>
      <c r="N74" s="82">
        <v>71.589583681722701</v>
      </c>
      <c r="O74" s="90">
        <v>72.209298395552906</v>
      </c>
    </row>
    <row r="75" spans="1:15" x14ac:dyDescent="0.2">
      <c r="A75" s="80" t="s">
        <v>80</v>
      </c>
      <c r="B75" s="81">
        <v>82.362346724079572</v>
      </c>
      <c r="C75" s="90">
        <v>82.194214186271196</v>
      </c>
      <c r="D75" s="90">
        <v>82.279120142342762</v>
      </c>
      <c r="E75" s="90">
        <v>81.593831527205509</v>
      </c>
      <c r="F75" s="90">
        <v>80.735391739887646</v>
      </c>
      <c r="G75" s="90">
        <v>80.513364358077482</v>
      </c>
      <c r="H75" s="90">
        <v>80.871706830994597</v>
      </c>
      <c r="I75" s="90">
        <v>81.437048268432136</v>
      </c>
      <c r="J75" s="90">
        <v>81.929339364219189</v>
      </c>
      <c r="K75" s="90">
        <v>82.234727309355037</v>
      </c>
      <c r="L75" s="81">
        <v>81.500238871494105</v>
      </c>
      <c r="M75" s="90">
        <v>80.914335721531671</v>
      </c>
      <c r="N75" s="82">
        <v>81.929061590510798</v>
      </c>
      <c r="O75" s="90">
        <v>83.392612951763397</v>
      </c>
    </row>
    <row r="76" spans="1:15" x14ac:dyDescent="0.2">
      <c r="A76" s="80" t="s">
        <v>79</v>
      </c>
      <c r="B76" s="81">
        <v>70.736104033973461</v>
      </c>
      <c r="C76" s="90">
        <v>70.603229340267134</v>
      </c>
      <c r="D76" s="90">
        <v>70.865232690742062</v>
      </c>
      <c r="E76" s="90">
        <v>70.432524315899656</v>
      </c>
      <c r="F76" s="90">
        <v>70.281290969616066</v>
      </c>
      <c r="G76" s="90">
        <v>70.713372061931167</v>
      </c>
      <c r="H76" s="90">
        <v>71.780038964878301</v>
      </c>
      <c r="I76" s="90">
        <v>72.768628289879089</v>
      </c>
      <c r="J76" s="90">
        <v>71.967666038677308</v>
      </c>
      <c r="K76" s="90">
        <v>72.31360152064309</v>
      </c>
      <c r="L76" s="81">
        <v>73.181572307702524</v>
      </c>
      <c r="M76" s="90">
        <v>72.695988712119373</v>
      </c>
      <c r="N76" s="82">
        <v>73.021704000256406</v>
      </c>
      <c r="O76" s="90">
        <v>73.601508770019294</v>
      </c>
    </row>
    <row r="77" spans="1:15" x14ac:dyDescent="0.2">
      <c r="A77" s="80" t="s">
        <v>78</v>
      </c>
      <c r="B77" s="81">
        <v>62.577902065821483</v>
      </c>
      <c r="C77" s="90">
        <v>62.808687147262958</v>
      </c>
      <c r="D77" s="90">
        <v>62.846070358970692</v>
      </c>
      <c r="E77" s="90">
        <v>62.618118448571614</v>
      </c>
      <c r="F77" s="90">
        <v>62.718035829245544</v>
      </c>
      <c r="G77" s="90">
        <v>67.948496260139308</v>
      </c>
      <c r="H77" s="90">
        <v>69.306087582692157</v>
      </c>
      <c r="I77" s="90">
        <v>72.020532030705041</v>
      </c>
      <c r="J77" s="90">
        <v>69.314407804684251</v>
      </c>
      <c r="K77" s="90">
        <v>70.035926377883797</v>
      </c>
      <c r="L77" s="81">
        <v>73.002317290243241</v>
      </c>
      <c r="M77" s="90">
        <v>71.216668439219546</v>
      </c>
      <c r="N77" s="82">
        <v>72.595074807864805</v>
      </c>
      <c r="O77" s="90">
        <v>71.917060612807305</v>
      </c>
    </row>
    <row r="78" spans="1:15" x14ac:dyDescent="0.2">
      <c r="A78" s="80" t="s">
        <v>77</v>
      </c>
      <c r="B78" s="81">
        <v>63.845788655537667</v>
      </c>
      <c r="C78" s="90">
        <v>63.948134491734372</v>
      </c>
      <c r="D78" s="90">
        <v>64.690674006170255</v>
      </c>
      <c r="E78" s="90">
        <v>64.590871977580903</v>
      </c>
      <c r="F78" s="90">
        <v>64.931414702926091</v>
      </c>
      <c r="G78" s="90">
        <v>64.836663975695785</v>
      </c>
      <c r="H78" s="90">
        <v>65.20655579925679</v>
      </c>
      <c r="I78" s="90">
        <v>65.808496348687413</v>
      </c>
      <c r="J78" s="90">
        <v>65.926497066809688</v>
      </c>
      <c r="K78" s="90">
        <v>67.079716783646248</v>
      </c>
      <c r="L78" s="81">
        <v>66.993472305244723</v>
      </c>
      <c r="M78" s="90">
        <v>66.49129675628528</v>
      </c>
      <c r="N78" s="82">
        <v>67.726852579973894</v>
      </c>
      <c r="O78" s="90">
        <v>66.1158849277207</v>
      </c>
    </row>
    <row r="79" spans="1:15" x14ac:dyDescent="0.2">
      <c r="A79" s="80" t="s">
        <v>76</v>
      </c>
      <c r="B79" s="81">
        <v>74.008945448207356</v>
      </c>
      <c r="C79" s="90">
        <v>75.325482273616387</v>
      </c>
      <c r="D79" s="90">
        <v>76.692091487488497</v>
      </c>
      <c r="E79" s="90">
        <v>76.007468618083848</v>
      </c>
      <c r="F79" s="90">
        <v>75.953165050027394</v>
      </c>
      <c r="G79" s="90">
        <v>75.797770038671644</v>
      </c>
      <c r="H79" s="90">
        <v>75.26215942797819</v>
      </c>
      <c r="I79" s="90">
        <v>75.776377386410203</v>
      </c>
      <c r="J79" s="90">
        <v>76.777901574328496</v>
      </c>
      <c r="K79" s="90">
        <v>77.673783989587776</v>
      </c>
      <c r="L79" s="81">
        <v>78.358820956601292</v>
      </c>
      <c r="M79" s="90">
        <v>79.06414427986995</v>
      </c>
      <c r="N79" s="82">
        <v>79.420441085672294</v>
      </c>
      <c r="O79" s="90">
        <v>81.041081788686498</v>
      </c>
    </row>
    <row r="80" spans="1:15" x14ac:dyDescent="0.2">
      <c r="A80" s="80" t="s">
        <v>75</v>
      </c>
      <c r="B80" s="81">
        <v>76.84527352165766</v>
      </c>
      <c r="C80" s="90">
        <v>77.476734865459491</v>
      </c>
      <c r="D80" s="90">
        <v>80.01771069854324</v>
      </c>
      <c r="E80" s="90">
        <v>80.672753979667917</v>
      </c>
      <c r="F80" s="90">
        <v>81.439442876193411</v>
      </c>
      <c r="G80" s="90">
        <v>80.97229144468831</v>
      </c>
      <c r="H80" s="90">
        <v>81.051806210229316</v>
      </c>
      <c r="I80" s="90">
        <v>82.441595566208477</v>
      </c>
      <c r="J80" s="90">
        <v>82.91948860286287</v>
      </c>
      <c r="K80" s="90">
        <v>84.310270240054166</v>
      </c>
      <c r="L80" s="81">
        <v>85.168628577819405</v>
      </c>
      <c r="M80" s="90">
        <v>86.141382220829712</v>
      </c>
      <c r="N80" s="82">
        <v>86.269843106457301</v>
      </c>
      <c r="O80" s="90">
        <v>87.521172274173296</v>
      </c>
    </row>
    <row r="81" spans="1:15" x14ac:dyDescent="0.2">
      <c r="A81" s="80" t="s">
        <v>74</v>
      </c>
      <c r="B81" s="81">
        <v>92.43322803693097</v>
      </c>
      <c r="C81" s="90">
        <v>92.697648811298123</v>
      </c>
      <c r="D81" s="90">
        <v>94.1677229358951</v>
      </c>
      <c r="E81" s="90">
        <v>95.141569280372224</v>
      </c>
      <c r="F81" s="90">
        <v>94.875182790912802</v>
      </c>
      <c r="G81" s="90">
        <v>94.743764629250521</v>
      </c>
      <c r="H81" s="90">
        <v>95.719306259311423</v>
      </c>
      <c r="I81" s="90">
        <v>96.526066920220345</v>
      </c>
      <c r="J81" s="90">
        <v>97.588369501933727</v>
      </c>
      <c r="K81" s="90">
        <v>98.109284198515766</v>
      </c>
      <c r="L81" s="81">
        <v>98.564390546413264</v>
      </c>
      <c r="M81" s="90">
        <v>98.292143287351252</v>
      </c>
      <c r="N81" s="82">
        <v>98.816108426315097</v>
      </c>
      <c r="O81" s="90">
        <v>100.055429858038</v>
      </c>
    </row>
    <row r="82" spans="1:15" x14ac:dyDescent="0.2">
      <c r="A82" s="80" t="s">
        <v>73</v>
      </c>
      <c r="B82" s="81">
        <v>63.764660267410065</v>
      </c>
      <c r="C82" s="90">
        <v>64.447384265097597</v>
      </c>
      <c r="D82" s="90">
        <v>64.880993755120741</v>
      </c>
      <c r="E82" s="90">
        <v>64.494550634525837</v>
      </c>
      <c r="F82" s="90">
        <v>64.288951051081796</v>
      </c>
      <c r="G82" s="90">
        <v>63.725027335476057</v>
      </c>
      <c r="H82" s="90">
        <v>64.718027046716784</v>
      </c>
      <c r="I82" s="90">
        <v>65.927372066429726</v>
      </c>
      <c r="J82" s="90">
        <v>66.354280912623835</v>
      </c>
      <c r="K82" s="90">
        <v>66.079351510944235</v>
      </c>
      <c r="L82" s="81">
        <v>66.907270697040857</v>
      </c>
      <c r="M82" s="90">
        <v>68.026017412801593</v>
      </c>
      <c r="N82" s="82">
        <v>68.424582430305193</v>
      </c>
      <c r="O82" s="90">
        <v>69.171059881385105</v>
      </c>
    </row>
    <row r="83" spans="1:15" x14ac:dyDescent="0.2">
      <c r="A83" s="80" t="s">
        <v>72</v>
      </c>
      <c r="B83" s="81">
        <v>67.463866680256274</v>
      </c>
      <c r="C83" s="90">
        <v>67.392194587693197</v>
      </c>
      <c r="D83" s="90">
        <v>67.967799059151261</v>
      </c>
      <c r="E83" s="90">
        <v>68.234116872386537</v>
      </c>
      <c r="F83" s="90">
        <v>68.317404239089399</v>
      </c>
      <c r="G83" s="90">
        <v>68.416276719404181</v>
      </c>
      <c r="H83" s="90">
        <v>68.810709346265725</v>
      </c>
      <c r="I83" s="90">
        <v>69.460467520148725</v>
      </c>
      <c r="J83" s="90">
        <v>68.518219132950165</v>
      </c>
      <c r="K83" s="90">
        <v>68.500366934698846</v>
      </c>
      <c r="L83" s="81">
        <v>67.558038283949699</v>
      </c>
      <c r="M83" s="90">
        <v>66.77631933370759</v>
      </c>
      <c r="N83" s="82">
        <v>67.101561735350103</v>
      </c>
      <c r="O83" s="90">
        <v>67.120645184005099</v>
      </c>
    </row>
    <row r="84" spans="1:15" x14ac:dyDescent="0.2">
      <c r="A84" s="80" t="s">
        <v>71</v>
      </c>
      <c r="B84" s="81">
        <v>67.845811247785761</v>
      </c>
      <c r="C84" s="90">
        <v>68.555803312979336</v>
      </c>
      <c r="D84" s="90">
        <v>69.399932268445227</v>
      </c>
      <c r="E84" s="90">
        <v>69.69703669524641</v>
      </c>
      <c r="F84" s="90">
        <v>69.651238621794249</v>
      </c>
      <c r="G84" s="90">
        <v>67.743791451483219</v>
      </c>
      <c r="H84" s="90">
        <v>69.586780611593042</v>
      </c>
      <c r="I84" s="90">
        <v>69.902376220650538</v>
      </c>
      <c r="J84" s="90">
        <v>70.059562839395753</v>
      </c>
      <c r="K84" s="90">
        <v>70.014693422665971</v>
      </c>
      <c r="L84" s="81">
        <v>69.295793842002141</v>
      </c>
      <c r="M84" s="90">
        <v>69.297188958797037</v>
      </c>
      <c r="N84" s="82">
        <v>69.711468964229496</v>
      </c>
      <c r="O84" s="90">
        <v>70.151639207619198</v>
      </c>
    </row>
    <row r="85" spans="1:15" x14ac:dyDescent="0.2">
      <c r="A85" s="80" t="s">
        <v>70</v>
      </c>
      <c r="B85" s="81">
        <v>94.666243037241969</v>
      </c>
      <c r="C85" s="90">
        <v>95.575661507971091</v>
      </c>
      <c r="D85" s="90">
        <v>95.711012520409071</v>
      </c>
      <c r="E85" s="90">
        <v>93.611300914810982</v>
      </c>
      <c r="F85" s="90">
        <v>94.427474544129424</v>
      </c>
      <c r="G85" s="90">
        <v>94.484581347532668</v>
      </c>
      <c r="H85" s="90">
        <v>95.704766134994344</v>
      </c>
      <c r="I85" s="90">
        <v>94.816517279063007</v>
      </c>
      <c r="J85" s="90">
        <v>95.619184979852477</v>
      </c>
      <c r="K85" s="90">
        <v>95.391388456514065</v>
      </c>
      <c r="L85" s="81">
        <v>95.250246317342715</v>
      </c>
      <c r="M85" s="90">
        <v>93.704679185634305</v>
      </c>
      <c r="N85" s="383">
        <v>94.243500940160999</v>
      </c>
      <c r="O85" s="209">
        <v>94.855712259608197</v>
      </c>
    </row>
    <row r="86" spans="1:15" x14ac:dyDescent="0.2">
      <c r="A86" s="79" t="s">
        <v>69</v>
      </c>
      <c r="B86" s="386">
        <v>72.790553466941233</v>
      </c>
      <c r="C86" s="388">
        <v>72.602424612002054</v>
      </c>
      <c r="D86" s="388">
        <v>73.324609527121993</v>
      </c>
      <c r="E86" s="388">
        <v>73.184044587301827</v>
      </c>
      <c r="F86" s="388">
        <v>72.878196852734732</v>
      </c>
      <c r="G86" s="388">
        <v>73.119211266515563</v>
      </c>
      <c r="H86" s="388">
        <v>73.787845496231029</v>
      </c>
      <c r="I86" s="388">
        <v>74.313867172243221</v>
      </c>
      <c r="J86" s="388">
        <v>74.817552789413796</v>
      </c>
      <c r="K86" s="388">
        <v>75.089823778699724</v>
      </c>
      <c r="L86" s="386">
        <v>75.186243881695233</v>
      </c>
      <c r="M86" s="388">
        <v>74.849490580681405</v>
      </c>
      <c r="N86" s="382">
        <v>75.446350112344405</v>
      </c>
      <c r="O86" s="188">
        <v>75.337816109005601</v>
      </c>
    </row>
    <row r="87" spans="1:15" x14ac:dyDescent="0.2">
      <c r="A87" s="80" t="s">
        <v>68</v>
      </c>
      <c r="B87" s="81">
        <v>64.30293571756215</v>
      </c>
      <c r="C87" s="90">
        <v>64.556213099076857</v>
      </c>
      <c r="D87" s="90">
        <v>65.617979706766391</v>
      </c>
      <c r="E87" s="90">
        <v>65.722478380979226</v>
      </c>
      <c r="F87" s="90">
        <v>65.312367323118252</v>
      </c>
      <c r="G87" s="90">
        <v>66.651490279307467</v>
      </c>
      <c r="H87" s="90">
        <v>67.64307194233966</v>
      </c>
      <c r="I87" s="90">
        <v>67.984832560087966</v>
      </c>
      <c r="J87" s="90">
        <v>67.096816492616711</v>
      </c>
      <c r="K87" s="90">
        <v>67.569657559623124</v>
      </c>
      <c r="L87" s="81">
        <v>67.993542939027222</v>
      </c>
      <c r="M87" s="90">
        <v>68.910660367751461</v>
      </c>
      <c r="N87" s="82">
        <v>70.022501753738197</v>
      </c>
      <c r="O87" s="90">
        <v>69.9545809774866</v>
      </c>
    </row>
    <row r="88" spans="1:15" x14ac:dyDescent="0.2">
      <c r="A88" s="80" t="s">
        <v>67</v>
      </c>
      <c r="B88" s="81">
        <v>59.416273334679431</v>
      </c>
      <c r="C88" s="90">
        <v>59.871044208809622</v>
      </c>
      <c r="D88" s="90">
        <v>61.477239193915246</v>
      </c>
      <c r="E88" s="90">
        <v>61.92642260859509</v>
      </c>
      <c r="F88" s="90">
        <v>61.896549467460844</v>
      </c>
      <c r="G88" s="90">
        <v>63.691951221356057</v>
      </c>
      <c r="H88" s="90">
        <v>63.624926178974775</v>
      </c>
      <c r="I88" s="90">
        <v>64.163000314238161</v>
      </c>
      <c r="J88" s="90">
        <v>65.199312244207235</v>
      </c>
      <c r="K88" s="90">
        <v>65.024751011837651</v>
      </c>
      <c r="L88" s="81">
        <v>64.660202286797869</v>
      </c>
      <c r="M88" s="90">
        <v>63.580746969748105</v>
      </c>
      <c r="N88" s="82">
        <v>64.876286181940102</v>
      </c>
      <c r="O88" s="90">
        <v>65.222879145972797</v>
      </c>
    </row>
    <row r="89" spans="1:15" x14ac:dyDescent="0.2">
      <c r="A89" s="80" t="s">
        <v>66</v>
      </c>
      <c r="B89" s="81">
        <v>82.385214558996196</v>
      </c>
      <c r="C89" s="90">
        <v>81.492981563185865</v>
      </c>
      <c r="D89" s="90">
        <v>81.711909316392791</v>
      </c>
      <c r="E89" s="90">
        <v>81.247112427076445</v>
      </c>
      <c r="F89" s="90">
        <v>80.127619351684714</v>
      </c>
      <c r="G89" s="90">
        <v>80.38968704348288</v>
      </c>
      <c r="H89" s="90">
        <v>80.708031578759915</v>
      </c>
      <c r="I89" s="90">
        <v>81.265772749861625</v>
      </c>
      <c r="J89" s="90">
        <v>81.429669742775474</v>
      </c>
      <c r="K89" s="90">
        <v>81.854440558722786</v>
      </c>
      <c r="L89" s="81">
        <v>81.185428685339389</v>
      </c>
      <c r="M89" s="90">
        <v>77.6416046018023</v>
      </c>
      <c r="N89" s="82">
        <v>78.214034888900201</v>
      </c>
      <c r="O89" s="90">
        <v>78.1285813039147</v>
      </c>
    </row>
    <row r="90" spans="1:15" x14ac:dyDescent="0.2">
      <c r="A90" s="80" t="s">
        <v>65</v>
      </c>
      <c r="B90" s="81">
        <v>84.598187948257731</v>
      </c>
      <c r="C90" s="90">
        <v>85.659766712663014</v>
      </c>
      <c r="D90" s="90">
        <v>86.629795532484806</v>
      </c>
      <c r="E90" s="90">
        <v>88.108235197484404</v>
      </c>
      <c r="F90" s="90">
        <v>87.985517622152827</v>
      </c>
      <c r="G90" s="90">
        <v>88.268837071936346</v>
      </c>
      <c r="H90" s="90">
        <v>88.278624126487358</v>
      </c>
      <c r="I90" s="90">
        <v>89.89990081430895</v>
      </c>
      <c r="J90" s="90">
        <v>89.099323301981485</v>
      </c>
      <c r="K90" s="90">
        <v>89.065423960628436</v>
      </c>
      <c r="L90" s="81">
        <v>89.972431525243849</v>
      </c>
      <c r="M90" s="90">
        <v>89.356864036660397</v>
      </c>
      <c r="N90" s="82">
        <v>90.925197746758698</v>
      </c>
      <c r="O90" s="90">
        <v>91.286792366452204</v>
      </c>
    </row>
    <row r="91" spans="1:15" x14ac:dyDescent="0.2">
      <c r="A91" s="80" t="s">
        <v>64</v>
      </c>
      <c r="B91" s="81">
        <v>67.68163956597175</v>
      </c>
      <c r="C91" s="90">
        <v>67.341664581332097</v>
      </c>
      <c r="D91" s="90">
        <v>67.153191014578397</v>
      </c>
      <c r="E91" s="90">
        <v>66.711595931100021</v>
      </c>
      <c r="F91" s="90">
        <v>66.414405898081284</v>
      </c>
      <c r="G91" s="90">
        <v>66.372735203241405</v>
      </c>
      <c r="H91" s="90">
        <v>66.948059203530235</v>
      </c>
      <c r="I91" s="90">
        <v>67.218280575051296</v>
      </c>
      <c r="J91" s="90">
        <v>68.556569047541473</v>
      </c>
      <c r="K91" s="90">
        <v>68.495415668128032</v>
      </c>
      <c r="L91" s="81">
        <v>69.474003445429858</v>
      </c>
      <c r="M91" s="90">
        <v>69.323464736661478</v>
      </c>
      <c r="N91" s="82">
        <v>69.730692277390901</v>
      </c>
      <c r="O91" s="90">
        <v>69.681324776825605</v>
      </c>
    </row>
    <row r="92" spans="1:15" x14ac:dyDescent="0.2">
      <c r="A92" s="80" t="s">
        <v>63</v>
      </c>
      <c r="B92" s="81">
        <v>73.119098175777879</v>
      </c>
      <c r="C92" s="90">
        <v>73.713143158559191</v>
      </c>
      <c r="D92" s="90">
        <v>75.094417112004123</v>
      </c>
      <c r="E92" s="90">
        <v>74.834954350863512</v>
      </c>
      <c r="F92" s="90">
        <v>74.05925544998064</v>
      </c>
      <c r="G92" s="90">
        <v>74.534742127670029</v>
      </c>
      <c r="H92" s="90">
        <v>75.874523224840459</v>
      </c>
      <c r="I92" s="90">
        <v>76.995854178743826</v>
      </c>
      <c r="J92" s="90">
        <v>78.249070408037994</v>
      </c>
      <c r="K92" s="90">
        <v>79.276016934735608</v>
      </c>
      <c r="L92" s="81">
        <v>79.163594582754811</v>
      </c>
      <c r="M92" s="90">
        <v>78.519910071853715</v>
      </c>
      <c r="N92" s="82">
        <v>79.302407360016403</v>
      </c>
      <c r="O92" s="90">
        <v>79.429478336851901</v>
      </c>
    </row>
    <row r="93" spans="1:15" x14ac:dyDescent="0.2">
      <c r="A93" s="80" t="s">
        <v>62</v>
      </c>
      <c r="B93" s="81">
        <v>62.513552774344255</v>
      </c>
      <c r="C93" s="90">
        <v>62.862737163492483</v>
      </c>
      <c r="D93" s="90">
        <v>63.397373468095864</v>
      </c>
      <c r="E93" s="90">
        <v>63.776615875984994</v>
      </c>
      <c r="F93" s="90">
        <v>64.305447599404616</v>
      </c>
      <c r="G93" s="90">
        <v>63.078761313583669</v>
      </c>
      <c r="H93" s="90">
        <v>63.946145560333981</v>
      </c>
      <c r="I93" s="90">
        <v>64.314406348560667</v>
      </c>
      <c r="J93" s="90">
        <v>64.175972719921873</v>
      </c>
      <c r="K93" s="90">
        <v>64.914810515233867</v>
      </c>
      <c r="L93" s="81">
        <v>65.145114532534677</v>
      </c>
      <c r="M93" s="90">
        <v>66.176936970106979</v>
      </c>
      <c r="N93" s="82">
        <v>67.096363222282406</v>
      </c>
      <c r="O93" s="90">
        <v>67.436359073844599</v>
      </c>
    </row>
    <row r="94" spans="1:15" x14ac:dyDescent="0.2">
      <c r="A94" s="80" t="s">
        <v>61</v>
      </c>
      <c r="B94" s="81">
        <v>68.256287268612724</v>
      </c>
      <c r="C94" s="90">
        <v>68.423456854016322</v>
      </c>
      <c r="D94" s="90">
        <v>69.956815471351732</v>
      </c>
      <c r="E94" s="90">
        <v>68.421416980313396</v>
      </c>
      <c r="F94" s="90">
        <v>69.136575139594825</v>
      </c>
      <c r="G94" s="90">
        <v>69.494131861755946</v>
      </c>
      <c r="H94" s="90">
        <v>70.668309956782991</v>
      </c>
      <c r="I94" s="90">
        <v>71.688387303708538</v>
      </c>
      <c r="J94" s="90">
        <v>72.608929158094355</v>
      </c>
      <c r="K94" s="90">
        <v>72.648680284014745</v>
      </c>
      <c r="L94" s="81">
        <v>73.242687055926083</v>
      </c>
      <c r="M94" s="90">
        <v>74.006477745254529</v>
      </c>
      <c r="N94" s="82">
        <v>74.321448683392106</v>
      </c>
      <c r="O94" s="90">
        <v>74.534177816454601</v>
      </c>
    </row>
    <row r="95" spans="1:15" x14ac:dyDescent="0.2">
      <c r="A95" s="80" t="s">
        <v>60</v>
      </c>
      <c r="B95" s="81">
        <v>85.42504266670403</v>
      </c>
      <c r="C95" s="90">
        <v>85.037466641101645</v>
      </c>
      <c r="D95" s="90">
        <v>85.610952789721438</v>
      </c>
      <c r="E95" s="90">
        <v>85.1798899030901</v>
      </c>
      <c r="F95" s="90">
        <v>84.512922472667967</v>
      </c>
      <c r="G95" s="90">
        <v>83.944063357860657</v>
      </c>
      <c r="H95" s="90">
        <v>84.955680642295761</v>
      </c>
      <c r="I95" s="90">
        <v>84.974574568109063</v>
      </c>
      <c r="J95" s="90">
        <v>85.730001424328961</v>
      </c>
      <c r="K95" s="90">
        <v>85.426712128908662</v>
      </c>
      <c r="L95" s="81">
        <v>85.772688697912585</v>
      </c>
      <c r="M95" s="90">
        <v>87.103353255183208</v>
      </c>
      <c r="N95" s="82">
        <v>87.150898197081204</v>
      </c>
      <c r="O95" s="90">
        <v>86.3730749918182</v>
      </c>
    </row>
    <row r="96" spans="1:15" x14ac:dyDescent="0.2">
      <c r="A96" s="80" t="s">
        <v>59</v>
      </c>
      <c r="B96" s="81">
        <v>76.858071016542269</v>
      </c>
      <c r="C96" s="90">
        <v>77.144775855324383</v>
      </c>
      <c r="D96" s="90">
        <v>77.440888826395209</v>
      </c>
      <c r="E96" s="90">
        <v>77.533064986369382</v>
      </c>
      <c r="F96" s="90">
        <v>77.420408934903605</v>
      </c>
      <c r="G96" s="90">
        <v>77.820344863218338</v>
      </c>
      <c r="H96" s="90">
        <v>78.111381465689888</v>
      </c>
      <c r="I96" s="90">
        <v>80.142251503427346</v>
      </c>
      <c r="J96" s="90">
        <v>79.559356915972046</v>
      </c>
      <c r="K96" s="90">
        <v>79.747908706718604</v>
      </c>
      <c r="L96" s="81">
        <v>80.284922193083801</v>
      </c>
      <c r="M96" s="90">
        <v>80.772663777639252</v>
      </c>
      <c r="N96" s="82">
        <v>81.488161795429605</v>
      </c>
      <c r="O96" s="90">
        <v>80.410982764848498</v>
      </c>
    </row>
    <row r="97" spans="1:15" x14ac:dyDescent="0.2">
      <c r="A97" s="80" t="s">
        <v>58</v>
      </c>
      <c r="B97" s="81">
        <v>62.586277059123923</v>
      </c>
      <c r="C97" s="90">
        <v>62.628826704221261</v>
      </c>
      <c r="D97" s="90">
        <v>64.285373543997977</v>
      </c>
      <c r="E97" s="90">
        <v>64.292684373799162</v>
      </c>
      <c r="F97" s="90">
        <v>64.67753397383639</v>
      </c>
      <c r="G97" s="90">
        <v>65.31295009160371</v>
      </c>
      <c r="H97" s="90">
        <v>65.52092101888087</v>
      </c>
      <c r="I97" s="90">
        <v>66.145645711626045</v>
      </c>
      <c r="J97" s="90">
        <v>66.323111510494485</v>
      </c>
      <c r="K97" s="90">
        <v>67.900920788358917</v>
      </c>
      <c r="L97" s="81">
        <v>68.296205237472918</v>
      </c>
      <c r="M97" s="90">
        <v>69.461827770766206</v>
      </c>
      <c r="N97" s="82">
        <v>70.378787357398807</v>
      </c>
      <c r="O97" s="90">
        <v>71.051978892717898</v>
      </c>
    </row>
    <row r="98" spans="1:15" x14ac:dyDescent="0.2">
      <c r="A98" s="80" t="s">
        <v>57</v>
      </c>
      <c r="B98" s="81">
        <v>59.908778990083171</v>
      </c>
      <c r="C98" s="90">
        <v>59.841809981005433</v>
      </c>
      <c r="D98" s="90">
        <v>60.520833548527307</v>
      </c>
      <c r="E98" s="90">
        <v>60.72359231048128</v>
      </c>
      <c r="F98" s="90">
        <v>60.635152688243231</v>
      </c>
      <c r="G98" s="90">
        <v>59.995589535602946</v>
      </c>
      <c r="H98" s="90">
        <v>61.018022754586788</v>
      </c>
      <c r="I98" s="90">
        <v>61.730602233780111</v>
      </c>
      <c r="J98" s="90">
        <v>61.754969468414551</v>
      </c>
      <c r="K98" s="90">
        <v>62.71818460388976</v>
      </c>
      <c r="L98" s="81">
        <v>62.907534846382163</v>
      </c>
      <c r="M98" s="90">
        <v>62.699301562878127</v>
      </c>
      <c r="N98" s="82">
        <v>63.172811572588898</v>
      </c>
      <c r="O98" s="90">
        <v>63.194051330357901</v>
      </c>
    </row>
    <row r="99" spans="1:15" x14ac:dyDescent="0.2">
      <c r="A99" s="80" t="s">
        <v>56</v>
      </c>
      <c r="B99" s="81">
        <v>61.858521243948893</v>
      </c>
      <c r="C99" s="90">
        <v>60.144154007203987</v>
      </c>
      <c r="D99" s="90">
        <v>60.729004654506866</v>
      </c>
      <c r="E99" s="90">
        <v>60.58871547334936</v>
      </c>
      <c r="F99" s="90">
        <v>62.017823359496603</v>
      </c>
      <c r="G99" s="90">
        <v>62.016658076366269</v>
      </c>
      <c r="H99" s="90">
        <v>63.033768499174478</v>
      </c>
      <c r="I99" s="90">
        <v>63.617948253057506</v>
      </c>
      <c r="J99" s="90">
        <v>64.509709994722712</v>
      </c>
      <c r="K99" s="90">
        <v>65.477656245108776</v>
      </c>
      <c r="L99" s="81">
        <v>64.977094636222205</v>
      </c>
      <c r="M99" s="90">
        <v>65.378816250045034</v>
      </c>
      <c r="N99" s="82">
        <v>65.550947179208706</v>
      </c>
      <c r="O99" s="90">
        <v>66.251072694207807</v>
      </c>
    </row>
    <row r="100" spans="1:15" x14ac:dyDescent="0.2">
      <c r="A100" s="79" t="s">
        <v>55</v>
      </c>
      <c r="B100" s="386">
        <v>64.655358429163115</v>
      </c>
      <c r="C100" s="388">
        <v>65.119464668256001</v>
      </c>
      <c r="D100" s="388">
        <v>65.370675511238019</v>
      </c>
      <c r="E100" s="388">
        <v>65.446274670187449</v>
      </c>
      <c r="F100" s="388">
        <v>65.231487903321138</v>
      </c>
      <c r="G100" s="388">
        <v>65.296521092577507</v>
      </c>
      <c r="H100" s="388">
        <v>65.649687210130381</v>
      </c>
      <c r="I100" s="388">
        <v>65.999382664202201</v>
      </c>
      <c r="J100" s="388">
        <v>66.222394267495986</v>
      </c>
      <c r="K100" s="388">
        <v>66.8479784573057</v>
      </c>
      <c r="L100" s="386">
        <v>66.555793788982413</v>
      </c>
      <c r="M100" s="388">
        <v>66.978299857119083</v>
      </c>
      <c r="N100" s="382">
        <v>67.950301909829307</v>
      </c>
      <c r="O100" s="188">
        <v>68.170849628840699</v>
      </c>
    </row>
    <row r="101" spans="1:15" x14ac:dyDescent="0.2">
      <c r="A101" s="80" t="s">
        <v>54</v>
      </c>
      <c r="B101" s="81">
        <v>70.763964394718485</v>
      </c>
      <c r="C101" s="90">
        <v>70.81763086019923</v>
      </c>
      <c r="D101" s="90">
        <v>70.620250706190902</v>
      </c>
      <c r="E101" s="90">
        <v>70.490201208808131</v>
      </c>
      <c r="F101" s="90">
        <v>70.066144721425232</v>
      </c>
      <c r="G101" s="90">
        <v>69.944617315825781</v>
      </c>
      <c r="H101" s="90">
        <v>69.69490122231926</v>
      </c>
      <c r="I101" s="90">
        <v>69.761899003297444</v>
      </c>
      <c r="J101" s="90">
        <v>69.681706766329924</v>
      </c>
      <c r="K101" s="90">
        <v>70.209623280271487</v>
      </c>
      <c r="L101" s="81">
        <v>69.348201293640628</v>
      </c>
      <c r="M101" s="90">
        <v>69.783029779379618</v>
      </c>
      <c r="N101" s="82">
        <v>70.9041090049828</v>
      </c>
      <c r="O101" s="90">
        <v>71.294257075026806</v>
      </c>
    </row>
    <row r="102" spans="1:15" x14ac:dyDescent="0.2">
      <c r="A102" s="80" t="s">
        <v>53</v>
      </c>
      <c r="B102" s="81">
        <v>64.658699489376872</v>
      </c>
      <c r="C102" s="90">
        <v>64.368800405000798</v>
      </c>
      <c r="D102" s="90">
        <v>65.065543801801468</v>
      </c>
      <c r="E102" s="90">
        <v>65.207968046305993</v>
      </c>
      <c r="F102" s="90">
        <v>65.076240598199547</v>
      </c>
      <c r="G102" s="90">
        <v>65.246077917220433</v>
      </c>
      <c r="H102" s="90">
        <v>65.65364130155686</v>
      </c>
      <c r="I102" s="90">
        <v>66.019999179157935</v>
      </c>
      <c r="J102" s="90">
        <v>66.034575121530025</v>
      </c>
      <c r="K102" s="90">
        <v>66.609485334987866</v>
      </c>
      <c r="L102" s="81">
        <v>66.230566146760381</v>
      </c>
      <c r="M102" s="90">
        <v>66.838887292143752</v>
      </c>
      <c r="N102" s="82">
        <v>67.827611789764902</v>
      </c>
      <c r="O102" s="90">
        <v>67.782517680915106</v>
      </c>
    </row>
    <row r="103" spans="1:15" x14ac:dyDescent="0.2">
      <c r="A103" s="80" t="s">
        <v>52</v>
      </c>
      <c r="B103" s="81">
        <v>66.035100178176108</v>
      </c>
      <c r="C103" s="90">
        <v>66.078801703041265</v>
      </c>
      <c r="D103" s="90">
        <v>66.958053451703762</v>
      </c>
      <c r="E103" s="90">
        <v>67.223799132717133</v>
      </c>
      <c r="F103" s="90">
        <v>67.343775124639137</v>
      </c>
      <c r="G103" s="90">
        <v>67.426562725572168</v>
      </c>
      <c r="H103" s="90">
        <v>67.730494795784779</v>
      </c>
      <c r="I103" s="90">
        <v>69.049847717124422</v>
      </c>
      <c r="J103" s="90">
        <v>71.200689208131308</v>
      </c>
      <c r="K103" s="90">
        <v>71.769656429127863</v>
      </c>
      <c r="L103" s="81">
        <v>71.732539693490281</v>
      </c>
      <c r="M103" s="90">
        <v>73.118498840683444</v>
      </c>
      <c r="N103" s="82">
        <v>72.982684666243202</v>
      </c>
      <c r="O103" s="90">
        <v>73.111522992959493</v>
      </c>
    </row>
    <row r="104" spans="1:15" x14ac:dyDescent="0.2">
      <c r="A104" s="80" t="s">
        <v>51</v>
      </c>
      <c r="B104" s="81">
        <v>63.801256799415263</v>
      </c>
      <c r="C104" s="90">
        <v>63.89862008342201</v>
      </c>
      <c r="D104" s="90">
        <v>64.267082919220954</v>
      </c>
      <c r="E104" s="90">
        <v>64.195592991495118</v>
      </c>
      <c r="F104" s="90">
        <v>64.005827688940514</v>
      </c>
      <c r="G104" s="90">
        <v>64.434499033842954</v>
      </c>
      <c r="H104" s="90">
        <v>65.170902380560563</v>
      </c>
      <c r="I104" s="90">
        <v>65.479024888315664</v>
      </c>
      <c r="J104" s="90">
        <v>65.739825628428903</v>
      </c>
      <c r="K104" s="90">
        <v>66.94475633893849</v>
      </c>
      <c r="L104" s="81">
        <v>67.617558639532746</v>
      </c>
      <c r="M104" s="90">
        <v>67.432622354895955</v>
      </c>
      <c r="N104" s="82">
        <v>68.285009125298899</v>
      </c>
      <c r="O104" s="90">
        <v>68.198646111032303</v>
      </c>
    </row>
    <row r="105" spans="1:15" x14ac:dyDescent="0.2">
      <c r="A105" s="80" t="s">
        <v>50</v>
      </c>
      <c r="B105" s="81">
        <v>52.505667112976973</v>
      </c>
      <c r="C105" s="90">
        <v>55.193725604162388</v>
      </c>
      <c r="D105" s="90">
        <v>55.397425916143938</v>
      </c>
      <c r="E105" s="90">
        <v>55.819652304373321</v>
      </c>
      <c r="F105" s="90">
        <v>55.728758695064613</v>
      </c>
      <c r="G105" s="90">
        <v>55.663554539639925</v>
      </c>
      <c r="H105" s="90">
        <v>56.761809346362405</v>
      </c>
      <c r="I105" s="90">
        <v>57.216494792347042</v>
      </c>
      <c r="J105" s="90">
        <v>57.421154029931778</v>
      </c>
      <c r="K105" s="90">
        <v>57.847905301649703</v>
      </c>
      <c r="L105" s="81">
        <v>57.986640771088858</v>
      </c>
      <c r="M105" s="90">
        <v>58.306324935999534</v>
      </c>
      <c r="N105" s="82">
        <v>59.529031974439398</v>
      </c>
      <c r="O105" s="90">
        <v>59.9987719300672</v>
      </c>
    </row>
    <row r="106" spans="1:15" x14ac:dyDescent="0.2">
      <c r="A106" s="79" t="s">
        <v>49</v>
      </c>
      <c r="B106" s="386">
        <v>75.698170595457896</v>
      </c>
      <c r="C106" s="388">
        <v>75.737254433259764</v>
      </c>
      <c r="D106" s="388">
        <v>76.39589501576674</v>
      </c>
      <c r="E106" s="388">
        <v>76.502488087116518</v>
      </c>
      <c r="F106" s="388">
        <v>76.416770545035149</v>
      </c>
      <c r="G106" s="388">
        <v>75.799815949064723</v>
      </c>
      <c r="H106" s="388">
        <v>76.091040382969638</v>
      </c>
      <c r="I106" s="388">
        <v>76.675481366509104</v>
      </c>
      <c r="J106" s="388">
        <v>76.948618649841194</v>
      </c>
      <c r="K106" s="388">
        <v>77.194597088243967</v>
      </c>
      <c r="L106" s="386">
        <v>77.287134089681118</v>
      </c>
      <c r="M106" s="388">
        <v>77.032173611576184</v>
      </c>
      <c r="N106" s="382">
        <v>77.881584980743895</v>
      </c>
      <c r="O106" s="188">
        <v>78.674544936485802</v>
      </c>
    </row>
    <row r="107" spans="1:15" x14ac:dyDescent="0.2">
      <c r="A107" s="80" t="s">
        <v>48</v>
      </c>
      <c r="B107" s="81">
        <v>72.968010047074472</v>
      </c>
      <c r="C107" s="90">
        <v>73.242232043142693</v>
      </c>
      <c r="D107" s="90">
        <v>74.830061168029559</v>
      </c>
      <c r="E107" s="90">
        <v>75.337253243085883</v>
      </c>
      <c r="F107" s="90">
        <v>74.229663330380902</v>
      </c>
      <c r="G107" s="90">
        <v>75.418307804979506</v>
      </c>
      <c r="H107" s="90">
        <v>74.555643617917852</v>
      </c>
      <c r="I107" s="90">
        <v>76.822076241495111</v>
      </c>
      <c r="J107" s="90">
        <v>76.263332022273971</v>
      </c>
      <c r="K107" s="90">
        <v>76.315525002555461</v>
      </c>
      <c r="L107" s="81">
        <v>75.329331400671663</v>
      </c>
      <c r="M107" s="90">
        <v>76.118887783159906</v>
      </c>
      <c r="N107" s="82">
        <v>77.713352061477295</v>
      </c>
      <c r="O107" s="90">
        <v>77.625217071245999</v>
      </c>
    </row>
    <row r="108" spans="1:15" x14ac:dyDescent="0.2">
      <c r="A108" s="80" t="s">
        <v>47</v>
      </c>
      <c r="B108" s="81">
        <v>74.109267737260794</v>
      </c>
      <c r="C108" s="90">
        <v>74.556915470828301</v>
      </c>
      <c r="D108" s="90">
        <v>75.921610464218261</v>
      </c>
      <c r="E108" s="90">
        <v>76.262726287905409</v>
      </c>
      <c r="F108" s="90">
        <v>76.540688049355396</v>
      </c>
      <c r="G108" s="90">
        <v>76.362561143312533</v>
      </c>
      <c r="H108" s="90">
        <v>76.682323832917049</v>
      </c>
      <c r="I108" s="90">
        <v>77.283566587448831</v>
      </c>
      <c r="J108" s="90">
        <v>77.405301379912316</v>
      </c>
      <c r="K108" s="90">
        <v>76.803777729138915</v>
      </c>
      <c r="L108" s="81">
        <v>76.471612155849243</v>
      </c>
      <c r="M108" s="90">
        <v>75.336516333957206</v>
      </c>
      <c r="N108" s="82">
        <v>75.434858043435</v>
      </c>
      <c r="O108" s="90">
        <v>75.941087543696597</v>
      </c>
    </row>
    <row r="109" spans="1:15" x14ac:dyDescent="0.2">
      <c r="A109" s="80" t="s">
        <v>46</v>
      </c>
      <c r="B109" s="81">
        <v>80.749082809178702</v>
      </c>
      <c r="C109" s="90">
        <v>80.808494884032115</v>
      </c>
      <c r="D109" s="90">
        <v>81.621846135880546</v>
      </c>
      <c r="E109" s="90">
        <v>81.740181772469114</v>
      </c>
      <c r="F109" s="90">
        <v>81.717760761797265</v>
      </c>
      <c r="G109" s="90">
        <v>80.937652937652672</v>
      </c>
      <c r="H109" s="90">
        <v>81.419155758252302</v>
      </c>
      <c r="I109" s="90">
        <v>82.421223275226197</v>
      </c>
      <c r="J109" s="90">
        <v>82.887981129658712</v>
      </c>
      <c r="K109" s="90">
        <v>83.625217823803695</v>
      </c>
      <c r="L109" s="81">
        <v>83.843780874453216</v>
      </c>
      <c r="M109" s="90">
        <v>83.581964865024915</v>
      </c>
      <c r="N109" s="82">
        <v>84.785464010343205</v>
      </c>
      <c r="O109" s="90">
        <v>85.475978791756901</v>
      </c>
    </row>
    <row r="110" spans="1:15" x14ac:dyDescent="0.2">
      <c r="A110" s="80" t="s">
        <v>45</v>
      </c>
      <c r="B110" s="81">
        <v>81.817340465615331</v>
      </c>
      <c r="C110" s="90">
        <v>79.580662613309187</v>
      </c>
      <c r="D110" s="90">
        <v>81.727801671698373</v>
      </c>
      <c r="E110" s="90">
        <v>80.61633880022724</v>
      </c>
      <c r="F110" s="90">
        <v>80.054387392388833</v>
      </c>
      <c r="G110" s="90">
        <v>80.90825103962905</v>
      </c>
      <c r="H110" s="90">
        <v>80.885139278974094</v>
      </c>
      <c r="I110" s="90">
        <v>81.006288041116619</v>
      </c>
      <c r="J110" s="90">
        <v>82.683588885594915</v>
      </c>
      <c r="K110" s="90">
        <v>83.671852951431248</v>
      </c>
      <c r="L110" s="81">
        <v>86.196409650182403</v>
      </c>
      <c r="M110" s="90">
        <v>87.726756207904984</v>
      </c>
      <c r="N110" s="82">
        <v>90.111472171719299</v>
      </c>
      <c r="O110" s="90">
        <v>90.191546765629596</v>
      </c>
    </row>
    <row r="111" spans="1:15" x14ac:dyDescent="0.2">
      <c r="A111" s="80" t="s">
        <v>44</v>
      </c>
      <c r="B111" s="81">
        <v>69.562792441751512</v>
      </c>
      <c r="C111" s="90">
        <v>69.283538713844393</v>
      </c>
      <c r="D111" s="90">
        <v>68.782889575783742</v>
      </c>
      <c r="E111" s="90">
        <v>68.782407231704767</v>
      </c>
      <c r="F111" s="90">
        <v>68.498051232575762</v>
      </c>
      <c r="G111" s="90">
        <v>67.28014417874644</v>
      </c>
      <c r="H111" s="90">
        <v>67.184506242075358</v>
      </c>
      <c r="I111" s="90">
        <v>67.041275619747964</v>
      </c>
      <c r="J111" s="90">
        <v>67.200038508205168</v>
      </c>
      <c r="K111" s="90">
        <v>66.630013464899847</v>
      </c>
      <c r="L111" s="81">
        <v>66.72177009084885</v>
      </c>
      <c r="M111" s="90">
        <v>67.319044435553437</v>
      </c>
      <c r="N111" s="82">
        <v>67.918945498177095</v>
      </c>
      <c r="O111" s="90">
        <v>69.836840235686196</v>
      </c>
    </row>
    <row r="112" spans="1:15" x14ac:dyDescent="0.2">
      <c r="A112" s="85" t="s">
        <v>43</v>
      </c>
      <c r="B112" s="81">
        <v>71.174980638625215</v>
      </c>
      <c r="C112" s="90">
        <v>71.455357509302345</v>
      </c>
      <c r="D112" s="90">
        <v>71.750032298185161</v>
      </c>
      <c r="E112" s="90">
        <v>71.778781848075283</v>
      </c>
      <c r="F112" s="90">
        <v>71.600934585075919</v>
      </c>
      <c r="G112" s="90">
        <v>71.014534105998379</v>
      </c>
      <c r="H112" s="90">
        <v>71.84661323889209</v>
      </c>
      <c r="I112" s="90">
        <v>71.995318841003836</v>
      </c>
      <c r="J112" s="90">
        <v>71.941274310572268</v>
      </c>
      <c r="K112" s="90">
        <v>73.571445074274067</v>
      </c>
      <c r="L112" s="81">
        <v>73.898487401728516</v>
      </c>
      <c r="M112" s="90">
        <v>73.171085997335211</v>
      </c>
      <c r="N112" s="82">
        <v>74.185787996119302</v>
      </c>
      <c r="O112" s="90">
        <v>74.236102307371894</v>
      </c>
    </row>
    <row r="113" spans="1:19" x14ac:dyDescent="0.2">
      <c r="A113" s="86" t="s">
        <v>42</v>
      </c>
      <c r="B113" s="386">
        <v>73.994078108309083</v>
      </c>
      <c r="C113" s="388">
        <v>74.00278508673658</v>
      </c>
      <c r="D113" s="388">
        <v>74.380782800467713</v>
      </c>
      <c r="E113" s="388">
        <v>74.405501027845219</v>
      </c>
      <c r="F113" s="388">
        <v>74.18455970437185</v>
      </c>
      <c r="G113" s="388">
        <v>74.071014043294809</v>
      </c>
      <c r="H113" s="388">
        <v>74.597119351517648</v>
      </c>
      <c r="I113" s="388">
        <v>75.093510249660369</v>
      </c>
      <c r="J113" s="388">
        <v>75.319024056621188</v>
      </c>
      <c r="K113" s="388">
        <v>75.763969606068557</v>
      </c>
      <c r="L113" s="386">
        <v>75.687540414120747</v>
      </c>
      <c r="M113" s="388">
        <v>75.325079559951092</v>
      </c>
      <c r="N113" s="382">
        <v>76.068563657352101</v>
      </c>
      <c r="O113" s="438">
        <v>76.369460149925601</v>
      </c>
    </row>
    <row r="114" spans="1:19" x14ac:dyDescent="0.2">
      <c r="A114" s="79" t="s">
        <v>41</v>
      </c>
      <c r="B114" s="386">
        <v>82.009233170924205</v>
      </c>
      <c r="C114" s="388">
        <v>82.511804918612057</v>
      </c>
      <c r="D114" s="388">
        <v>83.949885062549569</v>
      </c>
      <c r="E114" s="388">
        <v>84.796489000183058</v>
      </c>
      <c r="F114" s="388">
        <v>85.179059243830977</v>
      </c>
      <c r="G114" s="388">
        <v>85.472365463646184</v>
      </c>
      <c r="H114" s="388">
        <v>86.438829575566189</v>
      </c>
      <c r="I114" s="388">
        <v>87.65651656991956</v>
      </c>
      <c r="J114" s="388">
        <v>89.722641289618764</v>
      </c>
      <c r="K114" s="388">
        <v>90.288234710022991</v>
      </c>
      <c r="L114" s="386">
        <v>90.028449554199113</v>
      </c>
      <c r="M114" s="388">
        <v>91.604746441154148</v>
      </c>
      <c r="N114" s="382">
        <v>92.880403228699507</v>
      </c>
      <c r="O114" s="438">
        <v>93.306648168885999</v>
      </c>
    </row>
    <row r="115" spans="1:19" x14ac:dyDescent="0.2">
      <c r="A115" s="80" t="s">
        <v>40</v>
      </c>
      <c r="B115" s="81">
        <v>84.096237249889555</v>
      </c>
      <c r="C115" s="90">
        <v>84.517845436174767</v>
      </c>
      <c r="D115" s="90">
        <v>85.546565435874228</v>
      </c>
      <c r="E115" s="90">
        <v>85.96933249209313</v>
      </c>
      <c r="F115" s="90">
        <v>86.612239327361635</v>
      </c>
      <c r="G115" s="90">
        <v>88.146342905433585</v>
      </c>
      <c r="H115" s="90">
        <v>90.030018344637753</v>
      </c>
      <c r="I115" s="90">
        <v>92.08838099635588</v>
      </c>
      <c r="J115" s="90">
        <v>93.85278926115123</v>
      </c>
      <c r="K115" s="90">
        <v>93.425542694529852</v>
      </c>
      <c r="L115" s="81">
        <v>92.320269922374507</v>
      </c>
      <c r="M115" s="90">
        <v>96.240207360407425</v>
      </c>
      <c r="N115" s="82">
        <v>96.886143662495499</v>
      </c>
      <c r="O115" s="439">
        <v>97.354719167584605</v>
      </c>
    </row>
    <row r="116" spans="1:19" x14ac:dyDescent="0.2">
      <c r="A116" s="80" t="s">
        <v>39</v>
      </c>
      <c r="B116" s="81">
        <v>94.592012316640009</v>
      </c>
      <c r="C116" s="90">
        <v>94.654665731646034</v>
      </c>
      <c r="D116" s="90">
        <v>96.318858782208508</v>
      </c>
      <c r="E116" s="90">
        <v>99.138217018695244</v>
      </c>
      <c r="F116" s="90">
        <v>99.378339082704471</v>
      </c>
      <c r="G116" s="90">
        <v>100.06419434012744</v>
      </c>
      <c r="H116" s="90">
        <v>102.16765448394634</v>
      </c>
      <c r="I116" s="90">
        <v>102.77029156910568</v>
      </c>
      <c r="J116" s="90">
        <v>104.02870577694108</v>
      </c>
      <c r="K116" s="90">
        <v>107.44979587924132</v>
      </c>
      <c r="L116" s="81">
        <v>107.74861367278417</v>
      </c>
      <c r="M116" s="90">
        <v>106.44351963263018</v>
      </c>
      <c r="N116" s="82">
        <v>109.469885595235</v>
      </c>
      <c r="O116" s="439">
        <v>108.81578528044</v>
      </c>
    </row>
    <row r="117" spans="1:19" x14ac:dyDescent="0.2">
      <c r="A117" s="80" t="s">
        <v>38</v>
      </c>
      <c r="B117" s="81">
        <v>81.239397054290862</v>
      </c>
      <c r="C117" s="90">
        <v>81.59086024855354</v>
      </c>
      <c r="D117" s="90">
        <v>83.692232128616396</v>
      </c>
      <c r="E117" s="90">
        <v>84.593600882891991</v>
      </c>
      <c r="F117" s="90">
        <v>85.856251608840765</v>
      </c>
      <c r="G117" s="90">
        <v>83.971689263441277</v>
      </c>
      <c r="H117" s="90">
        <v>82.67239247326988</v>
      </c>
      <c r="I117" s="90">
        <v>84.718742426204273</v>
      </c>
      <c r="J117" s="90">
        <v>88.289521061102164</v>
      </c>
      <c r="K117" s="90">
        <v>89.262290635737244</v>
      </c>
      <c r="L117" s="81">
        <v>88.342695666547897</v>
      </c>
      <c r="M117" s="90">
        <v>88.17373362690698</v>
      </c>
      <c r="N117" s="384">
        <v>90.545553681959305</v>
      </c>
      <c r="O117" s="255">
        <v>92.489217729191296</v>
      </c>
      <c r="P117" s="256"/>
      <c r="Q117" s="256"/>
      <c r="R117" s="256"/>
      <c r="S117" s="256"/>
    </row>
    <row r="118" spans="1:19" x14ac:dyDescent="0.2">
      <c r="A118" s="85" t="s">
        <v>37</v>
      </c>
      <c r="B118" s="81">
        <v>76.957046363196241</v>
      </c>
      <c r="C118" s="90">
        <v>77.858709439033731</v>
      </c>
      <c r="D118" s="90">
        <v>79.287385813867544</v>
      </c>
      <c r="E118" s="90">
        <v>79.538479543659392</v>
      </c>
      <c r="F118" s="90">
        <v>79.695482213804851</v>
      </c>
      <c r="G118" s="90">
        <v>79.996441989873119</v>
      </c>
      <c r="H118" s="90">
        <v>80.981709127369356</v>
      </c>
      <c r="I118" s="90">
        <v>81.98941474477067</v>
      </c>
      <c r="J118" s="90">
        <v>84.093054506324535</v>
      </c>
      <c r="K118" s="90">
        <v>83.948736703219097</v>
      </c>
      <c r="L118" s="81">
        <v>84.150618802382184</v>
      </c>
      <c r="M118" s="90">
        <v>84.714471371484521</v>
      </c>
      <c r="N118" s="83">
        <v>85.2794641756212</v>
      </c>
      <c r="O118" s="440">
        <v>85.703538404887396</v>
      </c>
      <c r="P118" s="256"/>
      <c r="Q118" s="256"/>
      <c r="R118" s="256"/>
      <c r="S118" s="256"/>
    </row>
    <row r="119" spans="1:19" ht="14.25" x14ac:dyDescent="0.2">
      <c r="A119" s="87" t="s">
        <v>36</v>
      </c>
      <c r="B119" s="387">
        <v>74.219600316823119</v>
      </c>
      <c r="C119" s="189">
        <v>74.241776165659331</v>
      </c>
      <c r="D119" s="189">
        <v>74.649499152749655</v>
      </c>
      <c r="E119" s="189">
        <v>74.697677485870088</v>
      </c>
      <c r="F119" s="189">
        <v>74.493606309483411</v>
      </c>
      <c r="G119" s="189">
        <v>74.391966509575781</v>
      </c>
      <c r="H119" s="189">
        <v>74.933566719439867</v>
      </c>
      <c r="I119" s="189">
        <v>75.451688210394337</v>
      </c>
      <c r="J119" s="189">
        <v>75.724801138829832</v>
      </c>
      <c r="K119" s="189">
        <v>76.171959826433138</v>
      </c>
      <c r="L119" s="387">
        <v>76.090469827667476</v>
      </c>
      <c r="M119" s="189">
        <v>75.784766034056872</v>
      </c>
      <c r="N119" s="385">
        <v>76.543273173215695</v>
      </c>
      <c r="O119" s="441">
        <v>76.846836413185301</v>
      </c>
      <c r="P119" s="256"/>
      <c r="Q119" s="256"/>
      <c r="R119" s="256"/>
      <c r="S119" s="256"/>
    </row>
    <row r="120" spans="1:19" x14ac:dyDescent="0.2">
      <c r="A120" s="163" t="s">
        <v>12</v>
      </c>
      <c r="B120" s="88"/>
      <c r="C120" s="88"/>
      <c r="D120" s="88"/>
      <c r="E120" s="88"/>
      <c r="F120" s="88"/>
      <c r="G120" s="77"/>
      <c r="H120" s="76"/>
      <c r="I120" s="77"/>
      <c r="J120" s="77"/>
      <c r="K120" s="77"/>
      <c r="L120" s="77"/>
    </row>
    <row r="121" spans="1:19" x14ac:dyDescent="0.2">
      <c r="A121" s="163" t="s">
        <v>222</v>
      </c>
      <c r="B121" s="89"/>
      <c r="C121" s="89"/>
      <c r="D121" s="89"/>
      <c r="E121" s="89"/>
      <c r="F121" s="89"/>
      <c r="G121" s="77"/>
      <c r="H121" s="76"/>
      <c r="I121" s="77"/>
      <c r="J121" s="77"/>
      <c r="K121" s="77"/>
      <c r="L121" s="77"/>
    </row>
    <row r="122" spans="1:19" x14ac:dyDescent="0.2">
      <c r="A122" s="397" t="s">
        <v>35</v>
      </c>
      <c r="B122" s="77"/>
      <c r="C122" s="77"/>
      <c r="D122" s="77"/>
      <c r="E122" s="77"/>
      <c r="F122" s="77"/>
      <c r="G122" s="77"/>
      <c r="H122" s="77"/>
      <c r="I122" s="77"/>
      <c r="J122" s="77"/>
      <c r="K122" s="77"/>
      <c r="L122" s="77"/>
    </row>
    <row r="123" spans="1:19" x14ac:dyDescent="0.2">
      <c r="A123" s="397" t="s">
        <v>240</v>
      </c>
      <c r="B123" s="77"/>
      <c r="C123" s="77"/>
      <c r="D123" s="77"/>
      <c r="E123" s="77"/>
      <c r="F123" s="77"/>
      <c r="G123" s="77"/>
      <c r="H123" s="77"/>
      <c r="I123" s="77"/>
      <c r="J123" s="77"/>
      <c r="K123" s="77"/>
      <c r="L123" s="77"/>
    </row>
    <row r="124" spans="1:19" x14ac:dyDescent="0.2">
      <c r="A124" s="415" t="s">
        <v>276</v>
      </c>
    </row>
    <row r="127" spans="1:19" x14ac:dyDescent="0.2">
      <c r="D127" s="288"/>
    </row>
    <row r="128" spans="1:19" x14ac:dyDescent="0.2">
      <c r="D128" s="288"/>
    </row>
    <row r="129" spans="4:4" x14ac:dyDescent="0.2">
      <c r="D129" s="290"/>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workbookViewId="0">
      <pane xSplit="1" ySplit="3" topLeftCell="B4" activePane="bottomRight" state="frozen"/>
      <selection pane="topRight" activeCell="B1" sqref="B1"/>
      <selection pane="bottomLeft" activeCell="A3" sqref="A3"/>
      <selection pane="bottomRight"/>
    </sheetView>
  </sheetViews>
  <sheetFormatPr baseColWidth="10" defaultRowHeight="12.75" x14ac:dyDescent="0.2"/>
  <cols>
    <col min="1" max="1" width="14" style="46" customWidth="1"/>
    <col min="2" max="11" width="10.42578125" style="46" customWidth="1"/>
    <col min="12" max="16384" width="11.42578125" style="46"/>
  </cols>
  <sheetData>
    <row r="1" spans="1:14" x14ac:dyDescent="0.2">
      <c r="A1" s="51" t="s">
        <v>251</v>
      </c>
    </row>
    <row r="2" spans="1:14" x14ac:dyDescent="0.2">
      <c r="A2" s="46" t="s">
        <v>26</v>
      </c>
    </row>
    <row r="3" spans="1:14" ht="14.25" x14ac:dyDescent="0.2">
      <c r="A3" s="49"/>
      <c r="B3" s="98">
        <v>2009</v>
      </c>
      <c r="C3" s="98">
        <v>2013</v>
      </c>
      <c r="D3" s="98">
        <v>2014</v>
      </c>
      <c r="E3" s="98">
        <v>2015</v>
      </c>
      <c r="F3" s="98">
        <v>2016</v>
      </c>
      <c r="G3" s="98">
        <v>2017</v>
      </c>
      <c r="H3" s="98">
        <v>2018</v>
      </c>
      <c r="I3" s="98">
        <v>2019</v>
      </c>
      <c r="J3" s="98">
        <v>2020</v>
      </c>
      <c r="K3" s="98">
        <v>2021</v>
      </c>
      <c r="L3" s="98">
        <v>2022</v>
      </c>
      <c r="M3" s="98" t="s">
        <v>246</v>
      </c>
      <c r="N3" s="98" t="s">
        <v>247</v>
      </c>
    </row>
    <row r="4" spans="1:14" x14ac:dyDescent="0.2">
      <c r="A4" s="50" t="s">
        <v>18</v>
      </c>
      <c r="B4" s="97">
        <v>4.7</v>
      </c>
      <c r="C4" s="97">
        <v>10.5</v>
      </c>
      <c r="D4" s="97">
        <v>9.6</v>
      </c>
      <c r="E4" s="97">
        <v>9.6</v>
      </c>
      <c r="F4" s="97">
        <v>10.9</v>
      </c>
      <c r="G4" s="97">
        <v>11.6</v>
      </c>
      <c r="H4" s="97">
        <v>13.1</v>
      </c>
      <c r="I4" s="97">
        <v>13.4</v>
      </c>
      <c r="J4" s="97">
        <v>13.7</v>
      </c>
      <c r="K4" s="97">
        <v>12.6</v>
      </c>
      <c r="L4" s="97">
        <v>12.2</v>
      </c>
      <c r="M4" s="97">
        <v>12.1</v>
      </c>
      <c r="N4" s="262">
        <v>12</v>
      </c>
    </row>
    <row r="5" spans="1:14" x14ac:dyDescent="0.2">
      <c r="A5" s="49" t="s">
        <v>153</v>
      </c>
      <c r="B5" s="97">
        <v>8.1</v>
      </c>
      <c r="C5" s="97">
        <v>7.1</v>
      </c>
      <c r="D5" s="97">
        <v>7.8</v>
      </c>
      <c r="E5" s="97">
        <v>9.1</v>
      </c>
      <c r="F5" s="97">
        <v>10</v>
      </c>
      <c r="G5" s="97">
        <v>9.9</v>
      </c>
      <c r="H5" s="97">
        <v>8.4</v>
      </c>
      <c r="I5" s="97">
        <v>7.8</v>
      </c>
      <c r="J5" s="97">
        <v>8.5</v>
      </c>
      <c r="K5" s="97">
        <v>8.4</v>
      </c>
      <c r="L5" s="97">
        <v>8.6999999999999993</v>
      </c>
      <c r="M5" s="97">
        <v>8.4</v>
      </c>
      <c r="N5" s="262">
        <v>10</v>
      </c>
    </row>
    <row r="6" spans="1:14" s="51" customFormat="1" x14ac:dyDescent="0.2">
      <c r="A6" s="48" t="s">
        <v>3</v>
      </c>
      <c r="B6" s="139">
        <v>12.8</v>
      </c>
      <c r="C6" s="139">
        <v>17.600000000000001</v>
      </c>
      <c r="D6" s="139">
        <v>17.399999999999999</v>
      </c>
      <c r="E6" s="139">
        <v>18.7</v>
      </c>
      <c r="F6" s="139">
        <v>20.9</v>
      </c>
      <c r="G6" s="139">
        <v>21.5</v>
      </c>
      <c r="H6" s="139">
        <v>21.5</v>
      </c>
      <c r="I6" s="139">
        <v>21.2</v>
      </c>
      <c r="J6" s="139">
        <v>22.1</v>
      </c>
      <c r="K6" s="190">
        <v>21</v>
      </c>
      <c r="L6" s="190">
        <v>21</v>
      </c>
      <c r="M6" s="190">
        <v>20.5</v>
      </c>
      <c r="N6" s="190">
        <v>22</v>
      </c>
    </row>
    <row r="7" spans="1:14" x14ac:dyDescent="0.2">
      <c r="A7" s="164" t="s">
        <v>250</v>
      </c>
    </row>
    <row r="8" spans="1:14" x14ac:dyDescent="0.2">
      <c r="A8" s="164" t="s">
        <v>152</v>
      </c>
    </row>
    <row r="9" spans="1:14" ht="24" customHeight="1" x14ac:dyDescent="0.2">
      <c r="A9" s="473" t="s">
        <v>248</v>
      </c>
      <c r="B9" s="474"/>
      <c r="C9" s="474"/>
      <c r="D9" s="474"/>
      <c r="E9" s="474"/>
      <c r="F9" s="474"/>
      <c r="G9" s="474"/>
      <c r="H9" s="474"/>
      <c r="I9" s="474"/>
      <c r="J9" s="474"/>
      <c r="K9" s="474"/>
      <c r="L9" s="474"/>
      <c r="M9" s="474"/>
      <c r="N9" s="474"/>
    </row>
    <row r="10" spans="1:14" ht="19.5" customHeight="1" x14ac:dyDescent="0.2">
      <c r="A10" s="473" t="s">
        <v>258</v>
      </c>
      <c r="B10" s="474"/>
      <c r="C10" s="474"/>
      <c r="D10" s="474"/>
      <c r="E10" s="474"/>
      <c r="F10" s="474"/>
      <c r="G10" s="474"/>
      <c r="H10" s="474"/>
      <c r="I10" s="474"/>
      <c r="J10" s="474"/>
      <c r="K10" s="474"/>
      <c r="L10" s="474"/>
      <c r="M10" s="474"/>
      <c r="N10" s="474"/>
    </row>
    <row r="11" spans="1:14" x14ac:dyDescent="0.2">
      <c r="A11" s="442" t="s">
        <v>244</v>
      </c>
    </row>
    <row r="20" spans="9:9" x14ac:dyDescent="0.2">
      <c r="I20" s="47"/>
    </row>
  </sheetData>
  <mergeCells count="2">
    <mergeCell ref="A10:N10"/>
    <mergeCell ref="A9:N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SOMMAIRE</vt:lpstr>
      <vt:lpstr>AVERTISSEMENT</vt:lpstr>
      <vt:lpstr>Figure 1 statut</vt:lpstr>
      <vt:lpstr>Figure 2 statut</vt:lpstr>
      <vt:lpstr>Figure 1 catégorie</vt:lpstr>
      <vt:lpstr>Figure 2 catégorie</vt:lpstr>
      <vt:lpstr>Figure 3 catégorie</vt:lpstr>
      <vt:lpstr>Figure 4 catégorie</vt:lpstr>
      <vt:lpstr>Figure 1 loc</vt:lpstr>
      <vt:lpstr>Figure 2 loc</vt:lpstr>
      <vt:lpstr>Figure 3 loc</vt:lpstr>
      <vt:lpstr>Figure 4 loc</vt:lpstr>
      <vt:lpstr>Figure 5 loc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BARADJI Eva</dc:creator>
  <cp:lastModifiedBy>GODEFROY Pascal</cp:lastModifiedBy>
  <cp:lastPrinted>2014-08-07T17:27:01Z</cp:lastPrinted>
  <dcterms:created xsi:type="dcterms:W3CDTF">2012-08-08T12:04:57Z</dcterms:created>
  <dcterms:modified xsi:type="dcterms:W3CDTF">2026-08-19T08:21:47Z</dcterms:modified>
</cp:coreProperties>
</file>