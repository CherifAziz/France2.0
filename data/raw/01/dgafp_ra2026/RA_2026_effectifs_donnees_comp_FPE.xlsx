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24226"/>
  <mc:AlternateContent xmlns:mc="http://schemas.openxmlformats.org/markup-compatibility/2006">
    <mc:Choice Requires="x15">
      <x15ac:absPath xmlns:x15ac="http://schemas.microsoft.com/office/spreadsheetml/2010/11/ac" url="Z:\Travaux B3 par thèmes\01 Emploi public\02 - Rapport annuel\RA 2025-2026\03 - Données complémentaires\1_Effectifs\6 - Final\"/>
    </mc:Choice>
  </mc:AlternateContent>
  <xr:revisionPtr revIDLastSave="0" documentId="13_ncr:1_{8DE81609-1A6B-4D94-8F51-2FD70489280C}" xr6:coauthVersionLast="47" xr6:coauthVersionMax="47" xr10:uidLastSave="{00000000-0000-0000-0000-000000000000}"/>
  <bookViews>
    <workbookView xWindow="-120" yWindow="-120" windowWidth="29040" windowHeight="15720" tabRatio="805" xr2:uid="{00000000-000D-0000-FFFF-FFFF00000000}"/>
  </bookViews>
  <sheets>
    <sheet name="SOMMAIRE" sheetId="13" r:id="rId1"/>
    <sheet name="AVERTISSEMENT" sheetId="22" r:id="rId2"/>
    <sheet name="Figure 1" sheetId="6" r:id="rId3"/>
    <sheet name="Figure 2" sheetId="4" r:id="rId4"/>
    <sheet name="Définitions" sheetId="21" r:id="rId5"/>
    <sheet name="Figure 3" sheetId="16" r:id="rId6"/>
    <sheet name="Figure 4" sheetId="20" r:id="rId7"/>
  </sheets>
  <externalReferences>
    <externalReference r:id="rId8"/>
  </externalReferences>
  <definedNames>
    <definedName name="MiseAJour">[1]!MiseAJour</definedName>
    <definedName name="_xlnm.Print_Area" localSheetId="5">'Figure 3'!$A$1:$B$54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Y40" i="6" l="1"/>
  <c r="AC42" i="6"/>
  <c r="AB42" i="6"/>
  <c r="AC41" i="6"/>
  <c r="AB41" i="6"/>
  <c r="AC40" i="6"/>
  <c r="AB40" i="6"/>
  <c r="AA42" i="6"/>
  <c r="Z42" i="6"/>
  <c r="AA41" i="6"/>
  <c r="Z41" i="6"/>
  <c r="AA40" i="6"/>
  <c r="Z40" i="6"/>
  <c r="Y42" i="6" l="1"/>
  <c r="X42" i="6"/>
  <c r="Y41" i="6"/>
  <c r="X41" i="6"/>
  <c r="X40" i="6"/>
  <c r="W41" i="6" l="1"/>
  <c r="V41" i="6"/>
  <c r="V42" i="6"/>
  <c r="W42" i="6" l="1"/>
  <c r="V40" i="6"/>
  <c r="W40" i="6"/>
</calcChain>
</file>

<file path=xl/sharedStrings.xml><?xml version="1.0" encoding="utf-8"?>
<sst xmlns="http://schemas.openxmlformats.org/spreadsheetml/2006/main" count="234" uniqueCount="133">
  <si>
    <t>Total</t>
  </si>
  <si>
    <t/>
  </si>
  <si>
    <t>Hors enseignants</t>
  </si>
  <si>
    <t>Ministères</t>
  </si>
  <si>
    <t>Justice</t>
  </si>
  <si>
    <t>EPA</t>
  </si>
  <si>
    <t>Autres ministères</t>
  </si>
  <si>
    <t>Source : Siasp, Insee. Traitement DGAFP -SDessi</t>
  </si>
  <si>
    <t>Source : FGE, Siasp, Insee. Traitement DGAFP -SDessi.</t>
  </si>
  <si>
    <t>Culture</t>
  </si>
  <si>
    <t>Agriculture et Alimentation</t>
  </si>
  <si>
    <t>(1) La dégradation de la qualité des données sur les militaires rend fragiles les estimations sur les ministères des Armées et de l'Intérieur.</t>
  </si>
  <si>
    <t>Services du Premier ministre</t>
  </si>
  <si>
    <t>(2) Ne figurent ici que les agents en poste en France métropolitaine et dans les DOM (hors Mayotte), soit moins de 20 % des effectifs du ministère des affaires étrangères en EQTP.</t>
  </si>
  <si>
    <t>Total (Hors Éducation nationale, Enseignement supérieur et Recherche)</t>
  </si>
  <si>
    <t>Champ : Emplois principaux, tous statuts, situés en France (hors Mayotte). Hors bénéficiaires de contrats aidés.</t>
  </si>
  <si>
    <t>Note : Les périmètres des ministères varient selon les années. Pour permettre les comparaisons dans le temps, on procède à certains regroupements :</t>
  </si>
  <si>
    <t>- les ministères économiques et financiers comprennent les ministères des Finances et des Comptes publics, d'un côté, et de l'Économie, de l'Industrie et du Numérique, de l'autre ;</t>
  </si>
  <si>
    <t>- les ministères de l'Intérieur et de l'Outre-mer ont également été regroupés;</t>
  </si>
  <si>
    <t>Les effectifs du budget annexe des publications officielles et de l’information administrative sont décomptés avec ceux des services du Premier ministre. Les effectifs du budget annexe de contrôle et d'exploitation aériens sont décomptés avec ceux du ministère de l’Écologie, Développement durable, Énergie et Logement.</t>
  </si>
  <si>
    <t>- les autres appellations des ministères renvoient à la nomenclature d’exécution de la loi de finances initiale de la dernière année considérée.</t>
  </si>
  <si>
    <t>(5) À partir de l'année 2016, la prise en compte des élèves militaires a été modifiée dans la source de données (environ 1 700 postes ont été ajoutés).</t>
  </si>
  <si>
    <t>(4) Les militaires volontaires sont comptabilisés dans les effectifs de l'État à partir de 2004.</t>
  </si>
  <si>
    <r>
      <t>Europe et Affaires étrangères</t>
    </r>
    <r>
      <rPr>
        <b/>
        <vertAlign val="superscript"/>
        <sz val="10"/>
        <rFont val="Arial"/>
        <family val="2"/>
      </rPr>
      <t>(2)</t>
    </r>
  </si>
  <si>
    <r>
      <t>Ministères économiques et financiers</t>
    </r>
    <r>
      <rPr>
        <b/>
        <vertAlign val="superscript"/>
        <sz val="10"/>
        <rFont val="Arial"/>
        <family val="2"/>
      </rPr>
      <t>(3)</t>
    </r>
  </si>
  <si>
    <r>
      <t>Ministères sociaux</t>
    </r>
    <r>
      <rPr>
        <b/>
        <vertAlign val="superscript"/>
        <sz val="10"/>
        <rFont val="Arial"/>
        <family val="2"/>
      </rPr>
      <t>(3)</t>
    </r>
  </si>
  <si>
    <t>Fonction publique de l'État</t>
  </si>
  <si>
    <t>(3) Le ministère de l'Emploi et ses établissements publics, placés sous tutelle du ministère de l’Économie, de l’Industrie et de l’Emploi sur la période 2008-2010, sont rattachés au ministère du Travail, Emploi, Formation professionnelle et Dialogue social depuis 2011.</t>
  </si>
  <si>
    <t>Effectifs physiques des enseignants par type d'employeur et ministère au 31 décembre</t>
  </si>
  <si>
    <t>en milliers</t>
  </si>
  <si>
    <t>Effectifs physiques au 31 décembre des ministères et de leurs EPA rattachés</t>
  </si>
  <si>
    <t>- les ministères sociaux correspondent aux Affaires sociales, Solidarités et Santé, Travail, Emploi et Dialogue social et aux Sports (jusqu'en 2019) ;</t>
  </si>
  <si>
    <t>Missions</t>
  </si>
  <si>
    <t>Europe et affaires étrangères</t>
  </si>
  <si>
    <t>Action extérieure de l'État</t>
  </si>
  <si>
    <t>Agriculture, alimentation, forêt et affaires rurales</t>
  </si>
  <si>
    <t>Enseignement scolaire</t>
  </si>
  <si>
    <t>Recherche et enseignement supérieur</t>
  </si>
  <si>
    <t>Défense</t>
  </si>
  <si>
    <t>Écologie, développement et mobilité durables</t>
  </si>
  <si>
    <t>Économie</t>
  </si>
  <si>
    <t>Sport, jeunesse et vie associative</t>
  </si>
  <si>
    <t>Intérieur</t>
  </si>
  <si>
    <t>Administration générale et territoriale de l'État</t>
  </si>
  <si>
    <t>Sécurités</t>
  </si>
  <si>
    <t>Cohésion des territoires</t>
  </si>
  <si>
    <t>Outre-mer</t>
  </si>
  <si>
    <t>Conseil et contrôle de l'État</t>
  </si>
  <si>
    <t>Direction de l'action du Gouvernement</t>
  </si>
  <si>
    <t>Travail et emploi</t>
  </si>
  <si>
    <t>Total budget général</t>
  </si>
  <si>
    <t>Contrôle et exploitation aériens</t>
  </si>
  <si>
    <t>Publications officielles et information administrative</t>
  </si>
  <si>
    <t>Total budgets annexes</t>
  </si>
  <si>
    <t>Total Budget général</t>
  </si>
  <si>
    <t>Note : L'appellation des ministères renvoie à la nomenclature d'exécution de la loi de finances initiale de l'année.</t>
  </si>
  <si>
    <t>Transformation et fonction publiques</t>
  </si>
  <si>
    <t>Figure 1</t>
  </si>
  <si>
    <t>Figure 2</t>
  </si>
  <si>
    <t>Figure 3</t>
  </si>
  <si>
    <t>Figure 4</t>
  </si>
  <si>
    <t>Définitions</t>
  </si>
  <si>
    <r>
      <t>2004</t>
    </r>
    <r>
      <rPr>
        <b/>
        <vertAlign val="superscript"/>
        <sz val="10"/>
        <rFont val="Arial"/>
        <family val="2"/>
      </rPr>
      <t>(4)</t>
    </r>
  </si>
  <si>
    <r>
      <t>2016</t>
    </r>
    <r>
      <rPr>
        <b/>
        <vertAlign val="superscript"/>
        <sz val="10"/>
        <rFont val="Arial"/>
        <family val="2"/>
      </rPr>
      <t>(5)</t>
    </r>
  </si>
  <si>
    <t>en milliers d'ETPT</t>
  </si>
  <si>
    <t>Note : L'appellation des ministères renvoie à la nomenclature d'exécution de la loi de finances initiale de la dernière année. Les données sont modifiées par rapport aux rapports annuels précédents pour tenir compte des changements de périmètres ministériels entre les publications. À l'exception de la dernière année, les données sont aussi mises à jour selon les modifications de LFI votées à l'Assemblée Nationale.</t>
  </si>
  <si>
    <t>Nom de l'onglet</t>
  </si>
  <si>
    <t>Emploi de la fonction publique de l'État en loi de finances</t>
  </si>
  <si>
    <t>Emploi de la fonction publique de l'État en loi de finance</t>
  </si>
  <si>
    <t>Depuis l’entrée en vigueur de la loi organique relative aux lois de finances (Lolf), le 1er janvier 2006, les parlementaires votent, en parallèle, des crédits relatifs aux dépenses de personnel (titre II des dépenses de l’État) et un plafond d’autorisation d’emplois par ministère exprimé en équivalents temps plein travaillés (ETPT)</t>
  </si>
  <si>
    <r>
      <rPr>
        <b/>
        <sz val="14"/>
        <color indexed="8"/>
        <rFont val="Arial"/>
        <family val="2"/>
      </rPr>
      <t xml:space="preserve">Emploi en équivalent temps plein travaillé (ETPT) </t>
    </r>
    <r>
      <rPr>
        <sz val="14"/>
        <color indexed="8"/>
        <rFont val="Arial"/>
        <family val="2"/>
      </rPr>
      <t>: c’est l’unité de décompte dans laquelle sont exprimés à la fois les plafonds d’autorisation d’emplois par ministère et les consommations de ces plafonds dans le cadre de la Lolf. Un agent à temps plein présent toute l’année consomme 1 ETPT. Ce décompte tient compte à la fois de la quotité de temps de travail des agents (modalité de temps partiel le cas échéant) et de la période d’activité sur l’année. Il correspond à une évaluation de la force de travail disponible au cours de l’année. À noter que ce concept renvoie également à la notion d’équivalent temps plein annualisé (EQTP) utilisée dans les comparaisons avec le secteur privé et les autres versants de la fonction publique, en cohérence avec les normes internationales.</t>
    </r>
  </si>
  <si>
    <r>
      <rPr>
        <b/>
        <sz val="14"/>
        <color indexed="8"/>
        <rFont val="Arial"/>
        <family val="2"/>
      </rPr>
      <t>Plafond d’autorisation d’emplois :</t>
    </r>
    <r>
      <rPr>
        <sz val="14"/>
        <color indexed="8"/>
        <rFont val="Arial"/>
        <family val="2"/>
      </rPr>
      <t xml:space="preserve"> dans le cadre de la Lolf, il se substitue à partir de la LFI 2006 aux emplois budgétaires. Il encadre l’emploi de tous les personnels rémunérés par l’État, quel que soit leur statut. Il est exprimé en ETPT par ministère. Le passage du plafond d’autorisation d’emplois d’une année donnée à celui de l’année suivante s’explique par l’impact des créations et suppressions d’emplois ou « schéma d’emplois » (y compris extensions en année pleine des mesures décidées au titre de la LFI précédente), par des mesures de périmètre ou « mesures d’ordre » (transfert d’emplois vers d’autres budgets : opérateurs de l’État ou collectivités territoriales dans le cas de la décentralisation des missions de l’État) et par d’éventuels ajustements techniques (correction sans incidence sur le niveau d’emplois rémunérés sur les crédits votés).</t>
    </r>
  </si>
  <si>
    <r>
      <rPr>
        <b/>
        <sz val="14"/>
        <color indexed="8"/>
        <rFont val="Arial"/>
        <family val="2"/>
      </rPr>
      <t>Les lois de finances rectificatives (LFR) :</t>
    </r>
    <r>
      <rPr>
        <sz val="14"/>
        <color indexed="8"/>
        <rFont val="Arial"/>
        <family val="2"/>
      </rPr>
      <t xml:space="preserve">
La loi de finances rectificative (appelée aussi « collectif budgétaire») est la loi modifiant en cours d’exercice les dispositions de la loi de finances de l’année. Au moins une loi de finances rectificative est votée en fin d’année pour autoriser des mouvements de crédits ou réestimer le niveau des recettes. En cas de changement de cap de la politique gouvernementale, un collectif budgétaire est également généralement discuté. </t>
    </r>
  </si>
  <si>
    <r>
      <rPr>
        <b/>
        <sz val="14"/>
        <color indexed="8"/>
        <rFont val="Arial"/>
        <family val="2"/>
      </rPr>
      <t>Les lois de finances initiales (LFI) :</t>
    </r>
    <r>
      <rPr>
        <sz val="14"/>
        <color indexed="8"/>
        <rFont val="Arial"/>
        <family val="2"/>
      </rPr>
      <t xml:space="preserve">
La loi de finances initiale est la loi prévoyant et autorisant, pour chaque année civile (principe de l’annualité budgétaire), l’ensemble des ressources et des charges de l’État. Les nouvelles règles budgétaires issues de la loi organique du 1er août 2001 relative aux lois de finances (LOLF) ont permis de passer d'une logique de moyens à une logique de résultats axée sur la performance. Les crédits de l'ensemble des départements ministériels sont présentés sous forme de « missions », c'est-à-dire un ensemble de programmes concourant à une politique publique définie.</t>
    </r>
  </si>
  <si>
    <t xml:space="preserve">Contient des données sur l'égalité professionnelle entre les femmes et les hommes </t>
  </si>
  <si>
    <t>Éducation nationale, Enseignement supérieur, Recherche et Innovation</t>
  </si>
  <si>
    <t>Transition écologique et solidaire</t>
  </si>
  <si>
    <t>Enseignants</t>
  </si>
  <si>
    <t xml:space="preserve">Avertissement </t>
  </si>
  <si>
    <t>(1) Y compris élèves enseignants ; hors chercheurs, directeurs d'établissement, inspecteurs, personnels d'orientation et de surveillance.</t>
  </si>
  <si>
    <r>
      <t>Armées</t>
    </r>
    <r>
      <rPr>
        <b/>
        <vertAlign val="superscript"/>
        <sz val="10"/>
        <rFont val="Arial"/>
        <family val="2"/>
      </rPr>
      <t>(1)</t>
    </r>
  </si>
  <si>
    <r>
      <t>Intérieur et Outre-mer</t>
    </r>
    <r>
      <rPr>
        <b/>
        <vertAlign val="superscript"/>
        <sz val="10"/>
        <rFont val="Arial"/>
        <family val="2"/>
      </rPr>
      <t>(1)</t>
    </r>
  </si>
  <si>
    <t>Enseignement supérieur et recherche</t>
  </si>
  <si>
    <t xml:space="preserve">Contient des données rétropolées </t>
  </si>
  <si>
    <t>2021 Classique</t>
  </si>
  <si>
    <r>
      <t>2021 Moderne</t>
    </r>
    <r>
      <rPr>
        <b/>
        <vertAlign val="superscript"/>
        <sz val="10"/>
        <rFont val="Arial"/>
        <family val="2"/>
      </rPr>
      <t>(6)</t>
    </r>
  </si>
  <si>
    <t>2022 millésime 2023</t>
  </si>
  <si>
    <r>
      <t>2021 Moderne</t>
    </r>
    <r>
      <rPr>
        <b/>
        <vertAlign val="superscript"/>
        <sz val="10"/>
        <rFont val="Arial"/>
        <family val="2"/>
      </rPr>
      <t>(2)</t>
    </r>
  </si>
  <si>
    <t>2022 millésime 2022</t>
  </si>
  <si>
    <t>(6) L’augmentation conséquente entre 2021 Classique et 2021 Moderne des effectifs du ministère des armées s’explique par deux faits d’importance équivalente en volume. Tout d’abord une partie des militaires des armées était exclue à tort du champ en 2021 Classique à cause d’une mauvaise localisation géographique, ils sont désormais comptabilisés dans les effectifs des armées. Ensuite, les pompiers de Paris sont passés du ministère de l’Intérieur et des Outre-mer à celui des Armées ce qui symétriquement entraine d’ailleurs une baisse des effectifs entre 2021 Classique et 2021 Moderne au ministère de l’Intérieur et des Outre-mer.</t>
  </si>
  <si>
    <t>Les séries rétropolées sont indiquées dans l’onglet « Sommaire ». La rétropolation consiste à recalculer les effectifs (en "niveau") à partir des évolutions calculées chaque année à méthodologie constante.</t>
  </si>
  <si>
    <t>2023 millésime 2023</t>
  </si>
  <si>
    <t>2023 millésime 2024</t>
  </si>
  <si>
    <t>Lecture : En 2024, 12 000 enseignants sont employés par le ministère de l'Agriculture et de l'Alimentation (hors établissements publics).</t>
  </si>
  <si>
    <t>Répartition par mission des plafonds ministériels d'autorisation d'emplois de 2019 à 2026</t>
  </si>
  <si>
    <t xml:space="preserve">(2) La baisse entre 2021 Classique et 2021 Moderne des effectifs des enseignants des EPA de l'Éducation nationale, l'Enseignement supérieur, la Recherche et l'Innovation s’explique grandement par un changement de concept lié à la prise en compte de la multi-activité, avec essentiellement un basculement dans le privé en poste principal. Symétriquement la hausse des "hors enseignants" des EPA de l'Éducation nationale, l'Enseignement supérieur, la Recherche et l'Innovation est plus lié à un changement d'employeur déclaré en DSN. En 2021 Classique ces agents étaient plus souvent déclarés par les ministères de tutelle. </t>
  </si>
  <si>
    <t>Depuis 2022, conformément au décret 2016-611 du 18 mai 2016, les employeurs de la fonction publique ont basculé leur système de déclaration en déclarations sociales nominatives (DSN). Les données du Système d’information sur les agents du service public (Siasp), la base statistique qui est la source de cette publication, sont désormais issues de ces déclarations sociales.</t>
  </si>
  <si>
    <t>Du fait d’ajustements méthodologiques, les effectifs 2023 dans cette publication sont différents de ceux du Rapport annuel sur l’état de la fonction publique - Édition 2025 (DGAFP-SDessi), en particulier en raison de la prise en compte d'éléments de rémunération de 2023 déclarés en retard en 2024, qui augmentent les effectifs comptabilisés au 31 décembre 2023. Par ailleurs, les agents qui n’ont perçu qu’une indemnité au titre des années 2023 et/ou 2024, par exemple de jury de concours, sont désormais exclus des décomptes, ces postes sont désormais assimilés à des postes annexes. Sur l’ensemble de la fonction publique la révision sur l’emploi au 31 décembre 2023 est de 7 400.</t>
  </si>
  <si>
    <t>Ces données 2023 du millésime 2024 permettent de mesurer des évolutions annuelles cohérentes et homogènes entre 2023 et 2024. En revanche, ce sont les anciens niveaux 2023 (dénommés 2023 millésime 2023) qui sont à utiliser pour mesurer les évolutions entre 2022 et 2023 à méthodologie constante.</t>
  </si>
  <si>
    <t>Quand les séries ne sont pas rétropolées, les deux niveaux pour 2021 (2021 Classique ou Moderne), 2022 (millésime 2022 ou 2023) et 2023 (millésime 2023 ou 2024) sont diffusés et les niveaux des années antérieures sont de fait différents de ceux des séries rétropolées.</t>
  </si>
  <si>
    <t>Lecture : En 2024, 46 000 agents sont employés par le ministère de l'Agriculture et de l'Alimentation, dont 29 700 par le ministère lui-même et 16 300 par les établissements publics sous sa tutelle.</t>
  </si>
  <si>
    <t>Action et comptes publics</t>
  </si>
  <si>
    <t>Gestion des finances publiques</t>
  </si>
  <si>
    <t>Agriculture, agro-alimentaire et souveraineté alimentaire</t>
  </si>
  <si>
    <t>Aménagement du territoire et décentralisation</t>
  </si>
  <si>
    <t>Armées et anciens combattants</t>
  </si>
  <si>
    <t>Sports, jeunesse et vie associative</t>
  </si>
  <si>
    <t>Ville et logement</t>
  </si>
  <si>
    <t>Économie, finances et souveraineté industrielle, énergétique et numérique</t>
  </si>
  <si>
    <t>Éducation nationale</t>
  </si>
  <si>
    <t>Enseignement supérieur, recherche et espace</t>
  </si>
  <si>
    <t>Anciens combattants, mémoire et liens avec la Nation</t>
  </si>
  <si>
    <t>Transition écologique, biodiversité et négociations internationales sur le climat et la nature</t>
  </si>
  <si>
    <t>Travail et solidarités</t>
  </si>
  <si>
    <t>Travail, emploi et administration des ministères sociaux</t>
  </si>
  <si>
    <t>Source : Loi de Finances Initiale</t>
  </si>
  <si>
    <t>Lecture : En 2026, le plafond des autorisations d'emplois pour la mission "Action extérieure de l'État", au sein du ministère de l'Europe et des affaires étrangères est de 13 900 ETPT.</t>
  </si>
  <si>
    <t xml:space="preserve">Ministères 2025
</t>
  </si>
  <si>
    <t>Ministères 2026</t>
  </si>
  <si>
    <t>Consommation des emplois 2025
(en ETPT)</t>
  </si>
  <si>
    <r>
      <t>Écart constaté entre consommation 2025 et plafond LFR 2025</t>
    </r>
    <r>
      <rPr>
        <vertAlign val="superscript"/>
        <sz val="10"/>
        <rFont val="Arial"/>
        <family val="2"/>
      </rPr>
      <t>(1)</t>
    </r>
    <r>
      <rPr>
        <sz val="10"/>
        <rFont val="Arial"/>
        <family val="2"/>
      </rPr>
      <t xml:space="preserve">
(en ETPT)</t>
    </r>
  </si>
  <si>
    <t>Agriculture, souveraineté alimentaire et forêt</t>
  </si>
  <si>
    <t>Budget et comptes publics</t>
  </si>
  <si>
    <t>Économie, finances et industrie</t>
  </si>
  <si>
    <t>Transition écologique, énergie, climat et prévention des risques</t>
  </si>
  <si>
    <t>Logement et rénovation urbaine</t>
  </si>
  <si>
    <t>Outre-Mer</t>
  </si>
  <si>
    <t>Partenariat avec les territoires et décentralisation</t>
  </si>
  <si>
    <t>Fonction publique, simplification et transformation de l'action publique</t>
  </si>
  <si>
    <t>Source : RAP 2025</t>
  </si>
  <si>
    <t>(1) On compte ici l'écart entre la consommation 2025 et le plafond 2025, corrigé des transferts d'emplois intervenus en cours de gestion.</t>
  </si>
  <si>
    <t>Lecture : En 2025, le ministère de l'Agriculture, de l'agro-alimentaire et souveraineté alimentaire a consommé 30 030 ETPT, soit 398 de moins que le plafond autorisé en loi de finances rectificative.</t>
  </si>
  <si>
    <t>Consommation des emplois par ministère en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</si>
</sst>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 _€_-;\-* #,##0.00\ _€_-;_-* &quot;-&quot;??\ _€_-;_-@_-"/>
    <numFmt numFmtId="165" formatCode="#,##0.0"/>
    <numFmt numFmtId="166" formatCode="0.0%"/>
  </numFmts>
  <fonts count="46" x14ac:knownFonts="1">
    <font>
      <sz val="11"/>
      <color indexed="8"/>
      <name val="Calibri"/>
      <family val="2"/>
    </font>
    <font>
      <sz val="11"/>
      <color theme="1"/>
      <name val="Calibri"/>
      <family val="2"/>
      <scheme val="minor"/>
    </font>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Arial"/>
      <family val="2"/>
    </font>
    <font>
      <sz val="8"/>
      <name val="Arial"/>
      <family val="2"/>
    </font>
    <font>
      <b/>
      <sz val="10"/>
      <name val="Arial"/>
      <family val="2"/>
    </font>
    <font>
      <sz val="11"/>
      <color indexed="8"/>
      <name val="Calibri"/>
      <family val="2"/>
    </font>
    <font>
      <sz val="11"/>
      <color rgb="FFFF0000"/>
      <name val="Calibri"/>
      <family val="2"/>
    </font>
    <font>
      <b/>
      <vertAlign val="superscript"/>
      <sz val="10"/>
      <name val="Arial"/>
      <family val="2"/>
    </font>
    <font>
      <u/>
      <sz val="11"/>
      <color theme="10"/>
      <name val="Calibri"/>
      <family val="2"/>
    </font>
    <font>
      <sz val="10"/>
      <color indexed="8"/>
      <name val="Arial"/>
      <family val="2"/>
    </font>
    <font>
      <i/>
      <sz val="10"/>
      <name val="Arial"/>
      <family val="2"/>
    </font>
    <font>
      <sz val="10"/>
      <color theme="1"/>
      <name val="Arial"/>
      <family val="2"/>
    </font>
    <font>
      <b/>
      <i/>
      <sz val="10"/>
      <name val="Arial"/>
      <family val="2"/>
    </font>
    <font>
      <sz val="10"/>
      <color indexed="10"/>
      <name val="Arial"/>
      <family val="2"/>
    </font>
    <font>
      <sz val="10"/>
      <color indexed="17"/>
      <name val="Arial"/>
      <family val="2"/>
    </font>
    <font>
      <i/>
      <sz val="10"/>
      <color indexed="10"/>
      <name val="Arial"/>
      <family val="2"/>
    </font>
    <font>
      <b/>
      <sz val="11"/>
      <color indexed="8"/>
      <name val="Calibri"/>
      <family val="2"/>
    </font>
    <font>
      <b/>
      <sz val="14"/>
      <color indexed="8"/>
      <name val="Arial"/>
      <family val="2"/>
    </font>
    <font>
      <sz val="14"/>
      <color indexed="8"/>
      <name val="Arial"/>
      <family val="2"/>
    </font>
    <font>
      <b/>
      <sz val="16"/>
      <color indexed="8"/>
      <name val="Arial"/>
      <family val="2"/>
    </font>
    <font>
      <vertAlign val="superscript"/>
      <sz val="10"/>
      <name val="Arial"/>
      <family val="2"/>
    </font>
    <font>
      <i/>
      <sz val="8"/>
      <name val="Arial"/>
      <family val="2"/>
    </font>
    <font>
      <sz val="8"/>
      <color indexed="8"/>
      <name val="Arial"/>
      <family val="2"/>
    </font>
    <font>
      <sz val="8"/>
      <color theme="1"/>
      <name val="Arial"/>
      <family val="2"/>
    </font>
    <font>
      <sz val="11"/>
      <name val="Calibri"/>
      <family val="2"/>
    </font>
    <font>
      <b/>
      <sz val="14"/>
      <color indexed="8"/>
      <name val="Arial Narrow"/>
      <family val="2"/>
    </font>
    <font>
      <sz val="11"/>
      <color indexed="8"/>
      <name val="Arial Narrow"/>
      <family val="2"/>
    </font>
    <font>
      <i/>
      <sz val="8"/>
      <color indexed="8"/>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2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thin">
        <color auto="1"/>
      </right>
      <top/>
      <bottom/>
      <diagonal/>
    </border>
    <border>
      <left style="thin">
        <color auto="1"/>
      </left>
      <right/>
      <top/>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thin">
        <color auto="1"/>
      </right>
      <top style="thin">
        <color auto="1"/>
      </top>
      <bottom style="thin">
        <color auto="1"/>
      </bottom>
      <diagonal/>
    </border>
    <border>
      <left style="thin">
        <color auto="1"/>
      </left>
      <right/>
      <top/>
      <bottom style="medium">
        <color auto="1"/>
      </bottom>
      <diagonal/>
    </border>
    <border>
      <left style="thin">
        <color auto="1"/>
      </left>
      <right style="thin">
        <color auto="1"/>
      </right>
      <top/>
      <bottom style="medium">
        <color auto="1"/>
      </bottom>
      <diagonal/>
    </border>
    <border>
      <left style="thin">
        <color indexed="64"/>
      </left>
      <right/>
      <top style="thin">
        <color auto="1"/>
      </top>
      <bottom style="thin">
        <color indexed="64"/>
      </bottom>
      <diagonal/>
    </border>
    <border>
      <left/>
      <right style="thin">
        <color auto="1"/>
      </right>
      <top style="thin">
        <color auto="1"/>
      </top>
      <bottom style="thin">
        <color indexed="64"/>
      </bottom>
      <diagonal/>
    </border>
    <border>
      <left/>
      <right style="thin">
        <color auto="1"/>
      </right>
      <top style="thin">
        <color auto="1"/>
      </top>
      <bottom/>
      <diagonal/>
    </border>
    <border>
      <left/>
      <right/>
      <top style="thin">
        <color indexed="64"/>
      </top>
      <bottom style="thin">
        <color indexed="64"/>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s>
  <cellStyleXfs count="82">
    <xf numFmtId="0" fontId="0" fillId="0" borderId="0"/>
    <xf numFmtId="164" fontId="23" fillId="0" borderId="0" applyFont="0" applyFill="0" applyBorder="0" applyAlignment="0" applyProtection="0"/>
    <xf numFmtId="9" fontId="23" fillId="0" borderId="0" applyFont="0" applyFill="0" applyBorder="0" applyAlignment="0" applyProtection="0"/>
    <xf numFmtId="0" fontId="4" fillId="0" borderId="0" applyNumberFormat="0" applyFill="0" applyBorder="0" applyAlignment="0" applyProtection="0"/>
    <xf numFmtId="0" fontId="5" fillId="0" borderId="1" applyNumberFormat="0" applyFill="0" applyAlignment="0" applyProtection="0"/>
    <xf numFmtId="0" fontId="6" fillId="0" borderId="2" applyNumberFormat="0" applyFill="0" applyAlignment="0" applyProtection="0"/>
    <xf numFmtId="0" fontId="7" fillId="0" borderId="3"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4" applyNumberFormat="0" applyAlignment="0" applyProtection="0"/>
    <xf numFmtId="0" fontId="12" fillId="6" borderId="5" applyNumberFormat="0" applyAlignment="0" applyProtection="0"/>
    <xf numFmtId="0" fontId="13" fillId="6" borderId="4" applyNumberFormat="0" applyAlignment="0" applyProtection="0"/>
    <xf numFmtId="0" fontId="14" fillId="0" borderId="6" applyNumberFormat="0" applyFill="0" applyAlignment="0" applyProtection="0"/>
    <xf numFmtId="0" fontId="15" fillId="7" borderId="7" applyNumberFormat="0" applyAlignment="0" applyProtection="0"/>
    <xf numFmtId="0" fontId="16" fillId="0" borderId="0" applyNumberFormat="0" applyFill="0" applyBorder="0" applyAlignment="0" applyProtection="0"/>
    <xf numFmtId="0" fontId="3" fillId="8" borderId="8" applyNumberFormat="0" applyFon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19" fillId="12" borderId="0" applyNumberFormat="0" applyBorder="0" applyAlignment="0" applyProtection="0"/>
    <xf numFmtId="0" fontId="19"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19" fillId="16" borderId="0" applyNumberFormat="0" applyBorder="0" applyAlignment="0" applyProtection="0"/>
    <xf numFmtId="0" fontId="19"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19" fillId="20" borderId="0" applyNumberFormat="0" applyBorder="0" applyAlignment="0" applyProtection="0"/>
    <xf numFmtId="0" fontId="19"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19" fillId="24" borderId="0" applyNumberFormat="0" applyBorder="0" applyAlignment="0" applyProtection="0"/>
    <xf numFmtId="0" fontId="19"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19" fillId="28" borderId="0" applyNumberFormat="0" applyBorder="0" applyAlignment="0" applyProtection="0"/>
    <xf numFmtId="0" fontId="19"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19" fillId="32" borderId="0" applyNumberFormat="0" applyBorder="0" applyAlignment="0" applyProtection="0"/>
    <xf numFmtId="0" fontId="20" fillId="0" borderId="0"/>
    <xf numFmtId="9" fontId="23" fillId="0" borderId="0" applyFont="0" applyFill="0" applyBorder="0" applyAlignment="0" applyProtection="0"/>
    <xf numFmtId="164" fontId="23" fillId="0" borderId="0" applyFont="0" applyFill="0" applyBorder="0" applyAlignment="0" applyProtection="0"/>
    <xf numFmtId="0" fontId="2" fillId="8" borderId="8" applyNumberFormat="0" applyFont="0" applyAlignment="0" applyProtection="0"/>
    <xf numFmtId="0" fontId="2" fillId="10" borderId="0" applyNumberFormat="0" applyBorder="0" applyAlignment="0" applyProtection="0"/>
    <xf numFmtId="0" fontId="2" fillId="11" borderId="0" applyNumberFormat="0" applyBorder="0" applyAlignment="0" applyProtection="0"/>
    <xf numFmtId="0" fontId="2" fillId="27"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8" borderId="8" applyNumberFormat="0" applyFont="0" applyAlignment="0" applyProtection="0"/>
    <xf numFmtId="0" fontId="2" fillId="26"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19" borderId="0" applyNumberFormat="0" applyBorder="0" applyAlignment="0" applyProtection="0"/>
    <xf numFmtId="0" fontId="2" fillId="15" borderId="0" applyNumberFormat="0" applyBorder="0" applyAlignment="0" applyProtection="0"/>
    <xf numFmtId="0" fontId="2" fillId="11" borderId="0" applyNumberFormat="0" applyBorder="0" applyAlignment="0" applyProtection="0"/>
    <xf numFmtId="0" fontId="2" fillId="30" borderId="0" applyNumberFormat="0" applyBorder="0" applyAlignment="0" applyProtection="0"/>
    <xf numFmtId="164" fontId="23" fillId="0" borderId="0" applyFont="0" applyFill="0" applyBorder="0" applyAlignment="0" applyProtection="0"/>
    <xf numFmtId="0" fontId="2" fillId="26" borderId="0" applyNumberFormat="0" applyBorder="0" applyAlignment="0" applyProtection="0"/>
    <xf numFmtId="0" fontId="2" fillId="22" borderId="0" applyNumberFormat="0" applyBorder="0" applyAlignment="0" applyProtection="0"/>
    <xf numFmtId="0" fontId="2" fillId="18" borderId="0" applyNumberFormat="0" applyBorder="0" applyAlignment="0" applyProtection="0"/>
    <xf numFmtId="0" fontId="2" fillId="14" borderId="0" applyNumberFormat="0" applyBorder="0" applyAlignment="0" applyProtection="0"/>
    <xf numFmtId="0" fontId="2" fillId="10" borderId="0" applyNumberFormat="0" applyBorder="0" applyAlignment="0" applyProtection="0"/>
    <xf numFmtId="0" fontId="26" fillId="0" borderId="0" applyNumberFormat="0" applyFill="0" applyBorder="0" applyAlignment="0" applyProtection="0"/>
    <xf numFmtId="0" fontId="20" fillId="0" borderId="0"/>
    <xf numFmtId="0" fontId="1" fillId="0" borderId="0"/>
    <xf numFmtId="9" fontId="1" fillId="0" borderId="0" applyFont="0" applyFill="0" applyBorder="0" applyAlignment="0" applyProtection="0"/>
    <xf numFmtId="9" fontId="20" fillId="0" borderId="0" applyFont="0" applyFill="0" applyBorder="0" applyAlignment="0" applyProtection="0"/>
    <xf numFmtId="0" fontId="1" fillId="0" borderId="0"/>
    <xf numFmtId="9" fontId="20" fillId="0" borderId="0" applyFont="0" applyFill="0" applyBorder="0" applyAlignment="0" applyProtection="0"/>
    <xf numFmtId="0" fontId="20" fillId="0" borderId="0"/>
  </cellStyleXfs>
  <cellXfs count="220">
    <xf numFmtId="0" fontId="0" fillId="0" borderId="0" xfId="0"/>
    <xf numFmtId="0" fontId="0" fillId="33" borderId="0" xfId="0" applyNumberFormat="1" applyFont="1" applyFill="1" applyBorder="1" applyAlignment="1" applyProtection="1"/>
    <xf numFmtId="0" fontId="0" fillId="33" borderId="0" xfId="0" applyFill="1"/>
    <xf numFmtId="0" fontId="0" fillId="33" borderId="0" xfId="0" applyNumberFormat="1" applyFont="1" applyFill="1" applyBorder="1" applyAlignment="1" applyProtection="1"/>
    <xf numFmtId="0" fontId="27" fillId="33" borderId="0" xfId="0" applyNumberFormat="1" applyFont="1" applyFill="1" applyBorder="1" applyAlignment="1" applyProtection="1"/>
    <xf numFmtId="0" fontId="20" fillId="33" borderId="11" xfId="0" applyNumberFormat="1" applyFont="1" applyFill="1" applyBorder="1" applyAlignment="1" applyProtection="1">
      <alignment horizontal="left" wrapText="1"/>
    </xf>
    <xf numFmtId="0" fontId="20" fillId="33" borderId="13" xfId="0" applyNumberFormat="1" applyFont="1" applyFill="1" applyBorder="1" applyAlignment="1" applyProtection="1">
      <alignment horizontal="left" wrapText="1"/>
    </xf>
    <xf numFmtId="0" fontId="27" fillId="33" borderId="0" xfId="0" applyFont="1" applyFill="1"/>
    <xf numFmtId="0" fontId="22" fillId="33" borderId="0" xfId="0" applyFont="1" applyFill="1" applyBorder="1" applyAlignment="1">
      <alignment horizontal="left" vertical="center" wrapText="1"/>
    </xf>
    <xf numFmtId="0" fontId="22" fillId="33" borderId="15" xfId="0" applyNumberFormat="1" applyFont="1" applyFill="1" applyBorder="1" applyAlignment="1" applyProtection="1">
      <alignment horizontal="left" wrapText="1"/>
    </xf>
    <xf numFmtId="0" fontId="22" fillId="33" borderId="0" xfId="0" applyFont="1" applyFill="1" applyBorder="1" applyAlignment="1"/>
    <xf numFmtId="0" fontId="20" fillId="33" borderId="11" xfId="0" applyFont="1" applyFill="1" applyBorder="1"/>
    <xf numFmtId="0" fontId="20" fillId="33" borderId="13" xfId="0" applyFont="1" applyFill="1" applyBorder="1"/>
    <xf numFmtId="0" fontId="22" fillId="33" borderId="15" xfId="0" applyFont="1" applyFill="1" applyBorder="1"/>
    <xf numFmtId="0" fontId="22" fillId="33" borderId="11" xfId="0" applyFont="1" applyFill="1" applyBorder="1"/>
    <xf numFmtId="0" fontId="22" fillId="33" borderId="13" xfId="0" applyFont="1" applyFill="1" applyBorder="1"/>
    <xf numFmtId="0" fontId="22" fillId="33" borderId="18" xfId="0" applyFont="1" applyFill="1" applyBorder="1"/>
    <xf numFmtId="0" fontId="22" fillId="33" borderId="14" xfId="0" applyFont="1" applyFill="1" applyBorder="1"/>
    <xf numFmtId="0" fontId="22" fillId="33" borderId="16" xfId="0" applyFont="1" applyFill="1" applyBorder="1"/>
    <xf numFmtId="0" fontId="27" fillId="33" borderId="0" xfId="0" applyFont="1" applyFill="1" applyBorder="1"/>
    <xf numFmtId="0" fontId="20" fillId="33" borderId="0" xfId="0" applyNumberFormat="1" applyFont="1" applyFill="1" applyAlignment="1"/>
    <xf numFmtId="0" fontId="20" fillId="33" borderId="0" xfId="0" quotePrefix="1" applyNumberFormat="1" applyFont="1" applyFill="1" applyAlignment="1"/>
    <xf numFmtId="0" fontId="20" fillId="33" borderId="0" xfId="0" quotePrefix="1" applyNumberFormat="1" applyFont="1" applyFill="1" applyAlignment="1">
      <alignment wrapText="1"/>
    </xf>
    <xf numFmtId="0" fontId="20" fillId="33" borderId="0" xfId="0" applyNumberFormat="1" applyFont="1" applyFill="1" applyAlignment="1">
      <alignment wrapText="1"/>
    </xf>
    <xf numFmtId="0" fontId="20" fillId="33" borderId="0" xfId="0" applyFont="1" applyFill="1" applyBorder="1" applyAlignment="1">
      <alignment vertical="center"/>
    </xf>
    <xf numFmtId="0" fontId="27" fillId="33" borderId="0" xfId="0" applyFont="1" applyFill="1" applyAlignment="1"/>
    <xf numFmtId="0" fontId="22" fillId="33" borderId="0" xfId="0" applyFont="1" applyFill="1" applyBorder="1" applyAlignment="1">
      <alignment vertical="center"/>
    </xf>
    <xf numFmtId="0" fontId="22" fillId="33" borderId="0" xfId="75" applyFont="1" applyFill="1" applyBorder="1" applyAlignment="1">
      <alignment wrapText="1"/>
    </xf>
    <xf numFmtId="0" fontId="22" fillId="33" borderId="0" xfId="75" applyFont="1" applyFill="1"/>
    <xf numFmtId="0" fontId="30" fillId="33" borderId="0" xfId="75" applyFont="1" applyFill="1"/>
    <xf numFmtId="0" fontId="28" fillId="33" borderId="0" xfId="75" applyFont="1" applyFill="1"/>
    <xf numFmtId="0" fontId="20" fillId="33" borderId="0" xfId="75" applyFont="1" applyFill="1"/>
    <xf numFmtId="166" fontId="20" fillId="33" borderId="0" xfId="80" applyNumberFormat="1" applyFont="1" applyFill="1"/>
    <xf numFmtId="0" fontId="32" fillId="0" borderId="0" xfId="75" applyFont="1"/>
    <xf numFmtId="0" fontId="20" fillId="0" borderId="0" xfId="75" applyFont="1"/>
    <xf numFmtId="3" fontId="20" fillId="0" borderId="0" xfId="75" applyNumberFormat="1" applyFont="1"/>
    <xf numFmtId="0" fontId="22" fillId="33" borderId="0" xfId="75" applyFont="1" applyFill="1" applyBorder="1" applyAlignment="1">
      <alignment vertical="top"/>
    </xf>
    <xf numFmtId="3" fontId="20" fillId="33" borderId="0" xfId="75" applyNumberFormat="1" applyFont="1" applyFill="1" applyAlignment="1"/>
    <xf numFmtId="0" fontId="22" fillId="33" borderId="10" xfId="75" applyFont="1" applyFill="1" applyBorder="1" applyAlignment="1">
      <alignment horizontal="left"/>
    </xf>
    <xf numFmtId="0" fontId="28" fillId="33" borderId="0" xfId="75" applyFont="1" applyFill="1" applyBorder="1" applyAlignment="1">
      <alignment wrapText="1"/>
    </xf>
    <xf numFmtId="0" fontId="28" fillId="33" borderId="25" xfId="75" applyFont="1" applyFill="1" applyBorder="1" applyAlignment="1">
      <alignment wrapText="1"/>
    </xf>
    <xf numFmtId="0" fontId="22" fillId="33" borderId="10" xfId="75" applyFont="1" applyFill="1" applyBorder="1" applyAlignment="1">
      <alignment wrapText="1"/>
    </xf>
    <xf numFmtId="0" fontId="33" fillId="33" borderId="25" xfId="75" applyFont="1" applyFill="1" applyBorder="1" applyAlignment="1">
      <alignment wrapText="1"/>
    </xf>
    <xf numFmtId="0" fontId="22" fillId="33" borderId="20" xfId="75" applyFont="1" applyFill="1" applyBorder="1" applyAlignment="1">
      <alignment horizontal="left"/>
    </xf>
    <xf numFmtId="0" fontId="22" fillId="33" borderId="21" xfId="75" applyFont="1" applyFill="1" applyBorder="1" applyAlignment="1">
      <alignment horizontal="left"/>
    </xf>
    <xf numFmtId="0" fontId="22" fillId="0" borderId="0" xfId="75" applyFont="1" applyBorder="1" applyAlignment="1">
      <alignment vertical="center"/>
    </xf>
    <xf numFmtId="0" fontId="29" fillId="33" borderId="0" xfId="79" applyFont="1" applyFill="1"/>
    <xf numFmtId="0" fontId="33" fillId="33" borderId="0" xfId="75" applyFont="1" applyFill="1" applyBorder="1" applyAlignment="1">
      <alignment wrapText="1"/>
    </xf>
    <xf numFmtId="0" fontId="22" fillId="33" borderId="10" xfId="75" applyFont="1" applyFill="1" applyBorder="1" applyAlignment="1"/>
    <xf numFmtId="0" fontId="31" fillId="33" borderId="0" xfId="75" applyFont="1" applyFill="1" applyBorder="1" applyAlignment="1">
      <alignment wrapText="1"/>
    </xf>
    <xf numFmtId="0" fontId="20" fillId="33" borderId="25" xfId="75" applyFont="1" applyFill="1" applyBorder="1" applyAlignment="1">
      <alignment wrapText="1"/>
    </xf>
    <xf numFmtId="0" fontId="20" fillId="33" borderId="0" xfId="75" applyFont="1" applyFill="1" applyBorder="1" applyAlignment="1">
      <alignment wrapText="1"/>
    </xf>
    <xf numFmtId="0" fontId="28" fillId="33" borderId="12" xfId="75" applyFont="1" applyFill="1" applyBorder="1" applyAlignment="1">
      <alignment wrapText="1"/>
    </xf>
    <xf numFmtId="0" fontId="28" fillId="33" borderId="14" xfId="75" applyFont="1" applyFill="1" applyBorder="1" applyAlignment="1">
      <alignment wrapText="1"/>
    </xf>
    <xf numFmtId="0" fontId="22" fillId="33" borderId="16" xfId="75" applyFont="1" applyFill="1" applyBorder="1" applyAlignment="1">
      <alignment wrapText="1"/>
    </xf>
    <xf numFmtId="0" fontId="22" fillId="33" borderId="20" xfId="75" applyFont="1" applyFill="1" applyBorder="1" applyAlignment="1">
      <alignment wrapText="1"/>
    </xf>
    <xf numFmtId="0" fontId="22" fillId="33" borderId="12" xfId="0" applyFont="1" applyFill="1" applyBorder="1"/>
    <xf numFmtId="0" fontId="22" fillId="33" borderId="10" xfId="0" applyFont="1" applyFill="1" applyBorder="1"/>
    <xf numFmtId="0" fontId="34" fillId="33" borderId="0" xfId="0" applyNumberFormat="1" applyFont="1" applyFill="1" applyBorder="1" applyAlignment="1" applyProtection="1"/>
    <xf numFmtId="0" fontId="20" fillId="33" borderId="0" xfId="75" applyFont="1" applyFill="1" applyBorder="1" applyAlignment="1">
      <alignment vertical="top"/>
    </xf>
    <xf numFmtId="0" fontId="20" fillId="33" borderId="0" xfId="0" applyFont="1" applyFill="1" applyBorder="1" applyAlignment="1">
      <alignment horizontal="left" vertical="center" wrapText="1"/>
    </xf>
    <xf numFmtId="0" fontId="20" fillId="33" borderId="0" xfId="0" applyFont="1" applyFill="1" applyBorder="1" applyAlignment="1"/>
    <xf numFmtId="0" fontId="27" fillId="33" borderId="0" xfId="0" applyFont="1" applyFill="1" applyAlignment="1">
      <alignment horizontal="justify" vertical="center" wrapText="1"/>
    </xf>
    <xf numFmtId="0" fontId="0" fillId="33" borderId="0" xfId="0" applyFill="1" applyAlignment="1">
      <alignment wrapText="1"/>
    </xf>
    <xf numFmtId="0" fontId="24" fillId="33" borderId="0" xfId="0" applyFont="1" applyFill="1"/>
    <xf numFmtId="0" fontId="22" fillId="33" borderId="10" xfId="75" applyFont="1" applyFill="1" applyBorder="1"/>
    <xf numFmtId="0" fontId="20" fillId="33" borderId="0" xfId="75" applyFont="1" applyFill="1" applyBorder="1"/>
    <xf numFmtId="0" fontId="20" fillId="33" borderId="25" xfId="75" applyFont="1" applyFill="1" applyBorder="1"/>
    <xf numFmtId="0" fontId="22" fillId="33" borderId="0" xfId="75" applyFont="1" applyFill="1" applyBorder="1"/>
    <xf numFmtId="0" fontId="22" fillId="33" borderId="22" xfId="75" applyFont="1" applyFill="1" applyBorder="1"/>
    <xf numFmtId="0" fontId="20" fillId="33" borderId="24" xfId="75" applyFont="1" applyFill="1" applyBorder="1"/>
    <xf numFmtId="0" fontId="22" fillId="33" borderId="25" xfId="75" applyFont="1" applyFill="1" applyBorder="1"/>
    <xf numFmtId="0" fontId="22" fillId="33" borderId="23" xfId="75" applyFont="1" applyFill="1" applyBorder="1"/>
    <xf numFmtId="0" fontId="36" fillId="33" borderId="0" xfId="0" applyFont="1" applyFill="1" applyAlignment="1">
      <alignment horizontal="justify" vertical="center"/>
    </xf>
    <xf numFmtId="0" fontId="37" fillId="33" borderId="0" xfId="0" applyFont="1" applyFill="1" applyAlignment="1">
      <alignment horizontal="justify" vertical="center"/>
    </xf>
    <xf numFmtId="0" fontId="36" fillId="33" borderId="0" xfId="0" applyFont="1" applyFill="1" applyAlignment="1">
      <alignment wrapText="1"/>
    </xf>
    <xf numFmtId="0" fontId="20" fillId="0" borderId="0" xfId="75" applyFont="1" applyBorder="1" applyAlignment="1">
      <alignment vertical="center"/>
    </xf>
    <xf numFmtId="0" fontId="20" fillId="33" borderId="17" xfId="75" applyFont="1" applyFill="1" applyBorder="1" applyAlignment="1">
      <alignment horizontal="center" vertical="center" wrapText="1"/>
    </xf>
    <xf numFmtId="0" fontId="20" fillId="0" borderId="11" xfId="75" applyFont="1" applyFill="1" applyBorder="1" applyAlignment="1">
      <alignment vertical="center" wrapText="1"/>
    </xf>
    <xf numFmtId="0" fontId="20" fillId="33" borderId="13" xfId="75" applyFont="1" applyFill="1" applyBorder="1" applyAlignment="1">
      <alignment vertical="center" wrapText="1"/>
    </xf>
    <xf numFmtId="0" fontId="22" fillId="33" borderId="13" xfId="75" applyFont="1" applyFill="1" applyBorder="1" applyAlignment="1">
      <alignment vertical="center"/>
    </xf>
    <xf numFmtId="0" fontId="20" fillId="33" borderId="11" xfId="75" applyFont="1" applyFill="1" applyBorder="1" applyAlignment="1">
      <alignment vertical="center"/>
    </xf>
    <xf numFmtId="0" fontId="20" fillId="33" borderId="15" xfId="75" applyFont="1" applyFill="1" applyBorder="1" applyAlignment="1">
      <alignment vertical="center" wrapText="1"/>
    </xf>
    <xf numFmtId="0" fontId="22" fillId="33" borderId="17" xfId="75" applyFont="1" applyFill="1" applyBorder="1" applyAlignment="1">
      <alignment vertical="center"/>
    </xf>
    <xf numFmtId="0" fontId="22" fillId="33" borderId="15" xfId="75" applyFont="1" applyFill="1" applyBorder="1" applyAlignment="1">
      <alignment vertical="center"/>
    </xf>
    <xf numFmtId="0" fontId="20" fillId="0" borderId="0" xfId="75" applyFont="1" applyAlignment="1">
      <alignment vertical="center"/>
    </xf>
    <xf numFmtId="0" fontId="39" fillId="33" borderId="0" xfId="0" applyFont="1" applyFill="1" applyBorder="1"/>
    <xf numFmtId="0" fontId="21" fillId="33" borderId="0" xfId="0" applyNumberFormat="1" applyFont="1" applyFill="1" applyAlignment="1"/>
    <xf numFmtId="0" fontId="40" fillId="33" borderId="0" xfId="0" applyFont="1" applyFill="1"/>
    <xf numFmtId="0" fontId="21" fillId="33" borderId="0" xfId="0" quotePrefix="1" applyNumberFormat="1" applyFont="1" applyFill="1" applyAlignment="1"/>
    <xf numFmtId="0" fontId="39" fillId="33" borderId="0" xfId="0" applyFont="1" applyFill="1" applyBorder="1" applyAlignment="1"/>
    <xf numFmtId="0" fontId="40" fillId="33" borderId="0" xfId="44" applyNumberFormat="1" applyFont="1" applyFill="1" applyBorder="1" applyAlignment="1" applyProtection="1"/>
    <xf numFmtId="0" fontId="21" fillId="33" borderId="0" xfId="0" applyFont="1" applyFill="1" applyAlignment="1"/>
    <xf numFmtId="0" fontId="21" fillId="33" borderId="0" xfId="75" applyFont="1" applyFill="1"/>
    <xf numFmtId="0" fontId="21" fillId="33" borderId="0" xfId="75" applyFont="1" applyFill="1" applyAlignment="1"/>
    <xf numFmtId="3" fontId="21" fillId="33" borderId="0" xfId="75" applyNumberFormat="1" applyFont="1" applyFill="1" applyAlignment="1"/>
    <xf numFmtId="0" fontId="21" fillId="33" borderId="0" xfId="75" quotePrefix="1" applyFont="1" applyFill="1" applyAlignment="1"/>
    <xf numFmtId="0" fontId="21" fillId="0" borderId="0" xfId="75" applyFont="1" applyAlignment="1">
      <alignment vertical="center"/>
    </xf>
    <xf numFmtId="165" fontId="20" fillId="33" borderId="13" xfId="0" applyNumberFormat="1" applyFont="1" applyFill="1" applyBorder="1" applyAlignment="1">
      <alignment horizontal="right" indent="1"/>
    </xf>
    <xf numFmtId="165" fontId="22" fillId="33" borderId="15" xfId="0" applyNumberFormat="1" applyFont="1" applyFill="1" applyBorder="1" applyAlignment="1">
      <alignment horizontal="right" indent="1"/>
    </xf>
    <xf numFmtId="165" fontId="22" fillId="33" borderId="18" xfId="0" applyNumberFormat="1" applyFont="1" applyFill="1" applyBorder="1" applyAlignment="1">
      <alignment horizontal="right" indent="1"/>
    </xf>
    <xf numFmtId="165" fontId="20" fillId="33" borderId="14" xfId="0" applyNumberFormat="1" applyFont="1" applyFill="1" applyBorder="1" applyAlignment="1">
      <alignment horizontal="right" indent="1"/>
    </xf>
    <xf numFmtId="165" fontId="20" fillId="33" borderId="11" xfId="0" applyNumberFormat="1" applyFont="1" applyFill="1" applyBorder="1" applyAlignment="1" applyProtection="1">
      <alignment horizontal="right" vertical="center" wrapText="1" indent="1"/>
    </xf>
    <xf numFmtId="165" fontId="20" fillId="33" borderId="13" xfId="0" applyNumberFormat="1" applyFont="1" applyFill="1" applyBorder="1" applyAlignment="1" applyProtection="1">
      <alignment horizontal="right" vertical="center" wrapText="1" indent="1"/>
    </xf>
    <xf numFmtId="165" fontId="22" fillId="33" borderId="15" xfId="0" applyNumberFormat="1" applyFont="1" applyFill="1" applyBorder="1" applyAlignment="1" applyProtection="1">
      <alignment horizontal="right" vertical="center" wrapText="1" indent="1"/>
    </xf>
    <xf numFmtId="165" fontId="22" fillId="33" borderId="17" xfId="0" applyNumberFormat="1" applyFont="1" applyFill="1" applyBorder="1" applyAlignment="1" applyProtection="1">
      <alignment horizontal="right" vertical="center" wrapText="1" indent="1"/>
    </xf>
    <xf numFmtId="165" fontId="22" fillId="33" borderId="17" xfId="0" applyNumberFormat="1" applyFont="1" applyFill="1" applyBorder="1" applyAlignment="1">
      <alignment horizontal="right" vertical="center" wrapText="1" indent="1"/>
    </xf>
    <xf numFmtId="0" fontId="22" fillId="33" borderId="17" xfId="75" applyNumberFormat="1" applyFont="1" applyFill="1" applyBorder="1" applyAlignment="1">
      <alignment horizontal="right" indent="1"/>
    </xf>
    <xf numFmtId="165" fontId="22" fillId="33" borderId="11" xfId="79" applyNumberFormat="1" applyFont="1" applyFill="1" applyBorder="1" applyAlignment="1">
      <alignment horizontal="right" indent="1"/>
    </xf>
    <xf numFmtId="165" fontId="20" fillId="33" borderId="13" xfId="79" applyNumberFormat="1" applyFont="1" applyFill="1" applyBorder="1" applyAlignment="1">
      <alignment horizontal="right" indent="1"/>
    </xf>
    <xf numFmtId="165" fontId="20" fillId="33" borderId="15" xfId="79" applyNumberFormat="1" applyFont="1" applyFill="1" applyBorder="1" applyAlignment="1">
      <alignment horizontal="right" indent="1"/>
    </xf>
    <xf numFmtId="165" fontId="22" fillId="33" borderId="13" xfId="79" applyNumberFormat="1" applyFont="1" applyFill="1" applyBorder="1" applyAlignment="1">
      <alignment horizontal="right" indent="1"/>
    </xf>
    <xf numFmtId="165" fontId="20" fillId="33" borderId="11" xfId="79" applyNumberFormat="1" applyFont="1" applyFill="1" applyBorder="1" applyAlignment="1">
      <alignment horizontal="right" indent="1"/>
    </xf>
    <xf numFmtId="165" fontId="22" fillId="33" borderId="15" xfId="79" applyNumberFormat="1" applyFont="1" applyFill="1" applyBorder="1" applyAlignment="1">
      <alignment horizontal="right" indent="1"/>
    </xf>
    <xf numFmtId="165" fontId="22" fillId="33" borderId="17" xfId="79" applyNumberFormat="1" applyFont="1" applyFill="1" applyBorder="1" applyAlignment="1">
      <alignment horizontal="right" indent="1"/>
    </xf>
    <xf numFmtId="0" fontId="20" fillId="33" borderId="23" xfId="75" applyFont="1" applyFill="1" applyBorder="1" applyAlignment="1">
      <alignment horizontal="right" vertical="center" wrapText="1" indent="1"/>
    </xf>
    <xf numFmtId="3" fontId="20" fillId="33" borderId="0" xfId="75" applyNumberFormat="1" applyFont="1" applyFill="1" applyBorder="1" applyAlignment="1">
      <alignment horizontal="right" vertical="center" indent="1"/>
    </xf>
    <xf numFmtId="3" fontId="22" fillId="33" borderId="0" xfId="75" applyNumberFormat="1" applyFont="1" applyFill="1" applyBorder="1" applyAlignment="1">
      <alignment horizontal="right" vertical="center" indent="1"/>
    </xf>
    <xf numFmtId="3" fontId="20" fillId="33" borderId="10" xfId="75" applyNumberFormat="1" applyFont="1" applyFill="1" applyBorder="1" applyAlignment="1">
      <alignment horizontal="right" vertical="center" indent="1"/>
    </xf>
    <xf numFmtId="3" fontId="20" fillId="33" borderId="25" xfId="75" applyNumberFormat="1" applyFont="1" applyFill="1" applyBorder="1" applyAlignment="1">
      <alignment horizontal="right" vertical="center" indent="1"/>
    </xf>
    <xf numFmtId="3" fontId="22" fillId="33" borderId="23" xfId="75" applyNumberFormat="1" applyFont="1" applyFill="1" applyBorder="1" applyAlignment="1">
      <alignment horizontal="right" vertical="center" indent="1"/>
    </xf>
    <xf numFmtId="3" fontId="22" fillId="33" borderId="25" xfId="75" applyNumberFormat="1" applyFont="1" applyFill="1" applyBorder="1" applyAlignment="1">
      <alignment horizontal="right" vertical="center" indent="1"/>
    </xf>
    <xf numFmtId="0" fontId="20" fillId="33" borderId="17" xfId="75" applyFont="1" applyFill="1" applyBorder="1" applyAlignment="1">
      <alignment horizontal="right" vertical="center" wrapText="1" indent="1"/>
    </xf>
    <xf numFmtId="3" fontId="22" fillId="33" borderId="17" xfId="75" applyNumberFormat="1" applyFont="1" applyFill="1" applyBorder="1" applyAlignment="1">
      <alignment horizontal="right" vertical="center" indent="1"/>
    </xf>
    <xf numFmtId="3" fontId="20" fillId="33" borderId="13" xfId="75" applyNumberFormat="1" applyFont="1" applyFill="1" applyBorder="1" applyAlignment="1">
      <alignment horizontal="right" vertical="center" indent="1"/>
    </xf>
    <xf numFmtId="3" fontId="22" fillId="33" borderId="13" xfId="75" applyNumberFormat="1" applyFont="1" applyFill="1" applyBorder="1" applyAlignment="1">
      <alignment horizontal="right" vertical="center" indent="1"/>
    </xf>
    <xf numFmtId="3" fontId="20" fillId="33" borderId="11" xfId="75" applyNumberFormat="1" applyFont="1" applyFill="1" applyBorder="1" applyAlignment="1">
      <alignment horizontal="right" vertical="center" indent="1"/>
    </xf>
    <xf numFmtId="3" fontId="20" fillId="33" borderId="15" xfId="75" applyNumberFormat="1" applyFont="1" applyFill="1" applyBorder="1" applyAlignment="1">
      <alignment horizontal="right" vertical="center" indent="1"/>
    </xf>
    <xf numFmtId="3" fontId="22" fillId="33" borderId="15" xfId="75" applyNumberFormat="1" applyFont="1" applyFill="1" applyBorder="1" applyAlignment="1">
      <alignment horizontal="right" vertical="center" indent="1"/>
    </xf>
    <xf numFmtId="165" fontId="20" fillId="33" borderId="0" xfId="0" applyNumberFormat="1" applyFont="1" applyFill="1" applyAlignment="1"/>
    <xf numFmtId="165" fontId="20" fillId="0" borderId="0" xfId="0" applyNumberFormat="1" applyFont="1" applyBorder="1" applyAlignment="1">
      <alignment horizontal="right" vertical="center" wrapText="1" indent="1"/>
    </xf>
    <xf numFmtId="165" fontId="20" fillId="33" borderId="0" xfId="0" applyNumberFormat="1" applyFont="1" applyFill="1" applyBorder="1" applyAlignment="1">
      <alignment horizontal="right" vertical="center" wrapText="1" indent="1"/>
    </xf>
    <xf numFmtId="165" fontId="20" fillId="33" borderId="12" xfId="0" applyNumberFormat="1" applyFont="1" applyFill="1" applyBorder="1" applyAlignment="1">
      <alignment horizontal="right" indent="1"/>
    </xf>
    <xf numFmtId="165" fontId="22" fillId="33" borderId="19" xfId="0" applyNumberFormat="1" applyFont="1" applyFill="1" applyBorder="1" applyAlignment="1">
      <alignment horizontal="right" indent="1"/>
    </xf>
    <xf numFmtId="0" fontId="42" fillId="33" borderId="0" xfId="0" applyNumberFormat="1" applyFont="1" applyFill="1" applyBorder="1" applyAlignment="1" applyProtection="1"/>
    <xf numFmtId="165" fontId="24" fillId="33" borderId="0" xfId="0" applyNumberFormat="1" applyFont="1" applyFill="1" applyBorder="1" applyAlignment="1" applyProtection="1"/>
    <xf numFmtId="0" fontId="43" fillId="0" borderId="0" xfId="0" applyFont="1" applyAlignment="1">
      <alignment horizontal="justify" vertical="center"/>
    </xf>
    <xf numFmtId="0" fontId="44" fillId="0" borderId="0" xfId="0" applyFont="1" applyAlignment="1">
      <alignment horizontal="justify" vertical="center"/>
    </xf>
    <xf numFmtId="0" fontId="39" fillId="0" borderId="0" xfId="75" applyFont="1" applyFill="1" applyAlignment="1">
      <alignment vertical="center"/>
    </xf>
    <xf numFmtId="0" fontId="39" fillId="0" borderId="0" xfId="75" applyFont="1" applyFill="1" applyBorder="1" applyAlignment="1">
      <alignment vertical="center"/>
    </xf>
    <xf numFmtId="0" fontId="39" fillId="33" borderId="0" xfId="0" applyNumberFormat="1" applyFont="1" applyFill="1" applyAlignment="1"/>
    <xf numFmtId="0" fontId="45" fillId="33" borderId="0" xfId="44" applyNumberFormat="1" applyFont="1" applyFill="1" applyBorder="1" applyAlignment="1" applyProtection="1"/>
    <xf numFmtId="165" fontId="20" fillId="0" borderId="11" xfId="0" applyNumberFormat="1" applyFont="1" applyFill="1" applyBorder="1" applyAlignment="1" applyProtection="1">
      <alignment horizontal="right" vertical="center" wrapText="1" indent="1"/>
    </xf>
    <xf numFmtId="165" fontId="20" fillId="0" borderId="13" xfId="0" applyNumberFormat="1" applyFont="1" applyFill="1" applyBorder="1" applyAlignment="1" applyProtection="1">
      <alignment horizontal="right" vertical="center" wrapText="1" indent="1"/>
    </xf>
    <xf numFmtId="165" fontId="0" fillId="33" borderId="0" xfId="0" applyNumberFormat="1" applyFill="1"/>
    <xf numFmtId="0" fontId="22" fillId="0" borderId="0" xfId="0" applyFont="1" applyFill="1" applyBorder="1" applyAlignment="1"/>
    <xf numFmtId="165" fontId="20" fillId="0" borderId="13" xfId="0" applyNumberFormat="1" applyFont="1" applyFill="1" applyBorder="1" applyAlignment="1">
      <alignment horizontal="right" indent="1"/>
    </xf>
    <xf numFmtId="165" fontId="22" fillId="0" borderId="15" xfId="0" applyNumberFormat="1" applyFont="1" applyFill="1" applyBorder="1" applyAlignment="1">
      <alignment horizontal="right" indent="1"/>
    </xf>
    <xf numFmtId="165" fontId="22" fillId="0" borderId="18" xfId="0" applyNumberFormat="1" applyFont="1" applyFill="1" applyBorder="1" applyAlignment="1">
      <alignment horizontal="right" indent="1"/>
    </xf>
    <xf numFmtId="165" fontId="20" fillId="0" borderId="11" xfId="0" applyNumberFormat="1" applyFont="1" applyFill="1" applyBorder="1" applyAlignment="1">
      <alignment horizontal="right" indent="1"/>
    </xf>
    <xf numFmtId="165" fontId="20" fillId="0" borderId="0" xfId="0" applyNumberFormat="1" applyFont="1" applyFill="1" applyBorder="1" applyAlignment="1">
      <alignment horizontal="right" vertical="center" wrapText="1" indent="1"/>
    </xf>
    <xf numFmtId="165" fontId="20" fillId="0" borderId="0" xfId="0" applyNumberFormat="1" applyFont="1" applyFill="1" applyAlignment="1"/>
    <xf numFmtId="0" fontId="27" fillId="0" borderId="0" xfId="0" applyFont="1" applyFill="1"/>
    <xf numFmtId="0" fontId="20" fillId="0" borderId="0" xfId="0" applyFont="1" applyFill="1" applyBorder="1" applyAlignment="1">
      <alignment vertical="center"/>
    </xf>
    <xf numFmtId="0" fontId="20" fillId="0" borderId="0" xfId="0" quotePrefix="1" applyNumberFormat="1" applyFont="1" applyFill="1" applyAlignment="1"/>
    <xf numFmtId="0" fontId="27" fillId="0" borderId="0" xfId="0" applyFont="1" applyFill="1" applyAlignment="1"/>
    <xf numFmtId="0" fontId="27" fillId="0" borderId="0" xfId="0" applyNumberFormat="1" applyFont="1" applyFill="1" applyBorder="1" applyAlignment="1" applyProtection="1"/>
    <xf numFmtId="0" fontId="0" fillId="0" borderId="0" xfId="0" applyNumberFormat="1" applyFont="1" applyFill="1" applyBorder="1" applyAlignment="1" applyProtection="1"/>
    <xf numFmtId="165" fontId="22" fillId="0" borderId="19" xfId="0" applyNumberFormat="1" applyFont="1" applyFill="1" applyBorder="1" applyAlignment="1">
      <alignment horizontal="right" indent="1"/>
    </xf>
    <xf numFmtId="0" fontId="0" fillId="0" borderId="0" xfId="0" applyFill="1"/>
    <xf numFmtId="165" fontId="20" fillId="0" borderId="12" xfId="0" applyNumberFormat="1" applyFont="1" applyFill="1" applyBorder="1" applyAlignment="1">
      <alignment horizontal="right" indent="1"/>
    </xf>
    <xf numFmtId="165" fontId="20" fillId="0" borderId="10" xfId="0" applyNumberFormat="1" applyFont="1" applyFill="1" applyBorder="1" applyAlignment="1">
      <alignment horizontal="right" indent="1"/>
    </xf>
    <xf numFmtId="3" fontId="21" fillId="33" borderId="10" xfId="75" applyNumberFormat="1" applyFont="1" applyFill="1" applyBorder="1" applyAlignment="1"/>
    <xf numFmtId="165" fontId="20" fillId="33" borderId="11" xfId="0" applyNumberFormat="1" applyFont="1" applyFill="1" applyBorder="1" applyAlignment="1">
      <alignment horizontal="right" indent="1"/>
    </xf>
    <xf numFmtId="165" fontId="22" fillId="0" borderId="15" xfId="0" applyNumberFormat="1" applyFont="1" applyFill="1" applyBorder="1" applyAlignment="1" applyProtection="1">
      <alignment horizontal="right" vertical="center" wrapText="1" indent="1"/>
    </xf>
    <xf numFmtId="165" fontId="22" fillId="0" borderId="17" xfId="0" applyNumberFormat="1" applyFont="1" applyFill="1" applyBorder="1" applyAlignment="1" applyProtection="1">
      <alignment horizontal="right" vertical="center" wrapText="1" indent="1"/>
    </xf>
    <xf numFmtId="165" fontId="22" fillId="0" borderId="17" xfId="0" applyNumberFormat="1" applyFont="1" applyFill="1" applyBorder="1" applyAlignment="1">
      <alignment horizontal="right" vertical="center" wrapText="1" indent="1"/>
    </xf>
    <xf numFmtId="0" fontId="22" fillId="33" borderId="17" xfId="0" applyFont="1" applyFill="1" applyBorder="1" applyAlignment="1">
      <alignment horizontal="right" vertical="top" wrapText="1" indent="1"/>
    </xf>
    <xf numFmtId="0" fontId="22" fillId="33" borderId="11" xfId="0" applyFont="1" applyFill="1" applyBorder="1" applyAlignment="1">
      <alignment horizontal="right" vertical="top" wrapText="1" indent="1"/>
    </xf>
    <xf numFmtId="0" fontId="22" fillId="0" borderId="17" xfId="0" applyFont="1" applyFill="1" applyBorder="1" applyAlignment="1">
      <alignment horizontal="right" vertical="top" wrapText="1" indent="1"/>
    </xf>
    <xf numFmtId="0" fontId="23" fillId="0" borderId="0" xfId="0" applyFont="1" applyAlignment="1">
      <alignment vertical="center" wrapText="1"/>
    </xf>
    <xf numFmtId="0" fontId="42" fillId="0" borderId="0" xfId="0" applyFont="1" applyAlignment="1">
      <alignment horizontal="justify" vertical="center"/>
    </xf>
    <xf numFmtId="0" fontId="22" fillId="0" borderId="0" xfId="0" applyFont="1"/>
    <xf numFmtId="0" fontId="20" fillId="0" borderId="0" xfId="0" applyFont="1" applyAlignment="1">
      <alignment horizontal="center" vertical="center"/>
    </xf>
    <xf numFmtId="0" fontId="20" fillId="0" borderId="0" xfId="0" applyFont="1"/>
    <xf numFmtId="0" fontId="20" fillId="0" borderId="0" xfId="0" applyFont="1" applyAlignment="1">
      <alignment wrapText="1"/>
    </xf>
    <xf numFmtId="0" fontId="20" fillId="0" borderId="11" xfId="0" applyFont="1" applyBorder="1" applyAlignment="1">
      <alignment horizontal="center" vertical="top" wrapText="1"/>
    </xf>
    <xf numFmtId="0" fontId="20" fillId="0" borderId="17" xfId="0" applyFont="1" applyBorder="1" applyAlignment="1">
      <alignment horizontal="center" vertical="center"/>
    </xf>
    <xf numFmtId="0" fontId="20" fillId="0" borderId="17" xfId="0" applyFont="1" applyBorder="1"/>
    <xf numFmtId="0" fontId="20" fillId="0" borderId="10" xfId="0" applyFont="1" applyBorder="1" applyAlignment="1">
      <alignment horizontal="center" vertical="center"/>
    </xf>
    <xf numFmtId="0" fontId="20" fillId="0" borderId="0" xfId="0" applyFont="1" applyBorder="1"/>
    <xf numFmtId="0" fontId="20" fillId="0" borderId="0" xfId="0" applyFont="1" applyBorder="1" applyAlignment="1">
      <alignment horizontal="center" vertical="center"/>
    </xf>
    <xf numFmtId="0" fontId="20" fillId="0" borderId="17" xfId="0" applyFont="1" applyBorder="1" applyAlignment="1">
      <alignment horizontal="center" vertical="top" wrapText="1"/>
    </xf>
    <xf numFmtId="0" fontId="20" fillId="0" borderId="17" xfId="74" applyFont="1" applyBorder="1"/>
    <xf numFmtId="0" fontId="20" fillId="0" borderId="10" xfId="74" applyFont="1" applyBorder="1"/>
    <xf numFmtId="0" fontId="20" fillId="0" borderId="0" xfId="74" applyFont="1" applyBorder="1"/>
    <xf numFmtId="0" fontId="20" fillId="0" borderId="25" xfId="74" applyFont="1" applyBorder="1"/>
    <xf numFmtId="0" fontId="21" fillId="33" borderId="0" xfId="0" quotePrefix="1" applyFont="1" applyFill="1" applyBorder="1" applyAlignment="1">
      <alignment vertical="center"/>
    </xf>
    <xf numFmtId="0" fontId="21" fillId="33" borderId="0" xfId="0" quotePrefix="1" applyFont="1" applyFill="1"/>
    <xf numFmtId="0" fontId="40" fillId="0" borderId="0" xfId="0" quotePrefix="1" applyFont="1" applyAlignment="1">
      <alignment vertical="center"/>
    </xf>
    <xf numFmtId="0" fontId="21" fillId="33" borderId="0" xfId="0" quotePrefix="1" applyFont="1" applyFill="1" applyAlignment="1"/>
    <xf numFmtId="0" fontId="21" fillId="0" borderId="0" xfId="75" quotePrefix="1" applyFont="1" applyAlignment="1">
      <alignment vertical="center"/>
    </xf>
    <xf numFmtId="0" fontId="40" fillId="0" borderId="0" xfId="0" applyNumberFormat="1" applyFont="1" applyFill="1" applyBorder="1" applyAlignment="1" applyProtection="1"/>
    <xf numFmtId="0" fontId="22" fillId="33" borderId="11" xfId="75" applyNumberFormat="1" applyFont="1" applyFill="1" applyBorder="1" applyAlignment="1">
      <alignment horizontal="right" indent="1"/>
    </xf>
    <xf numFmtId="0" fontId="20" fillId="33" borderId="25" xfId="75" applyFont="1" applyFill="1" applyBorder="1" applyAlignment="1">
      <alignment horizontal="left"/>
    </xf>
    <xf numFmtId="0" fontId="20" fillId="33" borderId="0" xfId="75" applyFont="1" applyFill="1" applyBorder="1" applyAlignment="1">
      <alignment horizontal="left"/>
    </xf>
    <xf numFmtId="0" fontId="22" fillId="33" borderId="22" xfId="75" applyFont="1" applyFill="1" applyBorder="1" applyAlignment="1">
      <alignment horizontal="left"/>
    </xf>
    <xf numFmtId="0" fontId="20" fillId="33" borderId="24" xfId="75" applyFont="1" applyFill="1" applyBorder="1" applyAlignment="1">
      <alignment horizontal="left"/>
    </xf>
    <xf numFmtId="0" fontId="20" fillId="33" borderId="13" xfId="75" applyNumberFormat="1" applyFont="1" applyFill="1" applyBorder="1" applyAlignment="1">
      <alignment horizontal="right" indent="1"/>
    </xf>
    <xf numFmtId="0" fontId="20" fillId="33" borderId="15" xfId="75" applyNumberFormat="1" applyFont="1" applyFill="1" applyBorder="1" applyAlignment="1">
      <alignment horizontal="right" indent="1"/>
    </xf>
    <xf numFmtId="0" fontId="20" fillId="33" borderId="26" xfId="75" applyFont="1" applyFill="1" applyBorder="1"/>
    <xf numFmtId="0" fontId="22" fillId="33" borderId="21" xfId="75" applyFont="1" applyFill="1" applyBorder="1"/>
    <xf numFmtId="0" fontId="22" fillId="33" borderId="11" xfId="0" applyFont="1" applyFill="1" applyBorder="1" applyAlignment="1">
      <alignment horizontal="left" vertical="top" wrapText="1"/>
    </xf>
    <xf numFmtId="0" fontId="22" fillId="33" borderId="13" xfId="0" applyFont="1" applyFill="1" applyBorder="1" applyAlignment="1">
      <alignment horizontal="left" vertical="top" wrapText="1"/>
    </xf>
    <xf numFmtId="0" fontId="22" fillId="33" borderId="15" xfId="0" applyFont="1" applyFill="1" applyBorder="1" applyAlignment="1">
      <alignment horizontal="left" vertical="top" wrapText="1"/>
    </xf>
    <xf numFmtId="0" fontId="22" fillId="33" borderId="19" xfId="0" applyFont="1" applyFill="1" applyBorder="1" applyAlignment="1">
      <alignment horizontal="left" vertical="top" wrapText="1"/>
    </xf>
    <xf numFmtId="0" fontId="22" fillId="33" borderId="12" xfId="0" applyNumberFormat="1" applyFont="1" applyFill="1" applyBorder="1" applyAlignment="1" applyProtection="1">
      <alignment horizontal="center" vertical="center" wrapText="1"/>
    </xf>
    <xf numFmtId="0" fontId="22" fillId="33" borderId="14" xfId="0" applyNumberFormat="1" applyFont="1" applyFill="1" applyBorder="1" applyAlignment="1" applyProtection="1">
      <alignment horizontal="center" vertical="center" wrapText="1"/>
    </xf>
    <xf numFmtId="0" fontId="22" fillId="33" borderId="16" xfId="0" applyNumberFormat="1" applyFont="1" applyFill="1" applyBorder="1" applyAlignment="1" applyProtection="1">
      <alignment horizontal="center" vertical="center" wrapText="1"/>
    </xf>
    <xf numFmtId="0" fontId="22" fillId="33" borderId="20" xfId="0" applyNumberFormat="1" applyFont="1" applyFill="1" applyBorder="1" applyAlignment="1" applyProtection="1">
      <alignment horizontal="left" wrapText="1"/>
    </xf>
    <xf numFmtId="0" fontId="22" fillId="33" borderId="21" xfId="0" applyNumberFormat="1" applyFont="1" applyFill="1" applyBorder="1" applyAlignment="1" applyProtection="1">
      <alignment horizontal="left" wrapText="1"/>
    </xf>
    <xf numFmtId="0" fontId="0" fillId="33" borderId="11" xfId="0" applyNumberFormat="1" applyFont="1" applyFill="1" applyBorder="1" applyAlignment="1" applyProtection="1">
      <alignment horizontal="center" vertical="center"/>
    </xf>
    <xf numFmtId="0" fontId="0" fillId="33" borderId="13" xfId="0" applyNumberFormat="1" applyFont="1" applyFill="1" applyBorder="1" applyAlignment="1" applyProtection="1">
      <alignment horizontal="center" vertical="center"/>
    </xf>
    <xf numFmtId="0" fontId="0" fillId="33" borderId="15" xfId="0" applyNumberFormat="1" applyFont="1" applyFill="1" applyBorder="1" applyAlignment="1" applyProtection="1">
      <alignment horizontal="center" vertical="center"/>
    </xf>
    <xf numFmtId="0" fontId="20" fillId="33" borderId="12" xfId="0" applyNumberFormat="1" applyFont="1" applyFill="1" applyBorder="1" applyAlignment="1" applyProtection="1">
      <alignment horizontal="center" wrapText="1"/>
    </xf>
    <xf numFmtId="0" fontId="20" fillId="33" borderId="10" xfId="0" applyNumberFormat="1" applyFont="1" applyFill="1" applyBorder="1" applyAlignment="1" applyProtection="1">
      <alignment horizontal="center" wrapText="1"/>
    </xf>
    <xf numFmtId="0" fontId="20" fillId="33" borderId="22" xfId="0" applyNumberFormat="1" applyFont="1" applyFill="1" applyBorder="1" applyAlignment="1" applyProtection="1">
      <alignment horizontal="center" wrapText="1"/>
    </xf>
    <xf numFmtId="0" fontId="21" fillId="33" borderId="0" xfId="75" applyFont="1" applyFill="1" applyAlignment="1">
      <alignment wrapText="1"/>
    </xf>
    <xf numFmtId="0" fontId="41" fillId="0" borderId="0" xfId="76" applyFont="1" applyAlignment="1">
      <alignment wrapText="1"/>
    </xf>
    <xf numFmtId="0" fontId="21" fillId="0" borderId="0" xfId="75" applyFont="1" applyAlignment="1">
      <alignment horizontal="left" wrapText="1"/>
    </xf>
  </cellXfs>
  <cellStyles count="82">
    <cellStyle name="20 % - Accent1" xfId="21" builtinId="30" customBuiltin="1"/>
    <cellStyle name="20 % - Accent1 2" xfId="48" xr:uid="{00000000-0005-0000-0000-000001000000}"/>
    <cellStyle name="20 % - Accent1 3" xfId="73" xr:uid="{00000000-0005-0000-0000-000002000000}"/>
    <cellStyle name="20 % - Accent2" xfId="25" builtinId="34" customBuiltin="1"/>
    <cellStyle name="20 % - Accent2 2" xfId="51" xr:uid="{00000000-0005-0000-0000-000004000000}"/>
    <cellStyle name="20 % - Accent2 3" xfId="72" xr:uid="{00000000-0005-0000-0000-000005000000}"/>
    <cellStyle name="20 % - Accent3" xfId="29" builtinId="38" customBuiltin="1"/>
    <cellStyle name="20 % - Accent3 2" xfId="53" xr:uid="{00000000-0005-0000-0000-000007000000}"/>
    <cellStyle name="20 % - Accent3 3" xfId="71" xr:uid="{00000000-0005-0000-0000-000008000000}"/>
    <cellStyle name="20 % - Accent4" xfId="33" builtinId="42" customBuiltin="1"/>
    <cellStyle name="20 % - Accent4 2" xfId="55" xr:uid="{00000000-0005-0000-0000-00000A000000}"/>
    <cellStyle name="20 % - Accent4 3" xfId="70" xr:uid="{00000000-0005-0000-0000-00000B000000}"/>
    <cellStyle name="20 % - Accent5" xfId="37" builtinId="46" customBuiltin="1"/>
    <cellStyle name="20 % - Accent5 2" xfId="59" xr:uid="{00000000-0005-0000-0000-00000D000000}"/>
    <cellStyle name="20 % - Accent5 3" xfId="69" xr:uid="{00000000-0005-0000-0000-00000E000000}"/>
    <cellStyle name="20 % - Accent6" xfId="41" builtinId="50" customBuiltin="1"/>
    <cellStyle name="20 % - Accent6 2" xfId="62" xr:uid="{00000000-0005-0000-0000-000010000000}"/>
    <cellStyle name="20 % - Accent6 3" xfId="67" xr:uid="{00000000-0005-0000-0000-000011000000}"/>
    <cellStyle name="40 % - Accent1" xfId="22" builtinId="31" customBuiltin="1"/>
    <cellStyle name="40 % - Accent1 2" xfId="49" xr:uid="{00000000-0005-0000-0000-000013000000}"/>
    <cellStyle name="40 % - Accent1 3" xfId="66" xr:uid="{00000000-0005-0000-0000-000014000000}"/>
    <cellStyle name="40 % - Accent2" xfId="26" builtinId="35" customBuiltin="1"/>
    <cellStyle name="40 % - Accent2 2" xfId="52" xr:uid="{00000000-0005-0000-0000-000016000000}"/>
    <cellStyle name="40 % - Accent2 3" xfId="65" xr:uid="{00000000-0005-0000-0000-000017000000}"/>
    <cellStyle name="40 % - Accent3" xfId="30" builtinId="39" customBuiltin="1"/>
    <cellStyle name="40 % - Accent3 2" xfId="54" xr:uid="{00000000-0005-0000-0000-000019000000}"/>
    <cellStyle name="40 % - Accent3 3" xfId="64" xr:uid="{00000000-0005-0000-0000-00001A000000}"/>
    <cellStyle name="40 % - Accent4" xfId="34" builtinId="43" customBuiltin="1"/>
    <cellStyle name="40 % - Accent4 2" xfId="56" xr:uid="{00000000-0005-0000-0000-00001C000000}"/>
    <cellStyle name="40 % - Accent4 3" xfId="57" xr:uid="{00000000-0005-0000-0000-00001D000000}"/>
    <cellStyle name="40 % - Accent5" xfId="38" builtinId="47" customBuiltin="1"/>
    <cellStyle name="40 % - Accent5 2" xfId="60" xr:uid="{00000000-0005-0000-0000-00001F000000}"/>
    <cellStyle name="40 % - Accent5 3" xfId="50" xr:uid="{00000000-0005-0000-0000-000020000000}"/>
    <cellStyle name="40 % - Accent6" xfId="42" builtinId="51" customBuiltin="1"/>
    <cellStyle name="40 % - Accent6 2" xfId="63" xr:uid="{00000000-0005-0000-0000-000022000000}"/>
    <cellStyle name="40 % - Accent6 3" xfId="61" xr:uid="{00000000-0005-0000-0000-000023000000}"/>
    <cellStyle name="60 % - Accent1" xfId="23" builtinId="32" customBuiltin="1"/>
    <cellStyle name="60 % - Accent2" xfId="27" builtinId="36" customBuiltin="1"/>
    <cellStyle name="60 % - Accent3" xfId="31" builtinId="40" customBuiltin="1"/>
    <cellStyle name="60 % - Accent4" xfId="35" builtinId="44" customBuiltin="1"/>
    <cellStyle name="60 % - Accent5" xfId="39" builtinId="48" customBuiltin="1"/>
    <cellStyle name="60 %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Avertissement" xfId="16" builtinId="11" customBuiltin="1"/>
    <cellStyle name="Calcul" xfId="13" builtinId="22" customBuiltin="1"/>
    <cellStyle name="Cellule liée" xfId="14" builtinId="24" customBuiltin="1"/>
    <cellStyle name="Commentaire 2" xfId="47" xr:uid="{00000000-0005-0000-0000-000034000000}"/>
    <cellStyle name="Commentaire 3" xfId="58" xr:uid="{00000000-0005-0000-0000-000035000000}"/>
    <cellStyle name="Entrée" xfId="11" builtinId="20" customBuiltin="1"/>
    <cellStyle name="Insatisfaisant" xfId="9" builtinId="27" customBuiltin="1"/>
    <cellStyle name="Lien hypertexte" xfId="74" builtinId="8"/>
    <cellStyle name="Milliers" xfId="1" builtinId="3" customBuiltin="1"/>
    <cellStyle name="Milliers 2" xfId="46" xr:uid="{00000000-0005-0000-0000-00003A000000}"/>
    <cellStyle name="Milliers 3" xfId="68" xr:uid="{00000000-0005-0000-0000-00003B000000}"/>
    <cellStyle name="Neutre" xfId="10" builtinId="28" customBuiltin="1"/>
    <cellStyle name="Normal" xfId="0" builtinId="0" customBuiltin="1"/>
    <cellStyle name="Normal 2" xfId="75" xr:uid="{00000000-0005-0000-0000-00003E000000}"/>
    <cellStyle name="Normal 3" xfId="76" xr:uid="{00000000-0005-0000-0000-00003F000000}"/>
    <cellStyle name="Normal 3 2" xfId="79" xr:uid="{00000000-0005-0000-0000-000040000000}"/>
    <cellStyle name="Normal 4" xfId="81" xr:uid="{2834E39C-D554-4329-84EA-0C6A175AFC98}"/>
    <cellStyle name="Normal_FT2-3-PCS-et-filieres" xfId="44" xr:uid="{00000000-0005-0000-0000-000041000000}"/>
    <cellStyle name="Note" xfId="17" builtinId="10" customBuiltin="1"/>
    <cellStyle name="Pourcentage" xfId="2" builtinId="5" customBuiltin="1"/>
    <cellStyle name="Pourcentage 2" xfId="45" xr:uid="{00000000-0005-0000-0000-000043000000}"/>
    <cellStyle name="Pourcentage 2 2" xfId="80" xr:uid="{00000000-0005-0000-0000-000044000000}"/>
    <cellStyle name="Pourcentage 3" xfId="77" xr:uid="{00000000-0005-0000-0000-000045000000}"/>
    <cellStyle name="Pourcentage 3 2" xfId="78" xr:uid="{00000000-0005-0000-0000-000046000000}"/>
    <cellStyle name="Satisfaisant" xfId="8" builtinId="26" customBuiltin="1"/>
    <cellStyle name="Sortie" xfId="12" builtinId="21" customBuiltin="1"/>
    <cellStyle name="Texte explicatif" xfId="18" builtinId="53" customBuiltin="1"/>
    <cellStyle name="Titre" xfId="3" builtinId="15" customBuiltin="1"/>
    <cellStyle name="Titre 1" xfId="4" builtinId="16" customBuiltin="1"/>
    <cellStyle name="Titre 2" xfId="5" builtinId="17" customBuiltin="1"/>
    <cellStyle name="Titre 3" xfId="6" builtinId="18" customBuiltin="1"/>
    <cellStyle name="Titre 4" xfId="7" builtinId="19" customBuiltin="1"/>
    <cellStyle name="Total" xfId="19" builtinId="25" customBuiltin="1"/>
    <cellStyle name="Vérification" xfId="15"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R:\RH_SESSE\EXCEL\MODELES\CF_199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F_1997"/>
    </sheetNames>
    <definedNames>
      <definedName name="MiseAJour"/>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1"/>
  <sheetViews>
    <sheetView showGridLines="0" tabSelected="1" workbookViewId="0"/>
  </sheetViews>
  <sheetFormatPr baseColWidth="10" defaultRowHeight="12.75" x14ac:dyDescent="0.2"/>
  <cols>
    <col min="1" max="1" width="74.140625" style="174" customWidth="1"/>
    <col min="2" max="2" width="14.85546875" style="173" customWidth="1"/>
    <col min="3" max="3" width="29" style="174" customWidth="1"/>
    <col min="4" max="4" width="26" style="174" customWidth="1"/>
    <col min="5" max="16384" width="11.42578125" style="174"/>
  </cols>
  <sheetData>
    <row r="1" spans="1:4" ht="17.25" customHeight="1" x14ac:dyDescent="0.2">
      <c r="A1" s="172" t="s">
        <v>26</v>
      </c>
    </row>
    <row r="2" spans="1:4" s="175" customFormat="1" ht="38.25" x14ac:dyDescent="0.2">
      <c r="B2" s="176" t="s">
        <v>66</v>
      </c>
      <c r="C2" s="176" t="s">
        <v>74</v>
      </c>
      <c r="D2" s="176" t="s">
        <v>83</v>
      </c>
    </row>
    <row r="3" spans="1:4" ht="15.75" customHeight="1" x14ac:dyDescent="0.2">
      <c r="A3" s="183" t="s">
        <v>30</v>
      </c>
      <c r="B3" s="177" t="s">
        <v>57</v>
      </c>
      <c r="C3" s="178"/>
      <c r="D3" s="178"/>
    </row>
    <row r="4" spans="1:4" ht="15.75" customHeight="1" x14ac:dyDescent="0.2">
      <c r="A4" s="183" t="s">
        <v>28</v>
      </c>
      <c r="B4" s="177" t="s">
        <v>58</v>
      </c>
      <c r="C4" s="178"/>
      <c r="D4" s="178"/>
    </row>
    <row r="5" spans="1:4" s="180" customFormat="1" x14ac:dyDescent="0.2">
      <c r="A5" s="184"/>
      <c r="B5" s="179"/>
    </row>
    <row r="6" spans="1:4" s="180" customFormat="1" x14ac:dyDescent="0.2">
      <c r="A6" s="185"/>
      <c r="B6" s="181"/>
    </row>
    <row r="7" spans="1:4" s="180" customFormat="1" x14ac:dyDescent="0.2">
      <c r="A7" s="172" t="s">
        <v>67</v>
      </c>
      <c r="B7" s="181"/>
    </row>
    <row r="8" spans="1:4" s="180" customFormat="1" ht="38.25" x14ac:dyDescent="0.2">
      <c r="A8" s="186"/>
      <c r="B8" s="176" t="s">
        <v>66</v>
      </c>
      <c r="C8" s="182" t="s">
        <v>74</v>
      </c>
      <c r="D8" s="182" t="s">
        <v>83</v>
      </c>
    </row>
    <row r="9" spans="1:4" ht="15.75" customHeight="1" x14ac:dyDescent="0.2">
      <c r="A9" s="183" t="s">
        <v>61</v>
      </c>
      <c r="B9" s="177" t="s">
        <v>61</v>
      </c>
      <c r="C9" s="178"/>
      <c r="D9" s="178"/>
    </row>
    <row r="10" spans="1:4" ht="15.75" customHeight="1" x14ac:dyDescent="0.2">
      <c r="A10" s="183" t="s">
        <v>94</v>
      </c>
      <c r="B10" s="177" t="s">
        <v>59</v>
      </c>
      <c r="C10" s="178"/>
      <c r="D10" s="178"/>
    </row>
    <row r="11" spans="1:4" ht="15.75" customHeight="1" x14ac:dyDescent="0.2">
      <c r="A11" s="183" t="s">
        <v>132</v>
      </c>
      <c r="B11" s="177" t="s">
        <v>60</v>
      </c>
      <c r="C11" s="178"/>
      <c r="D11" s="178"/>
    </row>
  </sheetData>
  <hyperlinks>
    <hyperlink ref="A4" location="'Figure 2'!A1" display="Effectifs physiques des enseignants par type d'employeur et ministère au 31 décembre" xr:uid="{00000000-0004-0000-0000-000000000000}"/>
    <hyperlink ref="A3" location="'Figure 1'!A1" display="Effectifs physiques au 31 décembre des ministères et de leurs EPA rattachés" xr:uid="{00000000-0004-0000-0000-000001000000}"/>
    <hyperlink ref="A9" location="Définitions!A1" display="Définitions" xr:uid="{00000000-0004-0000-0000-000002000000}"/>
    <hyperlink ref="A10" location="'Figure 3'!A1" display="Répartition par mission des plafonds ministériels d'autorisation d'emplois de 2019 à 2023" xr:uid="{00000000-0004-0000-0000-000003000000}"/>
    <hyperlink ref="A11" location="'Figure 4'!A1" display="Consommation des emplois par ministère en 2022" xr:uid="{00000000-0004-0000-0000-000004000000}"/>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4AE18-B675-45C9-80DE-C8240EF072BC}">
  <dimension ref="A1:A8"/>
  <sheetViews>
    <sheetView showGridLines="0" zoomScaleNormal="100" workbookViewId="0"/>
  </sheetViews>
  <sheetFormatPr baseColWidth="10" defaultRowHeight="15" x14ac:dyDescent="0.25"/>
  <cols>
    <col min="1" max="1" width="107.85546875" customWidth="1"/>
  </cols>
  <sheetData>
    <row r="1" spans="1:1" ht="30" customHeight="1" x14ac:dyDescent="0.25">
      <c r="A1" s="136" t="s">
        <v>78</v>
      </c>
    </row>
    <row r="2" spans="1:1" ht="60" x14ac:dyDescent="0.25">
      <c r="A2" s="170" t="s">
        <v>96</v>
      </c>
    </row>
    <row r="3" spans="1:1" ht="90" x14ac:dyDescent="0.25">
      <c r="A3" s="170" t="s">
        <v>97</v>
      </c>
    </row>
    <row r="4" spans="1:1" ht="45" x14ac:dyDescent="0.25">
      <c r="A4" s="170" t="s">
        <v>98</v>
      </c>
    </row>
    <row r="5" spans="1:1" ht="30" x14ac:dyDescent="0.25">
      <c r="A5" s="170" t="s">
        <v>90</v>
      </c>
    </row>
    <row r="6" spans="1:1" ht="45" x14ac:dyDescent="0.25">
      <c r="A6" s="171" t="s">
        <v>99</v>
      </c>
    </row>
    <row r="7" spans="1:1" ht="31.5" customHeight="1" x14ac:dyDescent="0.25">
      <c r="A7" s="170"/>
    </row>
    <row r="8" spans="1:1" ht="16.5" x14ac:dyDescent="0.25">
      <c r="A8" s="13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C62"/>
  <sheetViews>
    <sheetView showGridLines="0" zoomScaleNormal="100" workbookViewId="0">
      <pane xSplit="2" topLeftCell="O1" activePane="topRight" state="frozen"/>
      <selection pane="topRight"/>
    </sheetView>
  </sheetViews>
  <sheetFormatPr baseColWidth="10" defaultColWidth="11.42578125" defaultRowHeight="15" x14ac:dyDescent="0.25"/>
  <cols>
    <col min="1" max="1" width="36.140625" style="1" customWidth="1"/>
    <col min="2" max="2" width="17.42578125" style="1" customWidth="1"/>
    <col min="3" max="22" width="12.7109375" style="3" customWidth="1"/>
    <col min="23" max="25" width="12.7109375" style="157" customWidth="1"/>
    <col min="26" max="28" width="12.7109375" style="1" customWidth="1"/>
    <col min="29" max="29" width="12.7109375" style="157" customWidth="1"/>
    <col min="30" max="16384" width="11.42578125" style="1"/>
  </cols>
  <sheetData>
    <row r="1" spans="1:29" ht="15" customHeight="1" x14ac:dyDescent="0.25">
      <c r="A1" s="10" t="s">
        <v>30</v>
      </c>
      <c r="B1" s="10"/>
      <c r="C1" s="10"/>
      <c r="D1" s="10"/>
      <c r="E1" s="10"/>
      <c r="F1" s="10"/>
      <c r="G1" s="10"/>
      <c r="H1" s="10"/>
      <c r="I1" s="10"/>
      <c r="J1" s="10"/>
      <c r="K1" s="10"/>
      <c r="L1" s="10"/>
      <c r="M1" s="10"/>
      <c r="N1" s="10"/>
      <c r="O1" s="10"/>
      <c r="P1" s="10"/>
      <c r="Q1" s="10"/>
      <c r="R1" s="10"/>
      <c r="S1" s="10"/>
      <c r="T1" s="10"/>
      <c r="U1" s="10"/>
      <c r="V1" s="10"/>
      <c r="W1" s="145"/>
    </row>
    <row r="2" spans="1:29" s="3" customFormat="1" ht="15" customHeight="1" x14ac:dyDescent="0.25">
      <c r="A2" s="61" t="s">
        <v>29</v>
      </c>
      <c r="B2" s="10"/>
      <c r="C2" s="10"/>
      <c r="D2" s="10"/>
      <c r="E2" s="10"/>
      <c r="F2" s="10"/>
      <c r="G2" s="10"/>
      <c r="H2" s="10"/>
      <c r="I2" s="10"/>
      <c r="J2" s="10"/>
      <c r="K2" s="10"/>
      <c r="L2" s="10"/>
      <c r="M2" s="10"/>
      <c r="N2" s="10"/>
      <c r="O2" s="10"/>
      <c r="P2" s="10"/>
      <c r="Q2" s="10"/>
      <c r="R2" s="10"/>
      <c r="S2" s="10"/>
      <c r="T2" s="10"/>
      <c r="U2" s="10"/>
      <c r="V2" s="10"/>
      <c r="W2" s="145"/>
      <c r="X2" s="157"/>
      <c r="Y2" s="157"/>
      <c r="AC2" s="157"/>
    </row>
    <row r="3" spans="1:29" s="58" customFormat="1" ht="38.25" x14ac:dyDescent="0.25">
      <c r="A3" s="56"/>
      <c r="B3" s="57"/>
      <c r="C3" s="167">
        <v>1998</v>
      </c>
      <c r="D3" s="167">
        <v>2000</v>
      </c>
      <c r="E3" s="167">
        <v>2002</v>
      </c>
      <c r="F3" s="168" t="s">
        <v>62</v>
      </c>
      <c r="G3" s="167">
        <v>2005</v>
      </c>
      <c r="H3" s="167">
        <v>2006</v>
      </c>
      <c r="I3" s="167">
        <v>2007</v>
      </c>
      <c r="J3" s="167">
        <v>2008</v>
      </c>
      <c r="K3" s="167">
        <v>2009</v>
      </c>
      <c r="L3" s="167">
        <v>2010</v>
      </c>
      <c r="M3" s="167">
        <v>2011</v>
      </c>
      <c r="N3" s="167">
        <v>2012</v>
      </c>
      <c r="O3" s="167">
        <v>2013</v>
      </c>
      <c r="P3" s="167">
        <v>2014</v>
      </c>
      <c r="Q3" s="167">
        <v>2015</v>
      </c>
      <c r="R3" s="167" t="s">
        <v>63</v>
      </c>
      <c r="S3" s="167">
        <v>2017</v>
      </c>
      <c r="T3" s="167">
        <v>2018</v>
      </c>
      <c r="U3" s="167">
        <v>2019</v>
      </c>
      <c r="V3" s="167">
        <v>2020</v>
      </c>
      <c r="W3" s="169" t="s">
        <v>84</v>
      </c>
      <c r="X3" s="169" t="s">
        <v>85</v>
      </c>
      <c r="Y3" s="169" t="s">
        <v>86</v>
      </c>
      <c r="Z3" s="167" t="s">
        <v>86</v>
      </c>
      <c r="AA3" s="167" t="s">
        <v>91</v>
      </c>
      <c r="AB3" s="167" t="s">
        <v>92</v>
      </c>
      <c r="AC3" s="169">
        <v>2024</v>
      </c>
    </row>
    <row r="4" spans="1:29" x14ac:dyDescent="0.25">
      <c r="A4" s="202" t="s">
        <v>10</v>
      </c>
      <c r="B4" s="11" t="s">
        <v>3</v>
      </c>
      <c r="C4" s="98">
        <v>42.1</v>
      </c>
      <c r="D4" s="98">
        <v>44.2</v>
      </c>
      <c r="E4" s="98">
        <v>43.7</v>
      </c>
      <c r="F4" s="163">
        <v>42.3</v>
      </c>
      <c r="G4" s="98">
        <v>41.5</v>
      </c>
      <c r="H4" s="98">
        <v>39.299999999999997</v>
      </c>
      <c r="I4" s="98">
        <v>38.4</v>
      </c>
      <c r="J4" s="98">
        <v>37</v>
      </c>
      <c r="K4" s="98">
        <v>35.6</v>
      </c>
      <c r="L4" s="98">
        <v>35.9</v>
      </c>
      <c r="M4" s="98">
        <v>33.299999999999997</v>
      </c>
      <c r="N4" s="98">
        <v>32.6</v>
      </c>
      <c r="O4" s="98">
        <v>32.200000000000003</v>
      </c>
      <c r="P4" s="98">
        <v>32.299999999999997</v>
      </c>
      <c r="Q4" s="98">
        <v>32.299999999999997</v>
      </c>
      <c r="R4" s="98">
        <v>32.299999999999997</v>
      </c>
      <c r="S4" s="98">
        <v>31.6</v>
      </c>
      <c r="T4" s="98">
        <v>31.1</v>
      </c>
      <c r="U4" s="98">
        <v>30.8</v>
      </c>
      <c r="V4" s="98">
        <v>31.288</v>
      </c>
      <c r="W4" s="146">
        <v>30.408999999999999</v>
      </c>
      <c r="X4" s="146">
        <v>30.06</v>
      </c>
      <c r="Y4" s="146">
        <v>29.9</v>
      </c>
      <c r="Z4" s="98">
        <v>29.89</v>
      </c>
      <c r="AA4" s="98">
        <v>29.388000000000002</v>
      </c>
      <c r="AB4" s="98">
        <v>28.827999999999999</v>
      </c>
      <c r="AC4" s="146">
        <v>29.725999999999999</v>
      </c>
    </row>
    <row r="5" spans="1:29" x14ac:dyDescent="0.25">
      <c r="A5" s="203"/>
      <c r="B5" s="12" t="s">
        <v>5</v>
      </c>
      <c r="C5" s="98">
        <v>20</v>
      </c>
      <c r="D5" s="98">
        <v>21.8</v>
      </c>
      <c r="E5" s="98">
        <v>23.7</v>
      </c>
      <c r="F5" s="98">
        <v>22.6</v>
      </c>
      <c r="G5" s="98">
        <v>12</v>
      </c>
      <c r="H5" s="98">
        <v>12.6</v>
      </c>
      <c r="I5" s="98">
        <v>12.9</v>
      </c>
      <c r="J5" s="98">
        <v>13.6</v>
      </c>
      <c r="K5" s="98">
        <v>12.4</v>
      </c>
      <c r="L5" s="98">
        <v>12.1</v>
      </c>
      <c r="M5" s="98">
        <v>12.8</v>
      </c>
      <c r="N5" s="98">
        <v>12.9</v>
      </c>
      <c r="O5" s="98">
        <v>13.2</v>
      </c>
      <c r="P5" s="98">
        <v>13.1</v>
      </c>
      <c r="Q5" s="98">
        <v>12.6</v>
      </c>
      <c r="R5" s="98">
        <v>12.8</v>
      </c>
      <c r="S5" s="98">
        <v>13</v>
      </c>
      <c r="T5" s="98">
        <v>12.6</v>
      </c>
      <c r="U5" s="98">
        <v>13.4</v>
      </c>
      <c r="V5" s="98">
        <v>13.727</v>
      </c>
      <c r="W5" s="146">
        <v>14.21</v>
      </c>
      <c r="X5" s="146">
        <v>14.653</v>
      </c>
      <c r="Y5" s="146">
        <v>15.058</v>
      </c>
      <c r="Z5" s="98">
        <v>15.762</v>
      </c>
      <c r="AA5" s="98">
        <v>16.093</v>
      </c>
      <c r="AB5" s="98">
        <v>16.678999999999998</v>
      </c>
      <c r="AC5" s="146">
        <v>16.298999999999999</v>
      </c>
    </row>
    <row r="6" spans="1:29" x14ac:dyDescent="0.25">
      <c r="A6" s="204"/>
      <c r="B6" s="13" t="s">
        <v>0</v>
      </c>
      <c r="C6" s="99">
        <v>62</v>
      </c>
      <c r="D6" s="99">
        <v>65.900000000000006</v>
      </c>
      <c r="E6" s="99">
        <v>67.3</v>
      </c>
      <c r="F6" s="99">
        <v>64.900000000000006</v>
      </c>
      <c r="G6" s="99">
        <v>53.5</v>
      </c>
      <c r="H6" s="99">
        <v>51.9</v>
      </c>
      <c r="I6" s="99">
        <v>51.2</v>
      </c>
      <c r="J6" s="99">
        <v>50.5</v>
      </c>
      <c r="K6" s="99">
        <v>48</v>
      </c>
      <c r="L6" s="99">
        <v>48</v>
      </c>
      <c r="M6" s="99">
        <v>46.1</v>
      </c>
      <c r="N6" s="99">
        <v>45.5</v>
      </c>
      <c r="O6" s="99">
        <v>45.3</v>
      </c>
      <c r="P6" s="99">
        <v>45.4</v>
      </c>
      <c r="Q6" s="99">
        <v>44.9</v>
      </c>
      <c r="R6" s="99">
        <v>45.1</v>
      </c>
      <c r="S6" s="99">
        <v>44.6</v>
      </c>
      <c r="T6" s="99">
        <v>43.7</v>
      </c>
      <c r="U6" s="99">
        <v>44.2</v>
      </c>
      <c r="V6" s="99">
        <v>45.015000000000001</v>
      </c>
      <c r="W6" s="147">
        <v>44.619</v>
      </c>
      <c r="X6" s="147">
        <v>44.713000000000001</v>
      </c>
      <c r="Y6" s="147">
        <v>44.957999999999998</v>
      </c>
      <c r="Z6" s="99">
        <v>45.652000000000001</v>
      </c>
      <c r="AA6" s="99">
        <v>45.481000000000002</v>
      </c>
      <c r="AB6" s="99">
        <v>45.506999999999998</v>
      </c>
      <c r="AC6" s="147">
        <v>46.024999999999999</v>
      </c>
    </row>
    <row r="7" spans="1:29" x14ac:dyDescent="0.25">
      <c r="A7" s="202" t="s">
        <v>80</v>
      </c>
      <c r="B7" s="11" t="s">
        <v>3</v>
      </c>
      <c r="C7" s="98">
        <v>398.6</v>
      </c>
      <c r="D7" s="98">
        <v>401.5</v>
      </c>
      <c r="E7" s="98">
        <v>405.1</v>
      </c>
      <c r="F7" s="98">
        <v>428</v>
      </c>
      <c r="G7" s="98">
        <v>423.7</v>
      </c>
      <c r="H7" s="98">
        <v>420.1</v>
      </c>
      <c r="I7" s="98">
        <v>415.6</v>
      </c>
      <c r="J7" s="98">
        <v>402.3</v>
      </c>
      <c r="K7" s="98">
        <v>299.2</v>
      </c>
      <c r="L7" s="98">
        <v>292.7</v>
      </c>
      <c r="M7" s="98">
        <v>284.60000000000002</v>
      </c>
      <c r="N7" s="98">
        <v>281.3</v>
      </c>
      <c r="O7" s="98">
        <v>272.8</v>
      </c>
      <c r="P7" s="98">
        <v>262.39999999999998</v>
      </c>
      <c r="Q7" s="98">
        <v>258.89999999999998</v>
      </c>
      <c r="R7" s="98">
        <v>262.89999999999998</v>
      </c>
      <c r="S7" s="98">
        <v>262.5</v>
      </c>
      <c r="T7" s="98">
        <v>261.7</v>
      </c>
      <c r="U7" s="98">
        <v>262.8</v>
      </c>
      <c r="V7" s="98">
        <v>266.37400000000002</v>
      </c>
      <c r="W7" s="146">
        <v>265.20600000000002</v>
      </c>
      <c r="X7" s="146">
        <v>282.601</v>
      </c>
      <c r="Y7" s="146">
        <v>282.613</v>
      </c>
      <c r="Z7" s="98">
        <v>282.89400000000001</v>
      </c>
      <c r="AA7" s="98">
        <v>281.40199999999999</v>
      </c>
      <c r="AB7" s="98">
        <v>275.77300000000002</v>
      </c>
      <c r="AC7" s="146">
        <v>278.87599999999998</v>
      </c>
    </row>
    <row r="8" spans="1:29" x14ac:dyDescent="0.25">
      <c r="A8" s="203"/>
      <c r="B8" s="12" t="s">
        <v>5</v>
      </c>
      <c r="C8" s="98">
        <v>5.2</v>
      </c>
      <c r="D8" s="98">
        <v>6.1</v>
      </c>
      <c r="E8" s="98">
        <v>5.0999999999999996</v>
      </c>
      <c r="F8" s="98">
        <v>5</v>
      </c>
      <c r="G8" s="98">
        <v>6.9</v>
      </c>
      <c r="H8" s="98">
        <v>7.4</v>
      </c>
      <c r="I8" s="98">
        <v>7.3</v>
      </c>
      <c r="J8" s="98">
        <v>8.5</v>
      </c>
      <c r="K8" s="98">
        <v>7.8</v>
      </c>
      <c r="L8" s="98">
        <v>8.3000000000000007</v>
      </c>
      <c r="M8" s="98">
        <v>8.1999999999999993</v>
      </c>
      <c r="N8" s="98">
        <v>8.3000000000000007</v>
      </c>
      <c r="O8" s="98">
        <v>8.3000000000000007</v>
      </c>
      <c r="P8" s="98">
        <v>8.3000000000000007</v>
      </c>
      <c r="Q8" s="98">
        <v>8.3000000000000007</v>
      </c>
      <c r="R8" s="98">
        <v>8.6999999999999993</v>
      </c>
      <c r="S8" s="98">
        <v>8.1999999999999993</v>
      </c>
      <c r="T8" s="98">
        <v>8.3000000000000007</v>
      </c>
      <c r="U8" s="98">
        <v>8.3000000000000007</v>
      </c>
      <c r="V8" s="98">
        <v>8.4809999999999999</v>
      </c>
      <c r="W8" s="146">
        <v>8.5779999999999994</v>
      </c>
      <c r="X8" s="146">
        <v>8.3930000000000007</v>
      </c>
      <c r="Y8" s="146">
        <v>7.5369999999999999</v>
      </c>
      <c r="Z8" s="98">
        <v>8.5250000000000004</v>
      </c>
      <c r="AA8" s="98">
        <v>8.7289999999999992</v>
      </c>
      <c r="AB8" s="98">
        <v>8.7710000000000008</v>
      </c>
      <c r="AC8" s="146">
        <v>8.7910000000000004</v>
      </c>
    </row>
    <row r="9" spans="1:29" x14ac:dyDescent="0.25">
      <c r="A9" s="204"/>
      <c r="B9" s="13" t="s">
        <v>0</v>
      </c>
      <c r="C9" s="99">
        <v>403.8</v>
      </c>
      <c r="D9" s="99">
        <v>407.6</v>
      </c>
      <c r="E9" s="99">
        <v>410.2</v>
      </c>
      <c r="F9" s="99">
        <v>433.1</v>
      </c>
      <c r="G9" s="99">
        <v>430.6</v>
      </c>
      <c r="H9" s="99">
        <v>427.4</v>
      </c>
      <c r="I9" s="99">
        <v>423</v>
      </c>
      <c r="J9" s="99">
        <v>410.8</v>
      </c>
      <c r="K9" s="99">
        <v>307</v>
      </c>
      <c r="L9" s="99">
        <v>300.89999999999998</v>
      </c>
      <c r="M9" s="99">
        <v>292.8</v>
      </c>
      <c r="N9" s="99">
        <v>289.60000000000002</v>
      </c>
      <c r="O9" s="99">
        <v>281</v>
      </c>
      <c r="P9" s="99">
        <v>270.60000000000002</v>
      </c>
      <c r="Q9" s="99">
        <v>267.2</v>
      </c>
      <c r="R9" s="99">
        <v>271.60000000000002</v>
      </c>
      <c r="S9" s="99">
        <v>270.8</v>
      </c>
      <c r="T9" s="99">
        <v>270</v>
      </c>
      <c r="U9" s="99">
        <v>271.2</v>
      </c>
      <c r="V9" s="99">
        <v>274.85500000000002</v>
      </c>
      <c r="W9" s="147">
        <v>273.78399999999999</v>
      </c>
      <c r="X9" s="147">
        <v>290.99400000000003</v>
      </c>
      <c r="Y9" s="147">
        <v>290.14999999999998</v>
      </c>
      <c r="Z9" s="99">
        <v>291.41899999999998</v>
      </c>
      <c r="AA9" s="99">
        <v>290.13099999999997</v>
      </c>
      <c r="AB9" s="99">
        <v>284.54399999999998</v>
      </c>
      <c r="AC9" s="147">
        <v>287.66699999999997</v>
      </c>
    </row>
    <row r="10" spans="1:29" x14ac:dyDescent="0.25">
      <c r="A10" s="202" t="s">
        <v>9</v>
      </c>
      <c r="B10" s="11" t="s">
        <v>3</v>
      </c>
      <c r="C10" s="98">
        <v>14.5</v>
      </c>
      <c r="D10" s="98">
        <v>14.6</v>
      </c>
      <c r="E10" s="98">
        <v>14.8</v>
      </c>
      <c r="F10" s="98">
        <v>13.9</v>
      </c>
      <c r="G10" s="98">
        <v>13.8</v>
      </c>
      <c r="H10" s="98">
        <v>14.1</v>
      </c>
      <c r="I10" s="98">
        <v>12.2</v>
      </c>
      <c r="J10" s="98">
        <v>11.6</v>
      </c>
      <c r="K10" s="98">
        <v>11.5</v>
      </c>
      <c r="L10" s="98">
        <v>11.4</v>
      </c>
      <c r="M10" s="98">
        <v>11.3</v>
      </c>
      <c r="N10" s="98">
        <v>11.1</v>
      </c>
      <c r="O10" s="98">
        <v>11.1</v>
      </c>
      <c r="P10" s="98">
        <v>11.2</v>
      </c>
      <c r="Q10" s="98">
        <v>11.2</v>
      </c>
      <c r="R10" s="98">
        <v>11.3</v>
      </c>
      <c r="S10" s="98">
        <v>11.3</v>
      </c>
      <c r="T10" s="98">
        <v>11.3</v>
      </c>
      <c r="U10" s="98">
        <v>10.8</v>
      </c>
      <c r="V10" s="98">
        <v>9.7100000000000009</v>
      </c>
      <c r="W10" s="146">
        <v>9.69</v>
      </c>
      <c r="X10" s="146">
        <v>9.9600000000000009</v>
      </c>
      <c r="Y10" s="146">
        <v>9.4369999999999994</v>
      </c>
      <c r="Z10" s="98">
        <v>9.4220000000000006</v>
      </c>
      <c r="AA10" s="98">
        <v>8.8680000000000003</v>
      </c>
      <c r="AB10" s="98">
        <v>8.8550000000000004</v>
      </c>
      <c r="AC10" s="146">
        <v>8.952</v>
      </c>
    </row>
    <row r="11" spans="1:29" x14ac:dyDescent="0.25">
      <c r="A11" s="203"/>
      <c r="B11" s="12" t="s">
        <v>5</v>
      </c>
      <c r="C11" s="98">
        <v>7.7</v>
      </c>
      <c r="D11" s="98">
        <v>8.1</v>
      </c>
      <c r="E11" s="98">
        <v>7.8</v>
      </c>
      <c r="F11" s="98">
        <v>8.1999999999999993</v>
      </c>
      <c r="G11" s="98">
        <v>10.4</v>
      </c>
      <c r="H11" s="98">
        <v>11.5</v>
      </c>
      <c r="I11" s="98">
        <v>12.9</v>
      </c>
      <c r="J11" s="98">
        <v>13.4</v>
      </c>
      <c r="K11" s="98">
        <v>13.2</v>
      </c>
      <c r="L11" s="98">
        <v>13.8</v>
      </c>
      <c r="M11" s="98">
        <v>13.6</v>
      </c>
      <c r="N11" s="98">
        <v>13.9</v>
      </c>
      <c r="O11" s="98">
        <v>13.7</v>
      </c>
      <c r="P11" s="98">
        <v>13.9</v>
      </c>
      <c r="Q11" s="98">
        <v>14.4</v>
      </c>
      <c r="R11" s="98">
        <v>14.2</v>
      </c>
      <c r="S11" s="98">
        <v>14</v>
      </c>
      <c r="T11" s="98">
        <v>14.1</v>
      </c>
      <c r="U11" s="98">
        <v>14.6</v>
      </c>
      <c r="V11" s="98">
        <v>15.084</v>
      </c>
      <c r="W11" s="146">
        <v>15.503</v>
      </c>
      <c r="X11" s="146">
        <v>14.989000000000001</v>
      </c>
      <c r="Y11" s="146">
        <v>14.962999999999999</v>
      </c>
      <c r="Z11" s="98">
        <v>15.493</v>
      </c>
      <c r="AA11" s="98">
        <v>16.209</v>
      </c>
      <c r="AB11" s="98">
        <v>16.937999999999999</v>
      </c>
      <c r="AC11" s="146">
        <v>16.821999999999999</v>
      </c>
    </row>
    <row r="12" spans="1:29" x14ac:dyDescent="0.25">
      <c r="A12" s="204"/>
      <c r="B12" s="13" t="s">
        <v>0</v>
      </c>
      <c r="C12" s="99">
        <v>22.2</v>
      </c>
      <c r="D12" s="99">
        <v>22.7</v>
      </c>
      <c r="E12" s="99">
        <v>22.5</v>
      </c>
      <c r="F12" s="99">
        <v>22</v>
      </c>
      <c r="G12" s="99">
        <v>24.2</v>
      </c>
      <c r="H12" s="99">
        <v>25.6</v>
      </c>
      <c r="I12" s="99">
        <v>25.1</v>
      </c>
      <c r="J12" s="99">
        <v>25.1</v>
      </c>
      <c r="K12" s="99">
        <v>24.7</v>
      </c>
      <c r="L12" s="99">
        <v>25.2</v>
      </c>
      <c r="M12" s="99">
        <v>24.9</v>
      </c>
      <c r="N12" s="99">
        <v>25.1</v>
      </c>
      <c r="O12" s="99">
        <v>24.8</v>
      </c>
      <c r="P12" s="99">
        <v>25</v>
      </c>
      <c r="Q12" s="99">
        <v>25.6</v>
      </c>
      <c r="R12" s="99">
        <v>25.5</v>
      </c>
      <c r="S12" s="99">
        <v>25.3</v>
      </c>
      <c r="T12" s="99">
        <v>25.4</v>
      </c>
      <c r="U12" s="99">
        <v>25.4</v>
      </c>
      <c r="V12" s="99">
        <v>24.794</v>
      </c>
      <c r="W12" s="147">
        <v>25.193000000000001</v>
      </c>
      <c r="X12" s="147">
        <v>24.949000000000002</v>
      </c>
      <c r="Y12" s="147">
        <v>24.4</v>
      </c>
      <c r="Z12" s="99">
        <v>24.914999999999999</v>
      </c>
      <c r="AA12" s="99">
        <v>25.077000000000002</v>
      </c>
      <c r="AB12" s="99">
        <v>25.792999999999999</v>
      </c>
      <c r="AC12" s="147">
        <v>25.774000000000001</v>
      </c>
    </row>
    <row r="13" spans="1:29" x14ac:dyDescent="0.25">
      <c r="A13" s="202" t="s">
        <v>23</v>
      </c>
      <c r="B13" s="11" t="s">
        <v>3</v>
      </c>
      <c r="C13" s="98">
        <v>5</v>
      </c>
      <c r="D13" s="98">
        <v>4</v>
      </c>
      <c r="E13" s="98">
        <v>4.3</v>
      </c>
      <c r="F13" s="98">
        <v>4.5</v>
      </c>
      <c r="G13" s="98">
        <v>4.0999999999999996</v>
      </c>
      <c r="H13" s="98">
        <v>4</v>
      </c>
      <c r="I13" s="98">
        <v>3.9</v>
      </c>
      <c r="J13" s="98">
        <v>3.7</v>
      </c>
      <c r="K13" s="98">
        <v>3.7</v>
      </c>
      <c r="L13" s="98">
        <v>3.6</v>
      </c>
      <c r="M13" s="98">
        <v>4</v>
      </c>
      <c r="N13" s="98">
        <v>3.7</v>
      </c>
      <c r="O13" s="98">
        <v>3.8</v>
      </c>
      <c r="P13" s="98">
        <v>3.6</v>
      </c>
      <c r="Q13" s="98">
        <v>3.6</v>
      </c>
      <c r="R13" s="98">
        <v>3.6</v>
      </c>
      <c r="S13" s="98">
        <v>3.5</v>
      </c>
      <c r="T13" s="98">
        <v>3.4</v>
      </c>
      <c r="U13" s="98">
        <v>3.4</v>
      </c>
      <c r="V13" s="98">
        <v>3.5409999999999999</v>
      </c>
      <c r="W13" s="146">
        <v>3.6110000000000002</v>
      </c>
      <c r="X13" s="146">
        <v>3.6110000000000002</v>
      </c>
      <c r="Y13" s="146">
        <v>3.6960000000000002</v>
      </c>
      <c r="Z13" s="98">
        <v>3.665</v>
      </c>
      <c r="AA13" s="98">
        <v>3.7440000000000002</v>
      </c>
      <c r="AB13" s="98">
        <v>3.7349999999999999</v>
      </c>
      <c r="AC13" s="146">
        <v>3.8210000000000002</v>
      </c>
    </row>
    <row r="14" spans="1:29" x14ac:dyDescent="0.25">
      <c r="A14" s="203"/>
      <c r="B14" s="12" t="s">
        <v>5</v>
      </c>
      <c r="C14" s="98">
        <v>3.1</v>
      </c>
      <c r="D14" s="98">
        <v>2.7</v>
      </c>
      <c r="E14" s="98">
        <v>3.8</v>
      </c>
      <c r="F14" s="98">
        <v>4.4000000000000004</v>
      </c>
      <c r="G14" s="98">
        <v>0.9</v>
      </c>
      <c r="H14" s="98">
        <v>0.8</v>
      </c>
      <c r="I14" s="98">
        <v>0.8</v>
      </c>
      <c r="J14" s="98">
        <v>0.8</v>
      </c>
      <c r="K14" s="98">
        <v>0.6</v>
      </c>
      <c r="L14" s="98">
        <v>0.6</v>
      </c>
      <c r="M14" s="98">
        <v>0.6</v>
      </c>
      <c r="N14" s="98">
        <v>0.6</v>
      </c>
      <c r="O14" s="98">
        <v>0.2</v>
      </c>
      <c r="P14" s="98">
        <v>0.2</v>
      </c>
      <c r="Q14" s="98">
        <v>0.2</v>
      </c>
      <c r="R14" s="98">
        <v>0.2</v>
      </c>
      <c r="S14" s="98">
        <v>0.2</v>
      </c>
      <c r="T14" s="98">
        <v>0.2</v>
      </c>
      <c r="U14" s="98">
        <v>0.2</v>
      </c>
      <c r="V14" s="98">
        <v>0.17599999999999999</v>
      </c>
      <c r="W14" s="146">
        <v>0.19400000000000001</v>
      </c>
      <c r="X14" s="146">
        <v>0.19500000000000001</v>
      </c>
      <c r="Y14" s="146">
        <v>0.215</v>
      </c>
      <c r="Z14" s="98">
        <v>0.214</v>
      </c>
      <c r="AA14" s="98">
        <v>0.224</v>
      </c>
      <c r="AB14" s="98">
        <v>0.22600000000000001</v>
      </c>
      <c r="AC14" s="146">
        <v>0.23599999999999999</v>
      </c>
    </row>
    <row r="15" spans="1:29" x14ac:dyDescent="0.25">
      <c r="A15" s="204"/>
      <c r="B15" s="13" t="s">
        <v>0</v>
      </c>
      <c r="C15" s="99">
        <v>8.1</v>
      </c>
      <c r="D15" s="99">
        <v>6.7</v>
      </c>
      <c r="E15" s="99">
        <v>8.1</v>
      </c>
      <c r="F15" s="99">
        <v>8.8000000000000007</v>
      </c>
      <c r="G15" s="99">
        <v>5</v>
      </c>
      <c r="H15" s="99">
        <v>4.8</v>
      </c>
      <c r="I15" s="99">
        <v>4.7</v>
      </c>
      <c r="J15" s="99">
        <v>4.5</v>
      </c>
      <c r="K15" s="99">
        <v>4.3</v>
      </c>
      <c r="L15" s="99">
        <v>4.2</v>
      </c>
      <c r="M15" s="99">
        <v>4.5</v>
      </c>
      <c r="N15" s="99">
        <v>4.3</v>
      </c>
      <c r="O15" s="99">
        <v>3.9</v>
      </c>
      <c r="P15" s="99">
        <v>3.7</v>
      </c>
      <c r="Q15" s="99">
        <v>3.8</v>
      </c>
      <c r="R15" s="99">
        <v>3.8</v>
      </c>
      <c r="S15" s="99">
        <v>3.7</v>
      </c>
      <c r="T15" s="99">
        <v>3.6</v>
      </c>
      <c r="U15" s="99">
        <v>3.6</v>
      </c>
      <c r="V15" s="99">
        <v>3.7170000000000001</v>
      </c>
      <c r="W15" s="147">
        <v>3.8050000000000002</v>
      </c>
      <c r="X15" s="147">
        <v>3.806</v>
      </c>
      <c r="Y15" s="147">
        <v>3.911</v>
      </c>
      <c r="Z15" s="99">
        <v>3.879</v>
      </c>
      <c r="AA15" s="99">
        <v>3.968</v>
      </c>
      <c r="AB15" s="99">
        <v>3.9609999999999999</v>
      </c>
      <c r="AC15" s="147">
        <v>4.0570000000000004</v>
      </c>
    </row>
    <row r="16" spans="1:29" ht="15" customHeight="1" x14ac:dyDescent="0.25">
      <c r="A16" s="202" t="s">
        <v>24</v>
      </c>
      <c r="B16" s="11" t="s">
        <v>3</v>
      </c>
      <c r="C16" s="98">
        <v>203.9</v>
      </c>
      <c r="D16" s="98">
        <v>196.8</v>
      </c>
      <c r="E16" s="98">
        <v>195</v>
      </c>
      <c r="F16" s="98">
        <v>190.4</v>
      </c>
      <c r="G16" s="98">
        <v>189.6</v>
      </c>
      <c r="H16" s="98">
        <v>182.7</v>
      </c>
      <c r="I16" s="98">
        <v>177.3</v>
      </c>
      <c r="J16" s="98">
        <v>173.2</v>
      </c>
      <c r="K16" s="98">
        <v>165.9</v>
      </c>
      <c r="L16" s="98">
        <v>161.80000000000001</v>
      </c>
      <c r="M16" s="98">
        <v>158.4</v>
      </c>
      <c r="N16" s="98">
        <v>155.19999999999999</v>
      </c>
      <c r="O16" s="98">
        <v>151.69999999999999</v>
      </c>
      <c r="P16" s="98">
        <v>148.69999999999999</v>
      </c>
      <c r="Q16" s="98">
        <v>145.9</v>
      </c>
      <c r="R16" s="98">
        <v>143.6</v>
      </c>
      <c r="S16" s="98">
        <v>141.69999999999999</v>
      </c>
      <c r="T16" s="98">
        <v>139.4</v>
      </c>
      <c r="U16" s="98">
        <v>137.9</v>
      </c>
      <c r="V16" s="98">
        <v>134.60400000000001</v>
      </c>
      <c r="W16" s="146">
        <v>130.74799999999999</v>
      </c>
      <c r="X16" s="146">
        <v>132.36099999999999</v>
      </c>
      <c r="Y16" s="146">
        <v>129.81299999999999</v>
      </c>
      <c r="Z16" s="98">
        <v>129.62100000000001</v>
      </c>
      <c r="AA16" s="98">
        <v>128.572</v>
      </c>
      <c r="AB16" s="98">
        <v>128.60900000000001</v>
      </c>
      <c r="AC16" s="146">
        <v>130.214</v>
      </c>
    </row>
    <row r="17" spans="1:29" x14ac:dyDescent="0.25">
      <c r="A17" s="203"/>
      <c r="B17" s="12" t="s">
        <v>5</v>
      </c>
      <c r="C17" s="98">
        <v>10.199999999999999</v>
      </c>
      <c r="D17" s="98">
        <v>11</v>
      </c>
      <c r="E17" s="98">
        <v>10.9</v>
      </c>
      <c r="F17" s="98">
        <v>10.6</v>
      </c>
      <c r="G17" s="98">
        <v>9.5</v>
      </c>
      <c r="H17" s="98">
        <v>10.3</v>
      </c>
      <c r="I17" s="98">
        <v>10.199999999999999</v>
      </c>
      <c r="J17" s="98">
        <v>39.299999999999997</v>
      </c>
      <c r="K17" s="98">
        <v>57.7</v>
      </c>
      <c r="L17" s="98">
        <v>59.2</v>
      </c>
      <c r="M17" s="98">
        <v>10.8</v>
      </c>
      <c r="N17" s="98">
        <v>10.8</v>
      </c>
      <c r="O17" s="98">
        <v>12.1</v>
      </c>
      <c r="P17" s="98">
        <v>12</v>
      </c>
      <c r="Q17" s="98">
        <v>12</v>
      </c>
      <c r="R17" s="98">
        <v>12</v>
      </c>
      <c r="S17" s="98">
        <v>12.1</v>
      </c>
      <c r="T17" s="98">
        <v>12.2</v>
      </c>
      <c r="U17" s="98">
        <v>11.9</v>
      </c>
      <c r="V17" s="98">
        <v>12.189</v>
      </c>
      <c r="W17" s="146">
        <v>13.634</v>
      </c>
      <c r="X17" s="146">
        <v>12.877000000000001</v>
      </c>
      <c r="Y17" s="146">
        <v>13.026</v>
      </c>
      <c r="Z17" s="98">
        <v>13.193</v>
      </c>
      <c r="AA17" s="98">
        <v>13.528</v>
      </c>
      <c r="AB17" s="98">
        <v>13.273999999999999</v>
      </c>
      <c r="AC17" s="146">
        <v>12.992000000000001</v>
      </c>
    </row>
    <row r="18" spans="1:29" x14ac:dyDescent="0.25">
      <c r="A18" s="204"/>
      <c r="B18" s="13" t="s">
        <v>0</v>
      </c>
      <c r="C18" s="99">
        <v>214.1</v>
      </c>
      <c r="D18" s="99">
        <v>207.7</v>
      </c>
      <c r="E18" s="99">
        <v>206</v>
      </c>
      <c r="F18" s="99">
        <v>201</v>
      </c>
      <c r="G18" s="99">
        <v>199.2</v>
      </c>
      <c r="H18" s="99">
        <v>193</v>
      </c>
      <c r="I18" s="99">
        <v>187.6</v>
      </c>
      <c r="J18" s="99">
        <v>212.5</v>
      </c>
      <c r="K18" s="99">
        <v>223.6</v>
      </c>
      <c r="L18" s="99">
        <v>221</v>
      </c>
      <c r="M18" s="99">
        <v>169.2</v>
      </c>
      <c r="N18" s="99">
        <v>166</v>
      </c>
      <c r="O18" s="99">
        <v>163.80000000000001</v>
      </c>
      <c r="P18" s="99">
        <v>160.69999999999999</v>
      </c>
      <c r="Q18" s="99">
        <v>157.9</v>
      </c>
      <c r="R18" s="99">
        <v>155.6</v>
      </c>
      <c r="S18" s="99">
        <v>153.69999999999999</v>
      </c>
      <c r="T18" s="99">
        <v>151.69999999999999</v>
      </c>
      <c r="U18" s="99">
        <v>149.80000000000001</v>
      </c>
      <c r="V18" s="99">
        <v>146.79300000000001</v>
      </c>
      <c r="W18" s="147">
        <v>144.38200000000001</v>
      </c>
      <c r="X18" s="147">
        <v>145.238</v>
      </c>
      <c r="Y18" s="147">
        <v>142.839</v>
      </c>
      <c r="Z18" s="99">
        <v>142.81399999999999</v>
      </c>
      <c r="AA18" s="99">
        <v>142.1</v>
      </c>
      <c r="AB18" s="99">
        <v>141.88300000000001</v>
      </c>
      <c r="AC18" s="147">
        <v>143.20599999999999</v>
      </c>
    </row>
    <row r="19" spans="1:29" ht="15" customHeight="1" x14ac:dyDescent="0.25">
      <c r="A19" s="202" t="s">
        <v>75</v>
      </c>
      <c r="B19" s="11" t="s">
        <v>3</v>
      </c>
      <c r="C19" s="98">
        <v>1293.4000000000001</v>
      </c>
      <c r="D19" s="98">
        <v>1322.9</v>
      </c>
      <c r="E19" s="98">
        <v>1352.1</v>
      </c>
      <c r="F19" s="98">
        <v>1332.5</v>
      </c>
      <c r="G19" s="98">
        <v>1321.9</v>
      </c>
      <c r="H19" s="98">
        <v>1291.5999999999999</v>
      </c>
      <c r="I19" s="98">
        <v>1228.5</v>
      </c>
      <c r="J19" s="98">
        <v>1183.8</v>
      </c>
      <c r="K19" s="98">
        <v>1130.0999999999999</v>
      </c>
      <c r="L19" s="98">
        <v>1054.7</v>
      </c>
      <c r="M19" s="98">
        <v>1006.6</v>
      </c>
      <c r="N19" s="98">
        <v>988.1</v>
      </c>
      <c r="O19" s="98">
        <v>999.7</v>
      </c>
      <c r="P19" s="98">
        <v>1000.1</v>
      </c>
      <c r="Q19" s="98">
        <v>1011.3</v>
      </c>
      <c r="R19" s="98">
        <v>1029.3</v>
      </c>
      <c r="S19" s="98">
        <v>1049.9000000000001</v>
      </c>
      <c r="T19" s="98">
        <v>1064.7</v>
      </c>
      <c r="U19" s="98">
        <v>1056.7</v>
      </c>
      <c r="V19" s="98">
        <v>1055.6559999999999</v>
      </c>
      <c r="W19" s="146">
        <v>1052.7239999999999</v>
      </c>
      <c r="X19" s="146">
        <v>1048.021</v>
      </c>
      <c r="Y19" s="146">
        <v>1054.741</v>
      </c>
      <c r="Z19" s="98">
        <v>1055.356</v>
      </c>
      <c r="AA19" s="98">
        <v>1105.0809999999999</v>
      </c>
      <c r="AB19" s="98">
        <v>1100.423</v>
      </c>
      <c r="AC19" s="146">
        <v>1142.548</v>
      </c>
    </row>
    <row r="20" spans="1:29" x14ac:dyDescent="0.25">
      <c r="A20" s="203"/>
      <c r="B20" s="12" t="s">
        <v>5</v>
      </c>
      <c r="C20" s="98">
        <v>82.4</v>
      </c>
      <c r="D20" s="98">
        <v>84.4</v>
      </c>
      <c r="E20" s="98">
        <v>91.3</v>
      </c>
      <c r="F20" s="98">
        <v>109.1</v>
      </c>
      <c r="G20" s="98">
        <v>140.80000000000001</v>
      </c>
      <c r="H20" s="98">
        <v>164.8</v>
      </c>
      <c r="I20" s="98">
        <v>180.3</v>
      </c>
      <c r="J20" s="98">
        <v>184.6</v>
      </c>
      <c r="K20" s="98">
        <v>222.8</v>
      </c>
      <c r="L20" s="98">
        <v>290.5</v>
      </c>
      <c r="M20" s="98">
        <v>311.39999999999998</v>
      </c>
      <c r="N20" s="98">
        <v>326.7</v>
      </c>
      <c r="O20" s="98">
        <v>326.10000000000002</v>
      </c>
      <c r="P20" s="98">
        <v>327.9</v>
      </c>
      <c r="Q20" s="98">
        <v>331.7</v>
      </c>
      <c r="R20" s="98">
        <v>336.4</v>
      </c>
      <c r="S20" s="98">
        <v>334.3</v>
      </c>
      <c r="T20" s="98">
        <v>340.1</v>
      </c>
      <c r="U20" s="98">
        <v>367.1</v>
      </c>
      <c r="V20" s="98">
        <v>397.41</v>
      </c>
      <c r="W20" s="146">
        <v>400.53899999999999</v>
      </c>
      <c r="X20" s="146">
        <v>402.38799999999998</v>
      </c>
      <c r="Y20" s="146">
        <v>410.43900000000002</v>
      </c>
      <c r="Z20" s="146">
        <v>418.05599999999998</v>
      </c>
      <c r="AA20" s="146">
        <v>384.94</v>
      </c>
      <c r="AB20" s="146">
        <v>385.94299999999998</v>
      </c>
      <c r="AC20" s="146">
        <v>358.553</v>
      </c>
    </row>
    <row r="21" spans="1:29" x14ac:dyDescent="0.25">
      <c r="A21" s="204"/>
      <c r="B21" s="13" t="s">
        <v>0</v>
      </c>
      <c r="C21" s="99">
        <v>1375.8</v>
      </c>
      <c r="D21" s="99">
        <v>1407.3</v>
      </c>
      <c r="E21" s="99">
        <v>1443.4</v>
      </c>
      <c r="F21" s="99">
        <v>1441.6</v>
      </c>
      <c r="G21" s="99">
        <v>1462.7</v>
      </c>
      <c r="H21" s="99">
        <v>1456.4</v>
      </c>
      <c r="I21" s="99">
        <v>1408.8</v>
      </c>
      <c r="J21" s="99">
        <v>1368.4</v>
      </c>
      <c r="K21" s="99">
        <v>1352.9</v>
      </c>
      <c r="L21" s="99">
        <v>1345.2</v>
      </c>
      <c r="M21" s="99">
        <v>1318</v>
      </c>
      <c r="N21" s="99">
        <v>1314.8</v>
      </c>
      <c r="O21" s="99">
        <v>1325.8</v>
      </c>
      <c r="P21" s="99">
        <v>1328</v>
      </c>
      <c r="Q21" s="99">
        <v>1343</v>
      </c>
      <c r="R21" s="99">
        <v>1365.7</v>
      </c>
      <c r="S21" s="99">
        <v>1384.2</v>
      </c>
      <c r="T21" s="99">
        <v>1404.8</v>
      </c>
      <c r="U21" s="99">
        <v>1423.8</v>
      </c>
      <c r="V21" s="99">
        <v>1453.066</v>
      </c>
      <c r="W21" s="147">
        <v>1453.2629999999999</v>
      </c>
      <c r="X21" s="147">
        <v>1450.4090000000001</v>
      </c>
      <c r="Y21" s="147">
        <v>1465.18</v>
      </c>
      <c r="Z21" s="99">
        <v>1473.412</v>
      </c>
      <c r="AA21" s="99">
        <v>1490.021</v>
      </c>
      <c r="AB21" s="99">
        <v>1486.366</v>
      </c>
      <c r="AC21" s="147">
        <v>1501.1010000000001</v>
      </c>
    </row>
    <row r="22" spans="1:29" x14ac:dyDescent="0.25">
      <c r="A22" s="202" t="s">
        <v>81</v>
      </c>
      <c r="B22" s="11" t="s">
        <v>3</v>
      </c>
      <c r="C22" s="98">
        <v>179.9</v>
      </c>
      <c r="D22" s="98">
        <v>178.7</v>
      </c>
      <c r="E22" s="98">
        <v>201.4</v>
      </c>
      <c r="F22" s="98">
        <v>202</v>
      </c>
      <c r="G22" s="98">
        <v>201.5</v>
      </c>
      <c r="H22" s="98">
        <v>200.4</v>
      </c>
      <c r="I22" s="98">
        <v>201.4</v>
      </c>
      <c r="J22" s="98">
        <v>200.1</v>
      </c>
      <c r="K22" s="98">
        <v>293.7</v>
      </c>
      <c r="L22" s="98">
        <v>285.5</v>
      </c>
      <c r="M22" s="98">
        <v>286.39999999999998</v>
      </c>
      <c r="N22" s="98">
        <v>280.60000000000002</v>
      </c>
      <c r="O22" s="98">
        <v>283.60000000000002</v>
      </c>
      <c r="P22" s="98">
        <v>286.2</v>
      </c>
      <c r="Q22" s="98">
        <v>286</v>
      </c>
      <c r="R22" s="98">
        <v>289</v>
      </c>
      <c r="S22" s="98">
        <v>292.39999999999998</v>
      </c>
      <c r="T22" s="98">
        <v>295.39999999999998</v>
      </c>
      <c r="U22" s="98">
        <v>297.39999999999998</v>
      </c>
      <c r="V22" s="98">
        <v>299.11599999999999</v>
      </c>
      <c r="W22" s="146">
        <v>303.26100000000002</v>
      </c>
      <c r="X22" s="146">
        <v>296.89800000000002</v>
      </c>
      <c r="Y22" s="146">
        <v>298.988</v>
      </c>
      <c r="Z22" s="98">
        <v>297.755</v>
      </c>
      <c r="AA22" s="98">
        <v>302.274</v>
      </c>
      <c r="AB22" s="98">
        <v>300.34100000000001</v>
      </c>
      <c r="AC22" s="146">
        <v>299.65199999999999</v>
      </c>
    </row>
    <row r="23" spans="1:29" x14ac:dyDescent="0.25">
      <c r="A23" s="203"/>
      <c r="B23" s="12" t="s">
        <v>5</v>
      </c>
      <c r="C23" s="98">
        <v>0.4</v>
      </c>
      <c r="D23" s="98">
        <v>1</v>
      </c>
      <c r="E23" s="98">
        <v>0.1</v>
      </c>
      <c r="F23" s="98">
        <v>0.4</v>
      </c>
      <c r="G23" s="98">
        <v>0</v>
      </c>
      <c r="H23" s="98">
        <v>0.1</v>
      </c>
      <c r="I23" s="98">
        <v>0.1</v>
      </c>
      <c r="J23" s="98">
        <v>0.4</v>
      </c>
      <c r="K23" s="98">
        <v>1.3</v>
      </c>
      <c r="L23" s="98">
        <v>1.1000000000000001</v>
      </c>
      <c r="M23" s="98">
        <v>1.1000000000000001</v>
      </c>
      <c r="N23" s="98">
        <v>1.6</v>
      </c>
      <c r="O23" s="98">
        <v>2.2000000000000002</v>
      </c>
      <c r="P23" s="98">
        <v>2.2000000000000002</v>
      </c>
      <c r="Q23" s="98">
        <v>2.2999999999999998</v>
      </c>
      <c r="R23" s="98">
        <v>2.7</v>
      </c>
      <c r="S23" s="98">
        <v>2.9</v>
      </c>
      <c r="T23" s="98">
        <v>2.9</v>
      </c>
      <c r="U23" s="98">
        <v>3</v>
      </c>
      <c r="V23" s="98">
        <v>3.177</v>
      </c>
      <c r="W23" s="146">
        <v>3.202</v>
      </c>
      <c r="X23" s="146">
        <v>3.2080000000000002</v>
      </c>
      <c r="Y23" s="146">
        <v>3.431</v>
      </c>
      <c r="Z23" s="98">
        <v>3.4620000000000002</v>
      </c>
      <c r="AA23" s="98">
        <v>3.7189999999999999</v>
      </c>
      <c r="AB23" s="98">
        <v>3.7360000000000002</v>
      </c>
      <c r="AC23" s="146">
        <v>3.7229999999999999</v>
      </c>
    </row>
    <row r="24" spans="1:29" x14ac:dyDescent="0.25">
      <c r="A24" s="204"/>
      <c r="B24" s="13" t="s">
        <v>0</v>
      </c>
      <c r="C24" s="99">
        <v>180.3</v>
      </c>
      <c r="D24" s="99">
        <v>179.7</v>
      </c>
      <c r="E24" s="99">
        <v>201.5</v>
      </c>
      <c r="F24" s="99">
        <v>202.4</v>
      </c>
      <c r="G24" s="99">
        <v>201.5</v>
      </c>
      <c r="H24" s="99">
        <v>200.5</v>
      </c>
      <c r="I24" s="99">
        <v>201.5</v>
      </c>
      <c r="J24" s="99">
        <v>200.4</v>
      </c>
      <c r="K24" s="99">
        <v>295</v>
      </c>
      <c r="L24" s="99">
        <v>286.60000000000002</v>
      </c>
      <c r="M24" s="99">
        <v>287.5</v>
      </c>
      <c r="N24" s="99">
        <v>282.2</v>
      </c>
      <c r="O24" s="99">
        <v>285.89999999999998</v>
      </c>
      <c r="P24" s="99">
        <v>288.5</v>
      </c>
      <c r="Q24" s="99">
        <v>288.2</v>
      </c>
      <c r="R24" s="99">
        <v>291.7</v>
      </c>
      <c r="S24" s="99">
        <v>295.3</v>
      </c>
      <c r="T24" s="99">
        <v>298.3</v>
      </c>
      <c r="U24" s="99">
        <v>300.39999999999998</v>
      </c>
      <c r="V24" s="99">
        <v>302.29300000000001</v>
      </c>
      <c r="W24" s="147">
        <v>306.46300000000002</v>
      </c>
      <c r="X24" s="147">
        <v>300.10599999999999</v>
      </c>
      <c r="Y24" s="147">
        <v>302.41899999999998</v>
      </c>
      <c r="Z24" s="99">
        <v>301.21699999999998</v>
      </c>
      <c r="AA24" s="99">
        <v>305.99299999999999</v>
      </c>
      <c r="AB24" s="99">
        <v>304.077</v>
      </c>
      <c r="AC24" s="147">
        <v>303.375</v>
      </c>
    </row>
    <row r="25" spans="1:29" x14ac:dyDescent="0.25">
      <c r="A25" s="202" t="s">
        <v>4</v>
      </c>
      <c r="B25" s="11" t="s">
        <v>3</v>
      </c>
      <c r="C25" s="98">
        <v>64.400000000000006</v>
      </c>
      <c r="D25" s="98">
        <v>66</v>
      </c>
      <c r="E25" s="98">
        <v>68.3</v>
      </c>
      <c r="F25" s="98">
        <v>72.3</v>
      </c>
      <c r="G25" s="98">
        <v>74.2</v>
      </c>
      <c r="H25" s="98">
        <v>73.8</v>
      </c>
      <c r="I25" s="98">
        <v>74.5</v>
      </c>
      <c r="J25" s="98">
        <v>75.900000000000006</v>
      </c>
      <c r="K25" s="98">
        <v>74.900000000000006</v>
      </c>
      <c r="L25" s="98">
        <v>75.5</v>
      </c>
      <c r="M25" s="98">
        <v>76.2</v>
      </c>
      <c r="N25" s="98">
        <v>77.5</v>
      </c>
      <c r="O25" s="98">
        <v>77.3</v>
      </c>
      <c r="P25" s="98">
        <v>78.900000000000006</v>
      </c>
      <c r="Q25" s="98">
        <v>79.8</v>
      </c>
      <c r="R25" s="98">
        <v>85.9</v>
      </c>
      <c r="S25" s="98">
        <v>87.2</v>
      </c>
      <c r="T25" s="98">
        <v>89</v>
      </c>
      <c r="U25" s="98">
        <v>89.7</v>
      </c>
      <c r="V25" s="98">
        <v>91.519000000000005</v>
      </c>
      <c r="W25" s="146">
        <v>94.462000000000003</v>
      </c>
      <c r="X25" s="146">
        <v>94.364000000000004</v>
      </c>
      <c r="Y25" s="146">
        <v>93.68</v>
      </c>
      <c r="Z25" s="98">
        <v>91.450999999999993</v>
      </c>
      <c r="AA25" s="98">
        <v>91.606999999999999</v>
      </c>
      <c r="AB25" s="98">
        <v>92.54</v>
      </c>
      <c r="AC25" s="146">
        <v>94.543999999999997</v>
      </c>
    </row>
    <row r="26" spans="1:29" x14ac:dyDescent="0.25">
      <c r="A26" s="203"/>
      <c r="B26" s="12" t="s">
        <v>5</v>
      </c>
      <c r="C26" s="98">
        <v>0.8</v>
      </c>
      <c r="D26" s="98">
        <v>1</v>
      </c>
      <c r="E26" s="98">
        <v>1</v>
      </c>
      <c r="F26" s="98">
        <v>1.3</v>
      </c>
      <c r="G26" s="98">
        <v>1.4</v>
      </c>
      <c r="H26" s="98">
        <v>1.4</v>
      </c>
      <c r="I26" s="98">
        <v>1.4</v>
      </c>
      <c r="J26" s="98">
        <v>1.3</v>
      </c>
      <c r="K26" s="98">
        <v>1.1000000000000001</v>
      </c>
      <c r="L26" s="98">
        <v>0.8</v>
      </c>
      <c r="M26" s="98">
        <v>0.8</v>
      </c>
      <c r="N26" s="98">
        <v>0.8</v>
      </c>
      <c r="O26" s="98">
        <v>0.8</v>
      </c>
      <c r="P26" s="98">
        <v>0.8</v>
      </c>
      <c r="Q26" s="98">
        <v>0.9</v>
      </c>
      <c r="R26" s="98">
        <v>0.9</v>
      </c>
      <c r="S26" s="98">
        <v>0.9</v>
      </c>
      <c r="T26" s="98">
        <v>0.9</v>
      </c>
      <c r="U26" s="98">
        <v>0.9</v>
      </c>
      <c r="V26" s="98">
        <v>0.95399999999999996</v>
      </c>
      <c r="W26" s="146">
        <v>0.93300000000000005</v>
      </c>
      <c r="X26" s="146">
        <v>0.89200000000000002</v>
      </c>
      <c r="Y26" s="146">
        <v>2.0030000000000001</v>
      </c>
      <c r="Z26" s="98">
        <v>2.8839999999999999</v>
      </c>
      <c r="AA26" s="98">
        <v>3.3690000000000002</v>
      </c>
      <c r="AB26" s="98">
        <v>3.339</v>
      </c>
      <c r="AC26" s="146">
        <v>3.1240000000000001</v>
      </c>
    </row>
    <row r="27" spans="1:29" x14ac:dyDescent="0.25">
      <c r="A27" s="204"/>
      <c r="B27" s="13" t="s">
        <v>0</v>
      </c>
      <c r="C27" s="99">
        <v>65.3</v>
      </c>
      <c r="D27" s="99">
        <v>67</v>
      </c>
      <c r="E27" s="99">
        <v>69.3</v>
      </c>
      <c r="F27" s="99">
        <v>73.599999999999994</v>
      </c>
      <c r="G27" s="99">
        <v>75.599999999999994</v>
      </c>
      <c r="H27" s="99">
        <v>75.2</v>
      </c>
      <c r="I27" s="99">
        <v>75.900000000000006</v>
      </c>
      <c r="J27" s="99">
        <v>77.2</v>
      </c>
      <c r="K27" s="99">
        <v>76.099999999999994</v>
      </c>
      <c r="L27" s="99">
        <v>76.3</v>
      </c>
      <c r="M27" s="99">
        <v>77</v>
      </c>
      <c r="N27" s="99">
        <v>78.3</v>
      </c>
      <c r="O27" s="99">
        <v>78.2</v>
      </c>
      <c r="P27" s="99">
        <v>79.7</v>
      </c>
      <c r="Q27" s="99">
        <v>80.599999999999994</v>
      </c>
      <c r="R27" s="99">
        <v>86.8</v>
      </c>
      <c r="S27" s="99">
        <v>88.1</v>
      </c>
      <c r="T27" s="99">
        <v>89.9</v>
      </c>
      <c r="U27" s="99">
        <v>90.7</v>
      </c>
      <c r="V27" s="99">
        <v>92.472999999999999</v>
      </c>
      <c r="W27" s="147">
        <v>95.394999999999996</v>
      </c>
      <c r="X27" s="147">
        <v>95.256</v>
      </c>
      <c r="Y27" s="147">
        <v>95.683000000000007</v>
      </c>
      <c r="Z27" s="99">
        <v>94.334999999999994</v>
      </c>
      <c r="AA27" s="99">
        <v>94.975999999999999</v>
      </c>
      <c r="AB27" s="99">
        <v>95.879000000000005</v>
      </c>
      <c r="AC27" s="147">
        <v>97.668000000000006</v>
      </c>
    </row>
    <row r="28" spans="1:29" x14ac:dyDescent="0.25">
      <c r="A28" s="202" t="s">
        <v>12</v>
      </c>
      <c r="B28" s="11" t="s">
        <v>3</v>
      </c>
      <c r="C28" s="98">
        <v>3</v>
      </c>
      <c r="D28" s="98">
        <v>3</v>
      </c>
      <c r="E28" s="98">
        <v>3.5</v>
      </c>
      <c r="F28" s="98">
        <v>3.5</v>
      </c>
      <c r="G28" s="98">
        <v>3.2</v>
      </c>
      <c r="H28" s="98">
        <v>8.6</v>
      </c>
      <c r="I28" s="98">
        <v>8.6999999999999993</v>
      </c>
      <c r="J28" s="98">
        <v>8.9</v>
      </c>
      <c r="K28" s="98">
        <v>9.1</v>
      </c>
      <c r="L28" s="98">
        <v>9.9</v>
      </c>
      <c r="M28" s="98">
        <v>9.8000000000000007</v>
      </c>
      <c r="N28" s="98">
        <v>9.6999999999999993</v>
      </c>
      <c r="O28" s="98">
        <v>10.199999999999999</v>
      </c>
      <c r="P28" s="98">
        <v>10.6</v>
      </c>
      <c r="Q28" s="98">
        <v>10.3</v>
      </c>
      <c r="R28" s="98">
        <v>11.6</v>
      </c>
      <c r="S28" s="98">
        <v>11.7</v>
      </c>
      <c r="T28" s="98">
        <v>11.7</v>
      </c>
      <c r="U28" s="98">
        <v>11.8</v>
      </c>
      <c r="V28" s="98">
        <v>10.089</v>
      </c>
      <c r="W28" s="146">
        <v>10.195</v>
      </c>
      <c r="X28" s="146">
        <v>10.276999999999999</v>
      </c>
      <c r="Y28" s="146">
        <v>10.744</v>
      </c>
      <c r="Z28" s="98">
        <v>10.935</v>
      </c>
      <c r="AA28" s="98">
        <v>10.987</v>
      </c>
      <c r="AB28" s="98">
        <v>10.782</v>
      </c>
      <c r="AC28" s="146">
        <v>11.198</v>
      </c>
    </row>
    <row r="29" spans="1:29" x14ac:dyDescent="0.25">
      <c r="A29" s="203"/>
      <c r="B29" s="12" t="s">
        <v>5</v>
      </c>
      <c r="C29" s="98">
        <v>1.4</v>
      </c>
      <c r="D29" s="98">
        <v>1.4</v>
      </c>
      <c r="E29" s="98">
        <v>1.6</v>
      </c>
      <c r="F29" s="98">
        <v>1.4</v>
      </c>
      <c r="G29" s="98">
        <v>1.6</v>
      </c>
      <c r="H29" s="98">
        <v>1.6</v>
      </c>
      <c r="I29" s="98">
        <v>1.5</v>
      </c>
      <c r="J29" s="98">
        <v>1.5</v>
      </c>
      <c r="K29" s="98">
        <v>1.8</v>
      </c>
      <c r="L29" s="98">
        <v>1.9</v>
      </c>
      <c r="M29" s="98">
        <v>1.9</v>
      </c>
      <c r="N29" s="98">
        <v>1.9</v>
      </c>
      <c r="O29" s="98">
        <v>0.5</v>
      </c>
      <c r="P29" s="98">
        <v>0.5</v>
      </c>
      <c r="Q29" s="98">
        <v>0.6</v>
      </c>
      <c r="R29" s="98">
        <v>0.5</v>
      </c>
      <c r="S29" s="98">
        <v>0.5</v>
      </c>
      <c r="T29" s="98">
        <v>0.5</v>
      </c>
      <c r="U29" s="98">
        <v>0.5</v>
      </c>
      <c r="V29" s="98">
        <v>0.51</v>
      </c>
      <c r="W29" s="146">
        <v>0.47399999999999998</v>
      </c>
      <c r="X29" s="146">
        <v>0.08</v>
      </c>
      <c r="Y29" s="146">
        <v>0.53100000000000003</v>
      </c>
      <c r="Z29" s="98">
        <v>0.52500000000000002</v>
      </c>
      <c r="AA29" s="98">
        <v>0.57799999999999996</v>
      </c>
      <c r="AB29" s="98">
        <v>0.60299999999999998</v>
      </c>
      <c r="AC29" s="146">
        <v>0.625</v>
      </c>
    </row>
    <row r="30" spans="1:29" x14ac:dyDescent="0.25">
      <c r="A30" s="204"/>
      <c r="B30" s="13" t="s">
        <v>0</v>
      </c>
      <c r="C30" s="99">
        <v>4.4000000000000004</v>
      </c>
      <c r="D30" s="99">
        <v>4.4000000000000004</v>
      </c>
      <c r="E30" s="99">
        <v>5.0999999999999996</v>
      </c>
      <c r="F30" s="99">
        <v>4.9000000000000004</v>
      </c>
      <c r="G30" s="99">
        <v>4.8</v>
      </c>
      <c r="H30" s="99">
        <v>10.1</v>
      </c>
      <c r="I30" s="99">
        <v>10.1</v>
      </c>
      <c r="J30" s="99">
        <v>10.5</v>
      </c>
      <c r="K30" s="99">
        <v>10.9</v>
      </c>
      <c r="L30" s="99">
        <v>11.8</v>
      </c>
      <c r="M30" s="99">
        <v>11.7</v>
      </c>
      <c r="N30" s="99">
        <v>11.7</v>
      </c>
      <c r="O30" s="99">
        <v>10.8</v>
      </c>
      <c r="P30" s="99">
        <v>11.1</v>
      </c>
      <c r="Q30" s="99">
        <v>10.9</v>
      </c>
      <c r="R30" s="99">
        <v>12.2</v>
      </c>
      <c r="S30" s="99">
        <v>12.3</v>
      </c>
      <c r="T30" s="99">
        <v>12.3</v>
      </c>
      <c r="U30" s="99">
        <v>12.3</v>
      </c>
      <c r="V30" s="99">
        <v>10.599</v>
      </c>
      <c r="W30" s="147">
        <v>10.669</v>
      </c>
      <c r="X30" s="147">
        <v>10.356999999999999</v>
      </c>
      <c r="Y30" s="147">
        <v>11.275</v>
      </c>
      <c r="Z30" s="99">
        <v>11.46</v>
      </c>
      <c r="AA30" s="99">
        <v>11.565</v>
      </c>
      <c r="AB30" s="99">
        <v>11.385</v>
      </c>
      <c r="AC30" s="147">
        <v>11.823</v>
      </c>
    </row>
    <row r="31" spans="1:29" x14ac:dyDescent="0.25">
      <c r="A31" s="202" t="s">
        <v>25</v>
      </c>
      <c r="B31" s="11" t="s">
        <v>3</v>
      </c>
      <c r="C31" s="98">
        <v>35.700000000000003</v>
      </c>
      <c r="D31" s="98">
        <v>36.299999999999997</v>
      </c>
      <c r="E31" s="98">
        <v>36.299999999999997</v>
      </c>
      <c r="F31" s="98">
        <v>35.9</v>
      </c>
      <c r="G31" s="98">
        <v>36.1</v>
      </c>
      <c r="H31" s="98">
        <v>35.9</v>
      </c>
      <c r="I31" s="98">
        <v>34.9</v>
      </c>
      <c r="J31" s="98">
        <v>33.9</v>
      </c>
      <c r="K31" s="98">
        <v>33</v>
      </c>
      <c r="L31" s="98">
        <v>24.4</v>
      </c>
      <c r="M31" s="98">
        <v>23.4</v>
      </c>
      <c r="N31" s="98">
        <v>21.3</v>
      </c>
      <c r="O31" s="98">
        <v>21.4</v>
      </c>
      <c r="P31" s="98">
        <v>20.9</v>
      </c>
      <c r="Q31" s="98">
        <v>20.5</v>
      </c>
      <c r="R31" s="98">
        <v>20.100000000000001</v>
      </c>
      <c r="S31" s="98">
        <v>19.5</v>
      </c>
      <c r="T31" s="98">
        <v>19.100000000000001</v>
      </c>
      <c r="U31" s="98">
        <v>18.3</v>
      </c>
      <c r="V31" s="98">
        <v>16.507999999999999</v>
      </c>
      <c r="W31" s="146">
        <v>13.194000000000001</v>
      </c>
      <c r="X31" s="146">
        <v>13.679</v>
      </c>
      <c r="Y31" s="146">
        <v>13.669</v>
      </c>
      <c r="Z31" s="98">
        <v>13.757</v>
      </c>
      <c r="AA31" s="98">
        <v>13.693</v>
      </c>
      <c r="AB31" s="98">
        <v>13.683</v>
      </c>
      <c r="AC31" s="146">
        <v>13.436</v>
      </c>
    </row>
    <row r="32" spans="1:29" x14ac:dyDescent="0.25">
      <c r="A32" s="203"/>
      <c r="B32" s="12" t="s">
        <v>5</v>
      </c>
      <c r="C32" s="98">
        <v>29.9</v>
      </c>
      <c r="D32" s="98">
        <v>40.200000000000003</v>
      </c>
      <c r="E32" s="98">
        <v>47.4</v>
      </c>
      <c r="F32" s="98">
        <v>42.1</v>
      </c>
      <c r="G32" s="98">
        <v>41.5</v>
      </c>
      <c r="H32" s="98">
        <v>46.6</v>
      </c>
      <c r="I32" s="98">
        <v>47.6</v>
      </c>
      <c r="J32" s="98">
        <v>20</v>
      </c>
      <c r="K32" s="98">
        <v>17.2</v>
      </c>
      <c r="L32" s="98">
        <v>25.8</v>
      </c>
      <c r="M32" s="98">
        <v>74.5</v>
      </c>
      <c r="N32" s="98">
        <v>76.3</v>
      </c>
      <c r="O32" s="98">
        <v>78.3</v>
      </c>
      <c r="P32" s="98">
        <v>79.5</v>
      </c>
      <c r="Q32" s="98">
        <v>79</v>
      </c>
      <c r="R32" s="98">
        <v>79.2</v>
      </c>
      <c r="S32" s="98">
        <v>80</v>
      </c>
      <c r="T32" s="98">
        <v>78.900000000000006</v>
      </c>
      <c r="U32" s="98">
        <v>79.8</v>
      </c>
      <c r="V32" s="98">
        <v>82.055000000000007</v>
      </c>
      <c r="W32" s="146">
        <v>81.614000000000004</v>
      </c>
      <c r="X32" s="146">
        <v>80.790000000000006</v>
      </c>
      <c r="Y32" s="146">
        <v>80.498999999999995</v>
      </c>
      <c r="Z32" s="98">
        <v>80.167000000000002</v>
      </c>
      <c r="AA32" s="98">
        <v>80.691999999999993</v>
      </c>
      <c r="AB32" s="98">
        <v>81.156999999999996</v>
      </c>
      <c r="AC32" s="146">
        <v>80.611000000000004</v>
      </c>
    </row>
    <row r="33" spans="1:29" x14ac:dyDescent="0.25">
      <c r="A33" s="204"/>
      <c r="B33" s="13" t="s">
        <v>0</v>
      </c>
      <c r="C33" s="99">
        <v>65.599999999999994</v>
      </c>
      <c r="D33" s="99">
        <v>76.400000000000006</v>
      </c>
      <c r="E33" s="99">
        <v>83.7</v>
      </c>
      <c r="F33" s="99">
        <v>78</v>
      </c>
      <c r="G33" s="99">
        <v>77.599999999999994</v>
      </c>
      <c r="H33" s="99">
        <v>82.5</v>
      </c>
      <c r="I33" s="99">
        <v>82.5</v>
      </c>
      <c r="J33" s="99">
        <v>53.8</v>
      </c>
      <c r="K33" s="99">
        <v>50.1</v>
      </c>
      <c r="L33" s="99">
        <v>50.2</v>
      </c>
      <c r="M33" s="99">
        <v>97.8</v>
      </c>
      <c r="N33" s="99">
        <v>97.6</v>
      </c>
      <c r="O33" s="99">
        <v>99.6</v>
      </c>
      <c r="P33" s="99">
        <v>100.4</v>
      </c>
      <c r="Q33" s="99">
        <v>99.5</v>
      </c>
      <c r="R33" s="99">
        <v>99.3</v>
      </c>
      <c r="S33" s="99">
        <v>99.5</v>
      </c>
      <c r="T33" s="99">
        <v>98</v>
      </c>
      <c r="U33" s="99">
        <v>98.1</v>
      </c>
      <c r="V33" s="99">
        <v>98.563000000000002</v>
      </c>
      <c r="W33" s="147">
        <v>94.808000000000007</v>
      </c>
      <c r="X33" s="147">
        <v>94.468999999999994</v>
      </c>
      <c r="Y33" s="147">
        <v>94.168000000000006</v>
      </c>
      <c r="Z33" s="99">
        <v>93.924000000000007</v>
      </c>
      <c r="AA33" s="99">
        <v>94.385000000000005</v>
      </c>
      <c r="AB33" s="99">
        <v>94.84</v>
      </c>
      <c r="AC33" s="147">
        <v>94.046999999999997</v>
      </c>
    </row>
    <row r="34" spans="1:29" ht="15" customHeight="1" x14ac:dyDescent="0.25">
      <c r="A34" s="202" t="s">
        <v>76</v>
      </c>
      <c r="B34" s="11" t="s">
        <v>3</v>
      </c>
      <c r="C34" s="98">
        <v>116.5</v>
      </c>
      <c r="D34" s="98">
        <v>114.2</v>
      </c>
      <c r="E34" s="98">
        <v>114.6</v>
      </c>
      <c r="F34" s="98">
        <v>114.1</v>
      </c>
      <c r="G34" s="98">
        <v>113.1</v>
      </c>
      <c r="H34" s="98">
        <v>111</v>
      </c>
      <c r="I34" s="98">
        <v>106</v>
      </c>
      <c r="J34" s="98">
        <v>83.2</v>
      </c>
      <c r="K34" s="98">
        <v>78.5</v>
      </c>
      <c r="L34" s="98">
        <v>74.7</v>
      </c>
      <c r="M34" s="98">
        <v>71.900000000000006</v>
      </c>
      <c r="N34" s="98">
        <v>70</v>
      </c>
      <c r="O34" s="98">
        <v>62.2</v>
      </c>
      <c r="P34" s="98">
        <v>56.9</v>
      </c>
      <c r="Q34" s="98">
        <v>53.9</v>
      </c>
      <c r="R34" s="98">
        <v>52.5</v>
      </c>
      <c r="S34" s="98">
        <v>51.3</v>
      </c>
      <c r="T34" s="98">
        <v>50.5</v>
      </c>
      <c r="U34" s="98">
        <v>49.5</v>
      </c>
      <c r="V34" s="98">
        <v>47.866999999999997</v>
      </c>
      <c r="W34" s="146">
        <v>45.734000000000002</v>
      </c>
      <c r="X34" s="146">
        <v>45.683999999999997</v>
      </c>
      <c r="Y34" s="146">
        <v>46.253</v>
      </c>
      <c r="Z34" s="98">
        <v>46.311</v>
      </c>
      <c r="AA34" s="98">
        <v>45.642000000000003</v>
      </c>
      <c r="AB34" s="98">
        <v>45.613</v>
      </c>
      <c r="AC34" s="146">
        <v>45.588000000000001</v>
      </c>
    </row>
    <row r="35" spans="1:29" x14ac:dyDescent="0.25">
      <c r="A35" s="203"/>
      <c r="B35" s="12" t="s">
        <v>5</v>
      </c>
      <c r="C35" s="98">
        <v>12</v>
      </c>
      <c r="D35" s="98">
        <v>12.6</v>
      </c>
      <c r="E35" s="98">
        <v>14.1</v>
      </c>
      <c r="F35" s="98">
        <v>12.4</v>
      </c>
      <c r="G35" s="98">
        <v>11.1</v>
      </c>
      <c r="H35" s="98">
        <v>11.4</v>
      </c>
      <c r="I35" s="98">
        <v>11.5</v>
      </c>
      <c r="J35" s="98">
        <v>12.3</v>
      </c>
      <c r="K35" s="98">
        <v>12.7</v>
      </c>
      <c r="L35" s="98">
        <v>13.9</v>
      </c>
      <c r="M35" s="98">
        <v>14.3</v>
      </c>
      <c r="N35" s="98">
        <v>14.7</v>
      </c>
      <c r="O35" s="98">
        <v>19.3</v>
      </c>
      <c r="P35" s="98">
        <v>22.5</v>
      </c>
      <c r="Q35" s="98">
        <v>22.6</v>
      </c>
      <c r="R35" s="98">
        <v>21.8</v>
      </c>
      <c r="S35" s="98">
        <v>21.5</v>
      </c>
      <c r="T35" s="98">
        <v>21.2</v>
      </c>
      <c r="U35" s="98">
        <v>20.9</v>
      </c>
      <c r="V35" s="98">
        <v>21.273</v>
      </c>
      <c r="W35" s="146">
        <v>20.864000000000001</v>
      </c>
      <c r="X35" s="146">
        <v>20.863</v>
      </c>
      <c r="Y35" s="146">
        <v>20.933</v>
      </c>
      <c r="Z35" s="98">
        <v>21.084</v>
      </c>
      <c r="AA35" s="98">
        <v>20.898</v>
      </c>
      <c r="AB35" s="98">
        <v>20.968</v>
      </c>
      <c r="AC35" s="146">
        <v>21.539000000000001</v>
      </c>
    </row>
    <row r="36" spans="1:29" x14ac:dyDescent="0.25">
      <c r="A36" s="204"/>
      <c r="B36" s="13" t="s">
        <v>0</v>
      </c>
      <c r="C36" s="99">
        <v>128.6</v>
      </c>
      <c r="D36" s="99">
        <v>126.9</v>
      </c>
      <c r="E36" s="99">
        <v>128.69999999999999</v>
      </c>
      <c r="F36" s="99">
        <v>126.5</v>
      </c>
      <c r="G36" s="99">
        <v>124.2</v>
      </c>
      <c r="H36" s="99">
        <v>122.4</v>
      </c>
      <c r="I36" s="99">
        <v>117.6</v>
      </c>
      <c r="J36" s="99">
        <v>95.5</v>
      </c>
      <c r="K36" s="99">
        <v>91.2</v>
      </c>
      <c r="L36" s="99">
        <v>88.6</v>
      </c>
      <c r="M36" s="99">
        <v>86.2</v>
      </c>
      <c r="N36" s="99">
        <v>84.7</v>
      </c>
      <c r="O36" s="99">
        <v>81.5</v>
      </c>
      <c r="P36" s="99">
        <v>79.400000000000006</v>
      </c>
      <c r="Q36" s="99">
        <v>76.5</v>
      </c>
      <c r="R36" s="99">
        <v>74.3</v>
      </c>
      <c r="S36" s="99">
        <v>72.8</v>
      </c>
      <c r="T36" s="99">
        <v>71.7</v>
      </c>
      <c r="U36" s="99">
        <v>70.3</v>
      </c>
      <c r="V36" s="99">
        <v>69.14</v>
      </c>
      <c r="W36" s="147">
        <v>66.597999999999999</v>
      </c>
      <c r="X36" s="147">
        <v>66.546999999999997</v>
      </c>
      <c r="Y36" s="147">
        <v>67.186000000000007</v>
      </c>
      <c r="Z36" s="99">
        <v>67.394999999999996</v>
      </c>
      <c r="AA36" s="99">
        <v>66.540000000000006</v>
      </c>
      <c r="AB36" s="99">
        <v>66.581000000000003</v>
      </c>
      <c r="AC36" s="147">
        <v>67.126999999999995</v>
      </c>
    </row>
    <row r="37" spans="1:29" x14ac:dyDescent="0.25">
      <c r="A37" s="202" t="s">
        <v>0</v>
      </c>
      <c r="B37" s="14" t="s">
        <v>3</v>
      </c>
      <c r="C37" s="98">
        <v>2357.1</v>
      </c>
      <c r="D37" s="98">
        <v>2382</v>
      </c>
      <c r="E37" s="98">
        <v>2438.9</v>
      </c>
      <c r="F37" s="98">
        <v>2439.4</v>
      </c>
      <c r="G37" s="98">
        <v>2422.8000000000002</v>
      </c>
      <c r="H37" s="98">
        <v>2381.4</v>
      </c>
      <c r="I37" s="98">
        <v>2301.4</v>
      </c>
      <c r="J37" s="98">
        <v>2213.6999999999998</v>
      </c>
      <c r="K37" s="98">
        <v>2135.1999999999998</v>
      </c>
      <c r="L37" s="98">
        <v>2030.2</v>
      </c>
      <c r="M37" s="98">
        <v>1965.9</v>
      </c>
      <c r="N37" s="98">
        <v>1931.2</v>
      </c>
      <c r="O37" s="98">
        <v>1926</v>
      </c>
      <c r="P37" s="98">
        <v>1911.7</v>
      </c>
      <c r="Q37" s="98">
        <v>1913.7</v>
      </c>
      <c r="R37" s="98">
        <v>1942.2</v>
      </c>
      <c r="S37" s="98">
        <v>1962.7</v>
      </c>
      <c r="T37" s="98">
        <v>1977.3</v>
      </c>
      <c r="U37" s="98">
        <v>1969.3</v>
      </c>
      <c r="V37" s="98">
        <v>1966.2719999999999</v>
      </c>
      <c r="W37" s="146">
        <v>1959.2339999999999</v>
      </c>
      <c r="X37" s="146">
        <v>1967.5160000000001</v>
      </c>
      <c r="Y37" s="146">
        <v>1973.5340000000001</v>
      </c>
      <c r="Z37" s="98">
        <v>1971.1130000000001</v>
      </c>
      <c r="AA37" s="98">
        <v>2021.258</v>
      </c>
      <c r="AB37" s="98">
        <v>2009.182</v>
      </c>
      <c r="AC37" s="146">
        <v>2058.5549999999998</v>
      </c>
    </row>
    <row r="38" spans="1:29" x14ac:dyDescent="0.25">
      <c r="A38" s="203"/>
      <c r="B38" s="15" t="s">
        <v>5</v>
      </c>
      <c r="C38" s="98">
        <v>173.1</v>
      </c>
      <c r="D38" s="98">
        <v>190.3</v>
      </c>
      <c r="E38" s="98">
        <v>206.9</v>
      </c>
      <c r="F38" s="98">
        <v>217.5</v>
      </c>
      <c r="G38" s="98">
        <v>236</v>
      </c>
      <c r="H38" s="98">
        <v>268.5</v>
      </c>
      <c r="I38" s="98">
        <v>286.60000000000002</v>
      </c>
      <c r="J38" s="98">
        <v>295.60000000000002</v>
      </c>
      <c r="K38" s="98">
        <v>348.5</v>
      </c>
      <c r="L38" s="98">
        <v>427.9</v>
      </c>
      <c r="M38" s="98">
        <v>450</v>
      </c>
      <c r="N38" s="98">
        <v>468.6</v>
      </c>
      <c r="O38" s="98">
        <v>474.6</v>
      </c>
      <c r="P38" s="98">
        <v>480.9</v>
      </c>
      <c r="Q38" s="98">
        <v>484.4</v>
      </c>
      <c r="R38" s="98">
        <v>489.3</v>
      </c>
      <c r="S38" s="98">
        <v>487.5</v>
      </c>
      <c r="T38" s="98">
        <v>491.9</v>
      </c>
      <c r="U38" s="98">
        <v>520.6</v>
      </c>
      <c r="V38" s="98">
        <v>555.03599999999994</v>
      </c>
      <c r="W38" s="146">
        <v>559.745</v>
      </c>
      <c r="X38" s="146">
        <v>559.32799999999997</v>
      </c>
      <c r="Y38" s="146">
        <v>568.63499999999999</v>
      </c>
      <c r="Z38" s="98">
        <v>579.36500000000001</v>
      </c>
      <c r="AA38" s="98">
        <v>548.97900000000004</v>
      </c>
      <c r="AB38" s="98">
        <v>551.63400000000001</v>
      </c>
      <c r="AC38" s="146">
        <v>523.31500000000005</v>
      </c>
    </row>
    <row r="39" spans="1:29" ht="15.75" thickBot="1" x14ac:dyDescent="0.3">
      <c r="A39" s="205"/>
      <c r="B39" s="16" t="s">
        <v>0</v>
      </c>
      <c r="C39" s="100">
        <v>2530.1999999999998</v>
      </c>
      <c r="D39" s="100">
        <v>2572.3000000000002</v>
      </c>
      <c r="E39" s="100">
        <v>2645.7</v>
      </c>
      <c r="F39" s="100">
        <v>2656.9</v>
      </c>
      <c r="G39" s="100">
        <v>2658.9</v>
      </c>
      <c r="H39" s="100">
        <v>2649.9</v>
      </c>
      <c r="I39" s="100">
        <v>2588</v>
      </c>
      <c r="J39" s="100">
        <v>2509.1999999999998</v>
      </c>
      <c r="K39" s="100">
        <v>2483.6999999999998</v>
      </c>
      <c r="L39" s="100">
        <v>2458.1</v>
      </c>
      <c r="M39" s="100">
        <v>2415.9</v>
      </c>
      <c r="N39" s="100">
        <v>2399.9</v>
      </c>
      <c r="O39" s="100">
        <v>2400.6</v>
      </c>
      <c r="P39" s="100">
        <v>2392.6</v>
      </c>
      <c r="Q39" s="100">
        <v>2398</v>
      </c>
      <c r="R39" s="100">
        <v>2431.5</v>
      </c>
      <c r="S39" s="100">
        <v>2450.1999999999998</v>
      </c>
      <c r="T39" s="100">
        <v>2469.1999999999998</v>
      </c>
      <c r="U39" s="100">
        <v>2489.9</v>
      </c>
      <c r="V39" s="100">
        <v>2521.308</v>
      </c>
      <c r="W39" s="148">
        <v>2518.9789999999998</v>
      </c>
      <c r="X39" s="148">
        <v>2526.8440000000001</v>
      </c>
      <c r="Y39" s="158">
        <v>2542.1709999999998</v>
      </c>
      <c r="Z39" s="100">
        <v>2550.4780000000001</v>
      </c>
      <c r="AA39" s="133">
        <v>2570.2370000000001</v>
      </c>
      <c r="AB39" s="100">
        <v>2560.8159999999998</v>
      </c>
      <c r="AC39" s="158">
        <v>2581.87</v>
      </c>
    </row>
    <row r="40" spans="1:29" ht="15" customHeight="1" x14ac:dyDescent="0.25">
      <c r="A40" s="203" t="s">
        <v>14</v>
      </c>
      <c r="B40" s="14" t="s">
        <v>3</v>
      </c>
      <c r="C40" s="101">
        <v>1063.7</v>
      </c>
      <c r="D40" s="101">
        <v>1059.2</v>
      </c>
      <c r="E40" s="101">
        <v>1086.8</v>
      </c>
      <c r="F40" s="101">
        <v>1106.9000000000001</v>
      </c>
      <c r="G40" s="101">
        <v>1100.9000000000001</v>
      </c>
      <c r="H40" s="101">
        <v>1089.8</v>
      </c>
      <c r="I40" s="101">
        <v>1072.9000000000001</v>
      </c>
      <c r="J40" s="101">
        <v>1029.8</v>
      </c>
      <c r="K40" s="101">
        <v>1005.1</v>
      </c>
      <c r="L40" s="101">
        <v>975.5</v>
      </c>
      <c r="M40" s="132">
        <v>959.3</v>
      </c>
      <c r="N40" s="132">
        <v>943.1</v>
      </c>
      <c r="O40" s="132">
        <v>926.4</v>
      </c>
      <c r="P40" s="132">
        <v>911.6</v>
      </c>
      <c r="Q40" s="132">
        <v>902.4</v>
      </c>
      <c r="R40" s="132">
        <v>913</v>
      </c>
      <c r="S40" s="132">
        <v>912.8</v>
      </c>
      <c r="T40" s="132">
        <v>912.6</v>
      </c>
      <c r="U40" s="132">
        <v>912.6</v>
      </c>
      <c r="V40" s="132">
        <f t="shared" ref="V40:AA40" si="0">V37-V19</f>
        <v>910.61599999999999</v>
      </c>
      <c r="W40" s="149">
        <f t="shared" si="0"/>
        <v>906.51</v>
      </c>
      <c r="X40" s="160">
        <f t="shared" si="0"/>
        <v>919.49500000000012</v>
      </c>
      <c r="Y40" s="149">
        <f>Y37-Y19</f>
        <v>918.79300000000012</v>
      </c>
      <c r="Z40" s="132">
        <f t="shared" si="0"/>
        <v>915.75700000000006</v>
      </c>
      <c r="AA40" s="149">
        <f t="shared" si="0"/>
        <v>916.17700000000013</v>
      </c>
      <c r="AB40" s="132">
        <f t="shared" ref="AB40:AC40" si="1">AB37-AB19</f>
        <v>908.75900000000001</v>
      </c>
      <c r="AC40" s="149">
        <f t="shared" si="1"/>
        <v>916.00699999999983</v>
      </c>
    </row>
    <row r="41" spans="1:29" x14ac:dyDescent="0.25">
      <c r="A41" s="203"/>
      <c r="B41" s="17" t="s">
        <v>5</v>
      </c>
      <c r="C41" s="98">
        <v>90.7</v>
      </c>
      <c r="D41" s="98">
        <v>105.9</v>
      </c>
      <c r="E41" s="98">
        <v>115.5</v>
      </c>
      <c r="F41" s="98">
        <v>108.4</v>
      </c>
      <c r="G41" s="98">
        <v>95.3</v>
      </c>
      <c r="H41" s="98">
        <v>103.7</v>
      </c>
      <c r="I41" s="98">
        <v>106.2</v>
      </c>
      <c r="J41" s="98">
        <v>111</v>
      </c>
      <c r="K41" s="98">
        <v>125.7</v>
      </c>
      <c r="L41" s="98">
        <v>137.4</v>
      </c>
      <c r="M41" s="98">
        <v>138.6</v>
      </c>
      <c r="N41" s="98">
        <v>142</v>
      </c>
      <c r="O41" s="98">
        <v>148.5</v>
      </c>
      <c r="P41" s="98">
        <v>152.9</v>
      </c>
      <c r="Q41" s="98">
        <v>152.69999999999999</v>
      </c>
      <c r="R41" s="98">
        <v>152.9</v>
      </c>
      <c r="S41" s="98">
        <v>153.30000000000001</v>
      </c>
      <c r="T41" s="98">
        <v>151.80000000000001</v>
      </c>
      <c r="U41" s="98">
        <v>153.5</v>
      </c>
      <c r="V41" s="98">
        <f t="shared" ref="V41:W42" si="2">V38-V20</f>
        <v>157.62599999999992</v>
      </c>
      <c r="W41" s="146">
        <f t="shared" si="2"/>
        <v>159.20600000000002</v>
      </c>
      <c r="X41" s="146">
        <f t="shared" ref="X41:Y41" si="3">X38-X20</f>
        <v>156.94</v>
      </c>
      <c r="Y41" s="146">
        <f t="shared" si="3"/>
        <v>158.19599999999997</v>
      </c>
      <c r="Z41" s="98">
        <f t="shared" ref="Z41:AA41" si="4">Z38-Z20</f>
        <v>161.30900000000003</v>
      </c>
      <c r="AA41" s="146">
        <f t="shared" si="4"/>
        <v>164.03900000000004</v>
      </c>
      <c r="AB41" s="98">
        <f t="shared" ref="AB41:AC41" si="5">AB38-AB20</f>
        <v>165.69100000000003</v>
      </c>
      <c r="AC41" s="146">
        <f t="shared" si="5"/>
        <v>164.76200000000006</v>
      </c>
    </row>
    <row r="42" spans="1:29" x14ac:dyDescent="0.25">
      <c r="A42" s="204"/>
      <c r="B42" s="18" t="s">
        <v>0</v>
      </c>
      <c r="C42" s="99">
        <v>1154.4000000000001</v>
      </c>
      <c r="D42" s="99">
        <v>1165.0999999999999</v>
      </c>
      <c r="E42" s="99">
        <v>1202.3</v>
      </c>
      <c r="F42" s="99">
        <v>1215.3</v>
      </c>
      <c r="G42" s="99">
        <v>1196.2</v>
      </c>
      <c r="H42" s="99">
        <v>1193.5</v>
      </c>
      <c r="I42" s="99">
        <v>1179.0999999999999</v>
      </c>
      <c r="J42" s="99">
        <v>1140.8</v>
      </c>
      <c r="K42" s="99">
        <v>1130.8</v>
      </c>
      <c r="L42" s="99">
        <v>1112.9000000000001</v>
      </c>
      <c r="M42" s="99">
        <v>1097.9000000000001</v>
      </c>
      <c r="N42" s="99">
        <v>1085.0999999999999</v>
      </c>
      <c r="O42" s="99">
        <v>1074.9000000000001</v>
      </c>
      <c r="P42" s="99">
        <v>1064.5999999999999</v>
      </c>
      <c r="Q42" s="99">
        <v>1055.0999999999999</v>
      </c>
      <c r="R42" s="99">
        <v>1065.9000000000001</v>
      </c>
      <c r="S42" s="99">
        <v>1066.0999999999999</v>
      </c>
      <c r="T42" s="99">
        <v>1064.5</v>
      </c>
      <c r="U42" s="99">
        <v>1066.0999999999999</v>
      </c>
      <c r="V42" s="99">
        <f t="shared" si="2"/>
        <v>1068.242</v>
      </c>
      <c r="W42" s="147">
        <f t="shared" si="2"/>
        <v>1065.7159999999999</v>
      </c>
      <c r="X42" s="147">
        <f t="shared" ref="X42:Y42" si="6">X39-X21</f>
        <v>1076.4349999999999</v>
      </c>
      <c r="Y42" s="147">
        <f t="shared" si="6"/>
        <v>1076.9909999999998</v>
      </c>
      <c r="Z42" s="99">
        <f t="shared" ref="Z42:AA42" si="7">Z39-Z21</f>
        <v>1077.066</v>
      </c>
      <c r="AA42" s="99">
        <f t="shared" si="7"/>
        <v>1080.2160000000001</v>
      </c>
      <c r="AB42" s="99">
        <f t="shared" ref="AB42:AC42" si="8">AB39-AB21</f>
        <v>1074.4499999999998</v>
      </c>
      <c r="AC42" s="147">
        <f t="shared" si="8"/>
        <v>1080.7689999999998</v>
      </c>
    </row>
    <row r="43" spans="1:29" x14ac:dyDescent="0.25">
      <c r="A43" s="86" t="s">
        <v>8</v>
      </c>
      <c r="B43" s="19"/>
      <c r="C43" s="19"/>
      <c r="D43" s="19"/>
      <c r="E43" s="19"/>
      <c r="F43" s="19"/>
      <c r="G43" s="19"/>
      <c r="H43" s="19"/>
      <c r="I43" s="19"/>
      <c r="J43" s="19"/>
      <c r="K43" s="19"/>
      <c r="L43" s="19"/>
      <c r="M43" s="130"/>
      <c r="N43" s="130"/>
      <c r="O43" s="130"/>
      <c r="P43" s="131"/>
      <c r="Q43" s="131"/>
      <c r="R43" s="131"/>
      <c r="S43" s="131"/>
      <c r="T43" s="131"/>
      <c r="U43" s="131"/>
      <c r="V43" s="131"/>
      <c r="W43" s="150"/>
    </row>
    <row r="44" spans="1:29" s="3" customFormat="1" x14ac:dyDescent="0.25">
      <c r="A44" s="140" t="s">
        <v>15</v>
      </c>
      <c r="B44" s="20"/>
      <c r="C44" s="20"/>
      <c r="D44" s="20"/>
      <c r="E44" s="20"/>
      <c r="F44" s="20"/>
      <c r="G44" s="20"/>
      <c r="H44" s="20"/>
      <c r="I44" s="20"/>
      <c r="J44" s="20"/>
      <c r="K44" s="20"/>
      <c r="L44" s="20"/>
      <c r="M44" s="129"/>
      <c r="N44" s="129"/>
      <c r="O44" s="129"/>
      <c r="P44" s="129"/>
      <c r="Q44" s="129"/>
      <c r="R44" s="129"/>
      <c r="S44" s="129"/>
      <c r="T44" s="129"/>
      <c r="U44" s="129"/>
      <c r="V44" s="129"/>
      <c r="W44" s="151"/>
      <c r="X44" s="157"/>
      <c r="Y44" s="157"/>
      <c r="AC44" s="157"/>
    </row>
    <row r="45" spans="1:29" s="2" customFormat="1" x14ac:dyDescent="0.25">
      <c r="A45" s="88" t="s">
        <v>16</v>
      </c>
      <c r="B45" s="7"/>
      <c r="C45" s="7"/>
      <c r="D45" s="7"/>
      <c r="E45" s="7"/>
      <c r="F45" s="7"/>
      <c r="G45" s="7"/>
      <c r="H45" s="7"/>
      <c r="I45" s="7"/>
      <c r="J45" s="7"/>
      <c r="K45" s="7"/>
      <c r="L45" s="7"/>
      <c r="M45" s="7"/>
      <c r="N45" s="7"/>
      <c r="O45" s="7"/>
      <c r="P45" s="7"/>
      <c r="Q45" s="7"/>
      <c r="R45" s="7"/>
      <c r="S45" s="7"/>
      <c r="T45" s="7"/>
      <c r="U45" s="7"/>
      <c r="V45" s="7"/>
      <c r="W45" s="152"/>
      <c r="X45" s="159"/>
      <c r="Y45" s="159"/>
      <c r="AC45" s="159"/>
    </row>
    <row r="46" spans="1:29" s="2" customFormat="1" x14ac:dyDescent="0.25">
      <c r="A46" s="89" t="s">
        <v>17</v>
      </c>
      <c r="B46" s="21"/>
      <c r="C46" s="21"/>
      <c r="D46" s="21"/>
      <c r="E46" s="21"/>
      <c r="F46" s="21"/>
      <c r="G46" s="21"/>
      <c r="H46" s="21"/>
      <c r="I46" s="21"/>
      <c r="J46" s="21"/>
      <c r="K46" s="7"/>
      <c r="L46" s="7"/>
      <c r="M46" s="7"/>
      <c r="N46" s="7"/>
      <c r="O46" s="7"/>
      <c r="P46" s="7"/>
      <c r="Q46" s="7"/>
      <c r="R46" s="7"/>
      <c r="S46" s="7"/>
      <c r="T46" s="7"/>
      <c r="U46" s="7"/>
      <c r="V46" s="7"/>
      <c r="W46" s="152"/>
      <c r="X46" s="159"/>
      <c r="Y46" s="159"/>
      <c r="AA46" s="144"/>
      <c r="AC46" s="159"/>
    </row>
    <row r="47" spans="1:29" s="2" customFormat="1" x14ac:dyDescent="0.25">
      <c r="A47" s="89" t="s">
        <v>31</v>
      </c>
      <c r="B47" s="22"/>
      <c r="C47" s="22"/>
      <c r="D47" s="22"/>
      <c r="E47" s="22"/>
      <c r="F47" s="22"/>
      <c r="G47" s="22"/>
      <c r="H47" s="22"/>
      <c r="I47" s="22"/>
      <c r="J47" s="22"/>
      <c r="K47" s="7"/>
      <c r="L47" s="7"/>
      <c r="M47" s="7"/>
      <c r="N47" s="7"/>
      <c r="O47" s="7"/>
      <c r="P47" s="7"/>
      <c r="Q47" s="7"/>
      <c r="R47" s="7"/>
      <c r="S47" s="7"/>
      <c r="T47" s="7"/>
      <c r="U47" s="7"/>
      <c r="V47" s="7"/>
      <c r="W47" s="152"/>
      <c r="X47" s="159"/>
      <c r="Y47" s="159"/>
      <c r="AA47" s="144"/>
      <c r="AC47" s="159"/>
    </row>
    <row r="48" spans="1:29" s="2" customFormat="1" x14ac:dyDescent="0.25">
      <c r="A48" s="89" t="s">
        <v>18</v>
      </c>
      <c r="B48" s="22"/>
      <c r="C48" s="22"/>
      <c r="D48" s="22"/>
      <c r="E48" s="22"/>
      <c r="F48" s="22"/>
      <c r="G48" s="22"/>
      <c r="H48" s="22"/>
      <c r="I48" s="22"/>
      <c r="J48" s="22"/>
      <c r="K48" s="7"/>
      <c r="L48" s="7"/>
      <c r="M48" s="7"/>
      <c r="N48" s="7"/>
      <c r="O48" s="7"/>
      <c r="P48" s="7"/>
      <c r="Q48" s="7"/>
      <c r="R48" s="7"/>
      <c r="S48" s="7"/>
      <c r="T48" s="7"/>
      <c r="U48" s="7"/>
      <c r="V48" s="7"/>
      <c r="W48" s="152"/>
      <c r="X48" s="159"/>
      <c r="Y48" s="159"/>
      <c r="AC48" s="159"/>
    </row>
    <row r="49" spans="1:29" s="2" customFormat="1" x14ac:dyDescent="0.25">
      <c r="A49" s="89" t="s">
        <v>20</v>
      </c>
      <c r="B49" s="23"/>
      <c r="C49" s="23"/>
      <c r="D49" s="23"/>
      <c r="E49" s="23"/>
      <c r="F49" s="23"/>
      <c r="G49" s="23"/>
      <c r="H49" s="23"/>
      <c r="I49" s="23"/>
      <c r="J49" s="23"/>
      <c r="K49" s="7"/>
      <c r="L49" s="7"/>
      <c r="M49" s="7"/>
      <c r="N49" s="7"/>
      <c r="O49" s="7"/>
      <c r="P49" s="7"/>
      <c r="Q49" s="7"/>
      <c r="R49" s="7"/>
      <c r="S49" s="7"/>
      <c r="T49" s="7"/>
      <c r="U49" s="7"/>
      <c r="V49" s="7"/>
      <c r="W49" s="152"/>
      <c r="X49" s="159"/>
      <c r="Y49" s="159"/>
      <c r="AC49" s="159"/>
    </row>
    <row r="50" spans="1:29" s="2" customFormat="1" x14ac:dyDescent="0.25">
      <c r="A50" s="87" t="s">
        <v>19</v>
      </c>
      <c r="B50" s="20"/>
      <c r="C50" s="20"/>
      <c r="D50" s="20"/>
      <c r="E50" s="20"/>
      <c r="F50" s="20"/>
      <c r="G50" s="20"/>
      <c r="H50" s="20"/>
      <c r="I50" s="20"/>
      <c r="J50" s="20"/>
      <c r="K50" s="7"/>
      <c r="L50" s="7"/>
      <c r="M50" s="7"/>
      <c r="N50" s="7"/>
      <c r="O50" s="7"/>
      <c r="P50" s="7"/>
      <c r="Q50" s="7"/>
      <c r="R50" s="7"/>
      <c r="S50" s="7"/>
      <c r="T50" s="7"/>
      <c r="U50" s="7"/>
      <c r="V50" s="7"/>
      <c r="W50" s="152"/>
      <c r="X50" s="159"/>
      <c r="Y50" s="159"/>
      <c r="AC50" s="159"/>
    </row>
    <row r="51" spans="1:29" s="3" customFormat="1" x14ac:dyDescent="0.25">
      <c r="A51" s="187" t="s">
        <v>11</v>
      </c>
      <c r="B51" s="24"/>
      <c r="C51" s="24"/>
      <c r="D51" s="24"/>
      <c r="E51" s="24"/>
      <c r="F51" s="24"/>
      <c r="G51" s="24"/>
      <c r="H51" s="24"/>
      <c r="I51" s="24"/>
      <c r="J51" s="24"/>
      <c r="K51" s="24"/>
      <c r="L51" s="24"/>
      <c r="M51" s="24"/>
      <c r="N51" s="24"/>
      <c r="O51" s="24"/>
      <c r="P51" s="24"/>
      <c r="Q51" s="24"/>
      <c r="R51" s="24"/>
      <c r="S51" s="24"/>
      <c r="T51" s="24"/>
      <c r="U51" s="24"/>
      <c r="V51" s="24"/>
      <c r="W51" s="153"/>
      <c r="X51" s="157"/>
      <c r="Y51" s="157"/>
      <c r="AC51" s="157"/>
    </row>
    <row r="52" spans="1:29" s="3" customFormat="1" x14ac:dyDescent="0.25">
      <c r="A52" s="89" t="s">
        <v>13</v>
      </c>
      <c r="B52" s="21"/>
      <c r="C52" s="21"/>
      <c r="D52" s="21"/>
      <c r="E52" s="21"/>
      <c r="F52" s="21"/>
      <c r="G52" s="21"/>
      <c r="H52" s="21"/>
      <c r="I52" s="21"/>
      <c r="J52" s="21"/>
      <c r="K52" s="21"/>
      <c r="L52" s="21"/>
      <c r="M52" s="21"/>
      <c r="N52" s="21"/>
      <c r="O52" s="21"/>
      <c r="P52" s="21"/>
      <c r="Q52" s="21"/>
      <c r="R52" s="21"/>
      <c r="S52" s="21"/>
      <c r="T52" s="21"/>
      <c r="U52" s="21"/>
      <c r="V52" s="21"/>
      <c r="W52" s="154"/>
      <c r="X52" s="157"/>
      <c r="Y52" s="157"/>
      <c r="AC52" s="157"/>
    </row>
    <row r="53" spans="1:29" s="3" customFormat="1" x14ac:dyDescent="0.25">
      <c r="A53" s="89" t="s">
        <v>27</v>
      </c>
      <c r="B53" s="21"/>
      <c r="C53" s="21"/>
      <c r="D53" s="21"/>
      <c r="E53" s="21"/>
      <c r="F53" s="21"/>
      <c r="G53" s="21"/>
      <c r="H53" s="21"/>
      <c r="I53" s="21"/>
      <c r="J53" s="21"/>
      <c r="K53" s="21"/>
      <c r="L53" s="21"/>
      <c r="M53" s="21"/>
      <c r="N53" s="25"/>
      <c r="O53" s="25"/>
      <c r="P53" s="25"/>
      <c r="Q53" s="25"/>
      <c r="R53" s="25"/>
      <c r="S53" s="25"/>
      <c r="T53" s="25"/>
      <c r="U53" s="25"/>
      <c r="V53" s="25"/>
      <c r="W53" s="155"/>
      <c r="X53" s="157"/>
      <c r="Y53" s="157"/>
      <c r="AC53" s="157"/>
    </row>
    <row r="54" spans="1:29" s="3" customFormat="1" x14ac:dyDescent="0.25">
      <c r="A54" s="188" t="s">
        <v>22</v>
      </c>
      <c r="B54" s="4"/>
      <c r="C54" s="4"/>
      <c r="D54" s="4"/>
      <c r="E54" s="4"/>
      <c r="F54" s="4"/>
      <c r="G54" s="4"/>
      <c r="H54" s="4"/>
      <c r="I54" s="4"/>
      <c r="J54" s="4"/>
      <c r="K54" s="4"/>
      <c r="L54" s="4"/>
      <c r="M54" s="4"/>
      <c r="N54" s="4"/>
      <c r="O54" s="4"/>
      <c r="P54" s="4"/>
      <c r="Q54" s="4"/>
      <c r="R54" s="4"/>
      <c r="S54" s="4"/>
      <c r="T54" s="4"/>
      <c r="U54" s="4"/>
      <c r="V54" s="4"/>
      <c r="W54" s="156"/>
      <c r="X54" s="157"/>
      <c r="Y54" s="157"/>
      <c r="AC54" s="157"/>
    </row>
    <row r="55" spans="1:29" s="3" customFormat="1" x14ac:dyDescent="0.25">
      <c r="A55" s="188" t="s">
        <v>21</v>
      </c>
      <c r="B55" s="4"/>
      <c r="C55" s="4"/>
      <c r="D55" s="4"/>
      <c r="E55" s="4"/>
      <c r="F55" s="4"/>
      <c r="G55" s="4"/>
      <c r="H55" s="4"/>
      <c r="I55" s="4"/>
      <c r="J55" s="4"/>
      <c r="K55" s="4"/>
      <c r="L55" s="4"/>
      <c r="M55" s="4"/>
      <c r="N55" s="4"/>
      <c r="O55" s="4"/>
      <c r="P55" s="4"/>
      <c r="Q55" s="4"/>
      <c r="R55" s="4"/>
      <c r="S55" s="4"/>
      <c r="T55" s="4"/>
      <c r="U55" s="4"/>
      <c r="V55" s="4"/>
      <c r="W55" s="156"/>
      <c r="X55" s="157"/>
      <c r="Y55" s="157"/>
      <c r="AC55" s="157"/>
    </row>
    <row r="56" spans="1:29" s="3" customFormat="1" x14ac:dyDescent="0.25">
      <c r="A56" s="189" t="s">
        <v>89</v>
      </c>
      <c r="B56" s="4"/>
      <c r="C56" s="4"/>
      <c r="D56" s="4"/>
      <c r="E56" s="4"/>
      <c r="F56" s="4"/>
      <c r="G56" s="4"/>
      <c r="H56" s="4"/>
      <c r="I56" s="4"/>
      <c r="J56" s="4"/>
      <c r="K56" s="4"/>
      <c r="L56" s="4"/>
      <c r="M56" s="4"/>
      <c r="N56" s="4"/>
      <c r="O56" s="4"/>
      <c r="P56" s="4"/>
      <c r="Q56" s="4"/>
      <c r="R56" s="4"/>
      <c r="S56" s="4"/>
      <c r="T56" s="4"/>
      <c r="U56" s="4"/>
      <c r="V56" s="4"/>
      <c r="W56" s="156"/>
      <c r="X56" s="157"/>
      <c r="Y56" s="157"/>
      <c r="AC56" s="157"/>
    </row>
    <row r="57" spans="1:29" x14ac:dyDescent="0.25">
      <c r="A57" s="192" t="s">
        <v>100</v>
      </c>
      <c r="B57" s="4"/>
      <c r="C57" s="4"/>
      <c r="D57" s="4"/>
      <c r="E57" s="4"/>
      <c r="F57" s="4"/>
      <c r="G57" s="4"/>
      <c r="H57" s="4"/>
      <c r="I57" s="4"/>
      <c r="J57" s="4"/>
      <c r="K57" s="4"/>
      <c r="L57" s="4"/>
      <c r="M57" s="4"/>
      <c r="N57" s="4"/>
      <c r="O57" s="4"/>
      <c r="P57" s="4"/>
      <c r="Q57" s="4"/>
      <c r="R57" s="4"/>
      <c r="S57" s="4"/>
      <c r="T57" s="4"/>
      <c r="U57" s="4"/>
      <c r="V57" s="4"/>
      <c r="W57" s="156"/>
    </row>
    <row r="58" spans="1:29" x14ac:dyDescent="0.25">
      <c r="A58" s="4"/>
      <c r="B58" s="4"/>
      <c r="C58" s="4"/>
      <c r="D58" s="4"/>
      <c r="E58" s="4"/>
      <c r="F58" s="4"/>
      <c r="G58" s="4"/>
      <c r="H58" s="4"/>
      <c r="I58" s="4"/>
      <c r="J58" s="4"/>
      <c r="K58" s="4"/>
      <c r="L58" s="4"/>
      <c r="M58" s="4"/>
      <c r="N58" s="4"/>
      <c r="O58" s="4"/>
      <c r="P58" s="4"/>
      <c r="Q58" s="4"/>
      <c r="R58" s="4"/>
      <c r="S58" s="4"/>
      <c r="T58" s="4"/>
      <c r="U58" s="4"/>
      <c r="V58" s="4"/>
      <c r="W58" s="156"/>
    </row>
    <row r="59" spans="1:29" x14ac:dyDescent="0.25">
      <c r="A59" s="4"/>
      <c r="B59" s="4"/>
      <c r="C59" s="4"/>
      <c r="D59" s="4"/>
      <c r="E59" s="4"/>
      <c r="F59" s="4"/>
      <c r="G59" s="4"/>
      <c r="H59" s="4"/>
      <c r="I59" s="4"/>
      <c r="J59" s="4"/>
      <c r="K59" s="4"/>
      <c r="L59" s="4"/>
      <c r="M59" s="4"/>
      <c r="N59" s="4"/>
      <c r="O59" s="4"/>
      <c r="P59" s="4"/>
      <c r="Q59" s="4"/>
      <c r="R59" s="4"/>
      <c r="S59" s="4"/>
      <c r="T59" s="4"/>
      <c r="U59" s="4"/>
      <c r="V59" s="4"/>
      <c r="W59" s="156"/>
    </row>
    <row r="60" spans="1:29" x14ac:dyDescent="0.25">
      <c r="A60" s="4"/>
      <c r="B60" s="4"/>
      <c r="C60" s="4"/>
      <c r="D60" s="4"/>
      <c r="E60" s="4"/>
      <c r="F60" s="4"/>
      <c r="G60" s="4"/>
      <c r="H60" s="4"/>
      <c r="I60" s="4"/>
      <c r="J60" s="4"/>
      <c r="K60" s="4"/>
      <c r="L60" s="4"/>
      <c r="M60" s="4"/>
      <c r="N60" s="4"/>
      <c r="O60" s="4"/>
      <c r="P60" s="4"/>
      <c r="Q60" s="4"/>
      <c r="R60" s="4"/>
      <c r="S60" s="4"/>
      <c r="T60" s="4"/>
      <c r="U60" s="4"/>
      <c r="V60" s="4"/>
      <c r="W60" s="156"/>
    </row>
    <row r="61" spans="1:29" x14ac:dyDescent="0.25">
      <c r="A61" s="4"/>
      <c r="B61" s="4"/>
      <c r="C61" s="4"/>
      <c r="D61" s="4"/>
      <c r="E61" s="4"/>
      <c r="F61" s="4"/>
      <c r="G61" s="4"/>
      <c r="H61" s="4"/>
      <c r="I61" s="4"/>
      <c r="J61" s="4"/>
      <c r="K61" s="4"/>
      <c r="L61" s="4"/>
      <c r="M61" s="4"/>
      <c r="N61" s="4"/>
      <c r="O61" s="4"/>
      <c r="P61" s="4"/>
      <c r="Q61" s="4"/>
      <c r="R61" s="4"/>
      <c r="S61" s="4"/>
      <c r="T61" s="4"/>
      <c r="U61" s="4"/>
      <c r="V61" s="4"/>
      <c r="W61" s="156"/>
    </row>
    <row r="62" spans="1:29" x14ac:dyDescent="0.25">
      <c r="A62" s="4"/>
    </row>
  </sheetData>
  <mergeCells count="13">
    <mergeCell ref="A37:A39"/>
    <mergeCell ref="A40:A42"/>
    <mergeCell ref="A22:A24"/>
    <mergeCell ref="A25:A27"/>
    <mergeCell ref="A28:A30"/>
    <mergeCell ref="A34:A36"/>
    <mergeCell ref="A19:A21"/>
    <mergeCell ref="A31:A33"/>
    <mergeCell ref="A4:A6"/>
    <mergeCell ref="A7:A9"/>
    <mergeCell ref="A10:A12"/>
    <mergeCell ref="A13:A15"/>
    <mergeCell ref="A16:A18"/>
  </mergeCells>
  <pageMargins left="7.874015748031496E-2" right="7.874015748031496E-2" top="0.98425196850393704" bottom="0.98425196850393704" header="0.51181102362204722" footer="0.51181102362204722"/>
  <pageSetup scale="73"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32"/>
  <sheetViews>
    <sheetView showGridLines="0" zoomScaleNormal="100" workbookViewId="0">
      <pane xSplit="3" ySplit="3" topLeftCell="D4" activePane="bottomRight" state="frozen"/>
      <selection pane="topRight" activeCell="C1" sqref="C1"/>
      <selection pane="bottomLeft" activeCell="A5" sqref="A5"/>
      <selection pane="bottomRight"/>
    </sheetView>
  </sheetViews>
  <sheetFormatPr baseColWidth="10" defaultColWidth="41.85546875" defaultRowHeight="15" x14ac:dyDescent="0.25"/>
  <cols>
    <col min="1" max="1" width="21" style="3" customWidth="1"/>
    <col min="2" max="2" width="11.42578125" style="1" customWidth="1"/>
    <col min="3" max="3" width="34.7109375" style="1" customWidth="1"/>
    <col min="4" max="4" width="12.7109375" style="1" customWidth="1"/>
    <col min="5" max="7" width="12.7109375" style="3" customWidth="1"/>
    <col min="8" max="8" width="12.7109375" style="1" customWidth="1"/>
    <col min="9" max="10" width="12.7109375" style="3" customWidth="1"/>
    <col min="11" max="16" width="12.7109375" style="1" customWidth="1"/>
    <col min="17" max="16384" width="41.85546875" style="1"/>
  </cols>
  <sheetData>
    <row r="1" spans="1:16" x14ac:dyDescent="0.25">
      <c r="A1" s="26" t="s">
        <v>28</v>
      </c>
      <c r="C1" s="26"/>
      <c r="D1" s="26"/>
      <c r="E1" s="26"/>
      <c r="F1" s="26"/>
      <c r="G1" s="26"/>
      <c r="H1" s="26"/>
      <c r="I1" s="26"/>
      <c r="J1" s="26"/>
    </row>
    <row r="2" spans="1:16" s="3" customFormat="1" x14ac:dyDescent="0.25">
      <c r="A2" s="60" t="s">
        <v>29</v>
      </c>
      <c r="C2" s="8"/>
      <c r="D2" s="8"/>
      <c r="E2" s="8"/>
      <c r="F2" s="8"/>
      <c r="G2" s="8"/>
      <c r="H2" s="8"/>
      <c r="I2" s="8"/>
      <c r="J2" s="8"/>
    </row>
    <row r="3" spans="1:16" ht="38.25" x14ac:dyDescent="0.25">
      <c r="A3" s="214" t="s">
        <v>1</v>
      </c>
      <c r="B3" s="215"/>
      <c r="C3" s="216"/>
      <c r="D3" s="167">
        <v>2015</v>
      </c>
      <c r="E3" s="167">
        <v>2016</v>
      </c>
      <c r="F3" s="167">
        <v>2017</v>
      </c>
      <c r="G3" s="167">
        <v>2018</v>
      </c>
      <c r="H3" s="167">
        <v>2019</v>
      </c>
      <c r="I3" s="167">
        <v>2020</v>
      </c>
      <c r="J3" s="169" t="s">
        <v>84</v>
      </c>
      <c r="K3" s="169" t="s">
        <v>87</v>
      </c>
      <c r="L3" s="167" t="s">
        <v>88</v>
      </c>
      <c r="M3" s="169" t="s">
        <v>86</v>
      </c>
      <c r="N3" s="169" t="s">
        <v>91</v>
      </c>
      <c r="O3" s="169" t="s">
        <v>92</v>
      </c>
      <c r="P3" s="167">
        <v>2024</v>
      </c>
    </row>
    <row r="4" spans="1:16" x14ac:dyDescent="0.25">
      <c r="A4" s="211" t="s">
        <v>77</v>
      </c>
      <c r="B4" s="206" t="s">
        <v>3</v>
      </c>
      <c r="C4" s="5" t="s">
        <v>10</v>
      </c>
      <c r="D4" s="102">
        <v>11.9</v>
      </c>
      <c r="E4" s="102">
        <v>13.1</v>
      </c>
      <c r="F4" s="102">
        <v>13.3</v>
      </c>
      <c r="G4" s="102">
        <v>13.2</v>
      </c>
      <c r="H4" s="102">
        <v>13.2</v>
      </c>
      <c r="I4" s="102">
        <v>13.119</v>
      </c>
      <c r="J4" s="142">
        <v>12.936</v>
      </c>
      <c r="K4" s="102">
        <v>12.754</v>
      </c>
      <c r="L4" s="102">
        <v>12.576000000000001</v>
      </c>
      <c r="M4" s="142">
        <v>12.585000000000001</v>
      </c>
      <c r="N4" s="102">
        <v>11.906000000000001</v>
      </c>
      <c r="O4" s="142">
        <v>11.894</v>
      </c>
      <c r="P4" s="102">
        <v>12.025</v>
      </c>
    </row>
    <row r="5" spans="1:16" x14ac:dyDescent="0.25">
      <c r="A5" s="212"/>
      <c r="B5" s="207"/>
      <c r="C5" s="6" t="s">
        <v>9</v>
      </c>
      <c r="D5" s="103">
        <v>1.2</v>
      </c>
      <c r="E5" s="103">
        <v>1.3</v>
      </c>
      <c r="F5" s="103">
        <v>1.3</v>
      </c>
      <c r="G5" s="103">
        <v>1.3</v>
      </c>
      <c r="H5" s="103">
        <v>1.4</v>
      </c>
      <c r="I5" s="103">
        <v>1.2909999999999999</v>
      </c>
      <c r="J5" s="143">
        <v>1.284</v>
      </c>
      <c r="K5" s="103">
        <v>1.1850000000000001</v>
      </c>
      <c r="L5" s="103">
        <v>1.097</v>
      </c>
      <c r="M5" s="143">
        <v>1.093</v>
      </c>
      <c r="N5" s="103">
        <v>1.0640000000000001</v>
      </c>
      <c r="O5" s="143">
        <v>1.073</v>
      </c>
      <c r="P5" s="103">
        <v>1.1040000000000001</v>
      </c>
    </row>
    <row r="6" spans="1:16" ht="26.25" x14ac:dyDescent="0.25">
      <c r="A6" s="212"/>
      <c r="B6" s="207"/>
      <c r="C6" s="6" t="s">
        <v>75</v>
      </c>
      <c r="D6" s="103">
        <v>872.5</v>
      </c>
      <c r="E6" s="103">
        <v>877.5</v>
      </c>
      <c r="F6" s="103">
        <v>880.7</v>
      </c>
      <c r="G6" s="103">
        <v>883.8</v>
      </c>
      <c r="H6" s="103">
        <v>879.7</v>
      </c>
      <c r="I6" s="103">
        <v>880.74900000000002</v>
      </c>
      <c r="J6" s="143">
        <v>872.71299999999997</v>
      </c>
      <c r="K6" s="103">
        <v>869.00400000000002</v>
      </c>
      <c r="L6" s="103">
        <v>875.61699999999996</v>
      </c>
      <c r="M6" s="143">
        <v>882.26400000000001</v>
      </c>
      <c r="N6" s="103">
        <v>882.98500000000001</v>
      </c>
      <c r="O6" s="143">
        <v>879.01800000000003</v>
      </c>
      <c r="P6" s="103">
        <v>881.13</v>
      </c>
    </row>
    <row r="7" spans="1:16" x14ac:dyDescent="0.25">
      <c r="A7" s="212"/>
      <c r="B7" s="207"/>
      <c r="C7" s="6" t="s">
        <v>6</v>
      </c>
      <c r="D7" s="103">
        <v>3.3</v>
      </c>
      <c r="E7" s="103">
        <v>3.3</v>
      </c>
      <c r="F7" s="103">
        <v>3.2</v>
      </c>
      <c r="G7" s="103">
        <v>3.1</v>
      </c>
      <c r="H7" s="103">
        <v>3.1</v>
      </c>
      <c r="I7" s="103">
        <v>1.889</v>
      </c>
      <c r="J7" s="143">
        <v>0.81899999999999995</v>
      </c>
      <c r="K7" s="103">
        <v>0.83599999999999997</v>
      </c>
      <c r="L7" s="103">
        <v>0.753</v>
      </c>
      <c r="M7" s="143">
        <v>0.72799999999999998</v>
      </c>
      <c r="N7" s="103">
        <v>0.64200000000000002</v>
      </c>
      <c r="O7" s="143">
        <v>0.64100000000000001</v>
      </c>
      <c r="P7" s="103">
        <v>0.64</v>
      </c>
    </row>
    <row r="8" spans="1:16" x14ac:dyDescent="0.25">
      <c r="A8" s="212"/>
      <c r="B8" s="208"/>
      <c r="C8" s="9" t="s">
        <v>0</v>
      </c>
      <c r="D8" s="104">
        <v>889</v>
      </c>
      <c r="E8" s="104">
        <v>895.2</v>
      </c>
      <c r="F8" s="104">
        <v>898.5</v>
      </c>
      <c r="G8" s="104">
        <v>901.4</v>
      </c>
      <c r="H8" s="104">
        <v>897.3</v>
      </c>
      <c r="I8" s="104">
        <v>897.048</v>
      </c>
      <c r="J8" s="164">
        <v>887.75199999999995</v>
      </c>
      <c r="K8" s="104">
        <v>883.779</v>
      </c>
      <c r="L8" s="104">
        <v>890.04300000000001</v>
      </c>
      <c r="M8" s="164">
        <v>896.67</v>
      </c>
      <c r="N8" s="104">
        <v>896.59699999999998</v>
      </c>
      <c r="O8" s="164">
        <v>892.62599999999998</v>
      </c>
      <c r="P8" s="104">
        <v>894.899</v>
      </c>
    </row>
    <row r="9" spans="1:16" x14ac:dyDescent="0.25">
      <c r="A9" s="212"/>
      <c r="B9" s="206" t="s">
        <v>5</v>
      </c>
      <c r="C9" s="5" t="s">
        <v>10</v>
      </c>
      <c r="D9" s="102">
        <v>1.4</v>
      </c>
      <c r="E9" s="102">
        <v>1.4</v>
      </c>
      <c r="F9" s="102">
        <v>1.2</v>
      </c>
      <c r="G9" s="102">
        <v>0.4</v>
      </c>
      <c r="H9" s="102">
        <v>0.4</v>
      </c>
      <c r="I9" s="102">
        <v>0.47099999999999997</v>
      </c>
      <c r="J9" s="142">
        <v>0.76800000000000002</v>
      </c>
      <c r="K9" s="142">
        <v>0.19400000000000001</v>
      </c>
      <c r="L9" s="142">
        <v>0.96699999999999997</v>
      </c>
      <c r="M9" s="142">
        <v>0.51900000000000002</v>
      </c>
      <c r="N9" s="142">
        <v>0.59299999999999997</v>
      </c>
      <c r="O9" s="142">
        <v>0.61599999999999999</v>
      </c>
      <c r="P9" s="142">
        <v>0.625</v>
      </c>
    </row>
    <row r="10" spans="1:16" x14ac:dyDescent="0.25">
      <c r="A10" s="212"/>
      <c r="B10" s="207"/>
      <c r="C10" s="6" t="s">
        <v>9</v>
      </c>
      <c r="D10" s="103">
        <v>0.8</v>
      </c>
      <c r="E10" s="103">
        <v>0.8</v>
      </c>
      <c r="F10" s="103">
        <v>0.8</v>
      </c>
      <c r="G10" s="103">
        <v>0.2</v>
      </c>
      <c r="H10" s="103">
        <v>0.1</v>
      </c>
      <c r="I10" s="103">
        <v>0.223</v>
      </c>
      <c r="J10" s="143">
        <v>0.16600000000000001</v>
      </c>
      <c r="K10" s="143">
        <v>1.2E-2</v>
      </c>
      <c r="L10" s="143">
        <v>0.63900000000000001</v>
      </c>
      <c r="M10" s="143">
        <v>0.78300000000000003</v>
      </c>
      <c r="N10" s="143">
        <v>0.85599999999999998</v>
      </c>
      <c r="O10" s="143">
        <v>1.137</v>
      </c>
      <c r="P10" s="143">
        <v>0.96899999999999997</v>
      </c>
    </row>
    <row r="11" spans="1:16" ht="26.25" x14ac:dyDescent="0.25">
      <c r="A11" s="212"/>
      <c r="B11" s="207"/>
      <c r="C11" s="6" t="s">
        <v>75</v>
      </c>
      <c r="D11" s="103">
        <v>82.5</v>
      </c>
      <c r="E11" s="103">
        <v>81.900000000000006</v>
      </c>
      <c r="F11" s="103">
        <v>81.7</v>
      </c>
      <c r="G11" s="103">
        <v>79.900000000000006</v>
      </c>
      <c r="H11" s="103">
        <v>80.3</v>
      </c>
      <c r="I11" s="103">
        <v>80.67</v>
      </c>
      <c r="J11" s="143">
        <v>81.706999999999994</v>
      </c>
      <c r="K11" s="143">
        <v>72.328999999999994</v>
      </c>
      <c r="L11" s="103">
        <v>73.98</v>
      </c>
      <c r="M11" s="143">
        <v>73.944000000000003</v>
      </c>
      <c r="N11" s="103">
        <v>73.543999999999997</v>
      </c>
      <c r="O11" s="143">
        <v>74.638000000000005</v>
      </c>
      <c r="P11" s="103">
        <v>74.861000000000004</v>
      </c>
    </row>
    <row r="12" spans="1:16" x14ac:dyDescent="0.25">
      <c r="A12" s="212"/>
      <c r="B12" s="207"/>
      <c r="C12" s="6" t="s">
        <v>6</v>
      </c>
      <c r="D12" s="103">
        <v>1.6</v>
      </c>
      <c r="E12" s="103">
        <v>1.6</v>
      </c>
      <c r="F12" s="103">
        <v>1.4</v>
      </c>
      <c r="G12" s="103">
        <v>0.8</v>
      </c>
      <c r="H12" s="103">
        <v>0.8</v>
      </c>
      <c r="I12" s="103">
        <v>0.46600000000000003</v>
      </c>
      <c r="J12" s="143">
        <v>0.65500000000000003</v>
      </c>
      <c r="K12" s="103">
        <v>0.504</v>
      </c>
      <c r="L12" s="103">
        <v>1.542</v>
      </c>
      <c r="M12" s="143">
        <v>1.6850000000000001</v>
      </c>
      <c r="N12" s="103">
        <v>1.4910000000000001</v>
      </c>
      <c r="O12" s="143">
        <v>1.57</v>
      </c>
      <c r="P12" s="103">
        <v>1.5640000000000001</v>
      </c>
    </row>
    <row r="13" spans="1:16" x14ac:dyDescent="0.25">
      <c r="A13" s="212"/>
      <c r="B13" s="208"/>
      <c r="C13" s="9" t="s">
        <v>0</v>
      </c>
      <c r="D13" s="104">
        <v>86.3</v>
      </c>
      <c r="E13" s="104">
        <v>85.7</v>
      </c>
      <c r="F13" s="104">
        <v>85</v>
      </c>
      <c r="G13" s="104">
        <v>81.3</v>
      </c>
      <c r="H13" s="104">
        <v>81.7</v>
      </c>
      <c r="I13" s="104">
        <v>81.83</v>
      </c>
      <c r="J13" s="164">
        <v>83.296000000000006</v>
      </c>
      <c r="K13" s="104">
        <v>73.039000000000001</v>
      </c>
      <c r="L13" s="104">
        <v>77.128</v>
      </c>
      <c r="M13" s="164">
        <v>76.930999999999997</v>
      </c>
      <c r="N13" s="104">
        <v>76.483999999999995</v>
      </c>
      <c r="O13" s="164">
        <v>77.960999999999999</v>
      </c>
      <c r="P13" s="104">
        <v>78.019000000000005</v>
      </c>
    </row>
    <row r="14" spans="1:16" x14ac:dyDescent="0.25">
      <c r="A14" s="213"/>
      <c r="B14" s="209" t="s">
        <v>0</v>
      </c>
      <c r="C14" s="210"/>
      <c r="D14" s="105">
        <v>975.4</v>
      </c>
      <c r="E14" s="105">
        <v>980.9</v>
      </c>
      <c r="F14" s="105">
        <v>983.5</v>
      </c>
      <c r="G14" s="105">
        <v>982.7</v>
      </c>
      <c r="H14" s="105">
        <v>979</v>
      </c>
      <c r="I14" s="105">
        <v>978.87800000000004</v>
      </c>
      <c r="J14" s="165">
        <v>971.048</v>
      </c>
      <c r="K14" s="105">
        <v>956.81799999999998</v>
      </c>
      <c r="L14" s="105">
        <v>967.17200000000003</v>
      </c>
      <c r="M14" s="165">
        <v>973.601</v>
      </c>
      <c r="N14" s="105">
        <v>973.08100000000002</v>
      </c>
      <c r="O14" s="165">
        <v>970.58699999999999</v>
      </c>
      <c r="P14" s="105">
        <v>972.91800000000001</v>
      </c>
    </row>
    <row r="15" spans="1:16" s="3" customFormat="1" x14ac:dyDescent="0.25">
      <c r="A15" s="211" t="s">
        <v>2</v>
      </c>
      <c r="B15" s="206" t="s">
        <v>3</v>
      </c>
      <c r="C15" s="5" t="s">
        <v>10</v>
      </c>
      <c r="D15" s="102">
        <v>20.399999999999999</v>
      </c>
      <c r="E15" s="102">
        <v>19.2</v>
      </c>
      <c r="F15" s="102">
        <v>18.3</v>
      </c>
      <c r="G15" s="102">
        <v>17.899999999999999</v>
      </c>
      <c r="H15" s="102">
        <v>17.600000000000001</v>
      </c>
      <c r="I15" s="102">
        <v>18.169</v>
      </c>
      <c r="J15" s="142">
        <v>17.472999999999999</v>
      </c>
      <c r="K15" s="102">
        <v>17.306000000000001</v>
      </c>
      <c r="L15" s="102">
        <v>17.324000000000002</v>
      </c>
      <c r="M15" s="142">
        <v>17.305</v>
      </c>
      <c r="N15" s="102">
        <v>17.481999999999999</v>
      </c>
      <c r="O15" s="142">
        <v>16.934000000000001</v>
      </c>
      <c r="P15" s="102">
        <v>17.701000000000001</v>
      </c>
    </row>
    <row r="16" spans="1:16" s="3" customFormat="1" x14ac:dyDescent="0.25">
      <c r="A16" s="212"/>
      <c r="B16" s="207"/>
      <c r="C16" s="6" t="s">
        <v>9</v>
      </c>
      <c r="D16" s="103">
        <v>10</v>
      </c>
      <c r="E16" s="103">
        <v>10</v>
      </c>
      <c r="F16" s="103">
        <v>10</v>
      </c>
      <c r="G16" s="103">
        <v>9.9</v>
      </c>
      <c r="H16" s="103">
        <v>9.4</v>
      </c>
      <c r="I16" s="103">
        <v>8.4190000000000005</v>
      </c>
      <c r="J16" s="143">
        <v>8.4060000000000006</v>
      </c>
      <c r="K16" s="103">
        <v>8.7750000000000004</v>
      </c>
      <c r="L16" s="103">
        <v>8.34</v>
      </c>
      <c r="M16" s="143">
        <v>8.3290000000000006</v>
      </c>
      <c r="N16" s="103">
        <v>7.8040000000000003</v>
      </c>
      <c r="O16" s="143">
        <v>7.782</v>
      </c>
      <c r="P16" s="103">
        <v>7.8479999999999999</v>
      </c>
    </row>
    <row r="17" spans="1:16" s="3" customFormat="1" ht="26.25" x14ac:dyDescent="0.25">
      <c r="A17" s="212"/>
      <c r="B17" s="207"/>
      <c r="C17" s="6" t="s">
        <v>75</v>
      </c>
      <c r="D17" s="103">
        <v>138.69999999999999</v>
      </c>
      <c r="E17" s="103">
        <v>151.80000000000001</v>
      </c>
      <c r="F17" s="103">
        <v>169.2</v>
      </c>
      <c r="G17" s="103">
        <v>180.9</v>
      </c>
      <c r="H17" s="103">
        <v>177</v>
      </c>
      <c r="I17" s="103">
        <v>174.90700000000001</v>
      </c>
      <c r="J17" s="143">
        <v>180.011</v>
      </c>
      <c r="K17" s="103">
        <v>179.017</v>
      </c>
      <c r="L17" s="103">
        <v>179.124</v>
      </c>
      <c r="M17" s="143">
        <v>173.09200000000001</v>
      </c>
      <c r="N17" s="103">
        <v>222.096</v>
      </c>
      <c r="O17" s="143">
        <v>221.405</v>
      </c>
      <c r="P17" s="103">
        <v>261.41800000000001</v>
      </c>
    </row>
    <row r="18" spans="1:16" s="3" customFormat="1" x14ac:dyDescent="0.25">
      <c r="A18" s="212"/>
      <c r="B18" s="207"/>
      <c r="C18" s="6" t="s">
        <v>6</v>
      </c>
      <c r="D18" s="103">
        <v>855.6</v>
      </c>
      <c r="E18" s="103">
        <v>866.1</v>
      </c>
      <c r="F18" s="103">
        <v>866.7</v>
      </c>
      <c r="G18" s="103">
        <v>867.1</v>
      </c>
      <c r="H18" s="103">
        <v>867.9</v>
      </c>
      <c r="I18" s="103">
        <v>867.72900000000004</v>
      </c>
      <c r="J18" s="143">
        <v>865.59199999999998</v>
      </c>
      <c r="K18" s="103">
        <v>878.63900000000001</v>
      </c>
      <c r="L18" s="103">
        <v>878.70299999999997</v>
      </c>
      <c r="M18" s="143">
        <v>875.66099999999994</v>
      </c>
      <c r="N18" s="103">
        <v>877.279</v>
      </c>
      <c r="O18" s="143">
        <v>870.43499999999995</v>
      </c>
      <c r="P18" s="103">
        <v>876.68899999999996</v>
      </c>
    </row>
    <row r="19" spans="1:16" s="3" customFormat="1" x14ac:dyDescent="0.25">
      <c r="A19" s="212"/>
      <c r="B19" s="208"/>
      <c r="C19" s="9" t="s">
        <v>0</v>
      </c>
      <c r="D19" s="104">
        <v>1024.7</v>
      </c>
      <c r="E19" s="104">
        <v>1047</v>
      </c>
      <c r="F19" s="104">
        <v>1064.2</v>
      </c>
      <c r="G19" s="104">
        <v>1075.9000000000001</v>
      </c>
      <c r="H19" s="104">
        <v>1072</v>
      </c>
      <c r="I19" s="104">
        <v>1069.2239999999999</v>
      </c>
      <c r="J19" s="164">
        <v>1071.482</v>
      </c>
      <c r="K19" s="104">
        <v>1083.7370000000001</v>
      </c>
      <c r="L19" s="104">
        <v>1083.491</v>
      </c>
      <c r="M19" s="164">
        <v>1074.443</v>
      </c>
      <c r="N19" s="104">
        <v>1124.6610000000001</v>
      </c>
      <c r="O19" s="164">
        <v>1116.556</v>
      </c>
      <c r="P19" s="104">
        <v>1163.6559999999999</v>
      </c>
    </row>
    <row r="20" spans="1:16" s="3" customFormat="1" x14ac:dyDescent="0.25">
      <c r="A20" s="212"/>
      <c r="B20" s="206" t="s">
        <v>5</v>
      </c>
      <c r="C20" s="5" t="s">
        <v>10</v>
      </c>
      <c r="D20" s="102">
        <v>11.2</v>
      </c>
      <c r="E20" s="102">
        <v>11.4</v>
      </c>
      <c r="F20" s="102">
        <v>11.8</v>
      </c>
      <c r="G20" s="102">
        <v>12.3</v>
      </c>
      <c r="H20" s="102">
        <v>13</v>
      </c>
      <c r="I20" s="102">
        <v>13.256</v>
      </c>
      <c r="J20" s="142">
        <v>13.442</v>
      </c>
      <c r="K20" s="102">
        <v>14.459</v>
      </c>
      <c r="L20" s="102">
        <v>14.090999999999999</v>
      </c>
      <c r="M20" s="142">
        <v>15.243</v>
      </c>
      <c r="N20" s="102">
        <v>15.5</v>
      </c>
      <c r="O20" s="142">
        <v>16.062999999999999</v>
      </c>
      <c r="P20" s="102">
        <v>15.673999999999999</v>
      </c>
    </row>
    <row r="21" spans="1:16" s="3" customFormat="1" x14ac:dyDescent="0.25">
      <c r="A21" s="212"/>
      <c r="B21" s="207"/>
      <c r="C21" s="6" t="s">
        <v>9</v>
      </c>
      <c r="D21" s="103">
        <v>13.6</v>
      </c>
      <c r="E21" s="103">
        <v>13.4</v>
      </c>
      <c r="F21" s="103">
        <v>13.2</v>
      </c>
      <c r="G21" s="103">
        <v>14</v>
      </c>
      <c r="H21" s="103">
        <v>14.5</v>
      </c>
      <c r="I21" s="103">
        <v>14.861000000000001</v>
      </c>
      <c r="J21" s="143">
        <v>15.337</v>
      </c>
      <c r="K21" s="103">
        <v>14.977</v>
      </c>
      <c r="L21" s="103">
        <v>14.324</v>
      </c>
      <c r="M21" s="143">
        <v>14.71</v>
      </c>
      <c r="N21" s="103">
        <v>15.353</v>
      </c>
      <c r="O21" s="143">
        <v>15.801</v>
      </c>
      <c r="P21" s="103">
        <v>15.853</v>
      </c>
    </row>
    <row r="22" spans="1:16" s="3" customFormat="1" ht="26.25" x14ac:dyDescent="0.25">
      <c r="A22" s="212"/>
      <c r="B22" s="207"/>
      <c r="C22" s="6" t="s">
        <v>75</v>
      </c>
      <c r="D22" s="103">
        <v>249.2</v>
      </c>
      <c r="E22" s="103">
        <v>254.5</v>
      </c>
      <c r="F22" s="103">
        <v>252.5</v>
      </c>
      <c r="G22" s="103">
        <v>260.2</v>
      </c>
      <c r="H22" s="103">
        <v>286.7</v>
      </c>
      <c r="I22" s="103">
        <v>316.74</v>
      </c>
      <c r="J22" s="143">
        <v>318.83199999999999</v>
      </c>
      <c r="K22" s="103">
        <v>330.05900000000003</v>
      </c>
      <c r="L22" s="103">
        <v>336.459</v>
      </c>
      <c r="M22" s="143">
        <v>344.11200000000002</v>
      </c>
      <c r="N22" s="103">
        <v>311.39600000000002</v>
      </c>
      <c r="O22" s="143">
        <v>311.30500000000001</v>
      </c>
      <c r="P22" s="103">
        <v>283.69200000000001</v>
      </c>
    </row>
    <row r="23" spans="1:16" s="3" customFormat="1" x14ac:dyDescent="0.25">
      <c r="A23" s="212"/>
      <c r="B23" s="207"/>
      <c r="C23" s="6" t="s">
        <v>6</v>
      </c>
      <c r="D23" s="103">
        <v>124.1</v>
      </c>
      <c r="E23" s="103">
        <v>124.4</v>
      </c>
      <c r="F23" s="103">
        <v>124.9</v>
      </c>
      <c r="G23" s="103">
        <v>124.2</v>
      </c>
      <c r="H23" s="103">
        <v>124.7</v>
      </c>
      <c r="I23" s="103">
        <v>128.34899999999999</v>
      </c>
      <c r="J23" s="143">
        <v>128.83799999999999</v>
      </c>
      <c r="K23" s="103">
        <v>126.794</v>
      </c>
      <c r="L23" s="103">
        <v>126.633</v>
      </c>
      <c r="M23" s="143">
        <v>128.369</v>
      </c>
      <c r="N23" s="103">
        <v>130.24600000000001</v>
      </c>
      <c r="O23" s="143">
        <v>130.50399999999999</v>
      </c>
      <c r="P23" s="103">
        <v>130.077</v>
      </c>
    </row>
    <row r="24" spans="1:16" s="3" customFormat="1" x14ac:dyDescent="0.25">
      <c r="A24" s="212"/>
      <c r="B24" s="208"/>
      <c r="C24" s="9" t="s">
        <v>0</v>
      </c>
      <c r="D24" s="104">
        <v>398</v>
      </c>
      <c r="E24" s="104">
        <v>403.6</v>
      </c>
      <c r="F24" s="104">
        <v>402.5</v>
      </c>
      <c r="G24" s="104">
        <v>410.6</v>
      </c>
      <c r="H24" s="104">
        <v>438.9</v>
      </c>
      <c r="I24" s="104">
        <v>473.20600000000002</v>
      </c>
      <c r="J24" s="164">
        <v>476.44900000000001</v>
      </c>
      <c r="K24" s="104">
        <v>486.28899999999999</v>
      </c>
      <c r="L24" s="104">
        <v>491.50700000000001</v>
      </c>
      <c r="M24" s="164">
        <v>502.43400000000003</v>
      </c>
      <c r="N24" s="104">
        <v>472.495</v>
      </c>
      <c r="O24" s="164">
        <v>473.673</v>
      </c>
      <c r="P24" s="104">
        <v>445.29599999999999</v>
      </c>
    </row>
    <row r="25" spans="1:16" s="3" customFormat="1" x14ac:dyDescent="0.25">
      <c r="A25" s="213"/>
      <c r="B25" s="209" t="s">
        <v>0</v>
      </c>
      <c r="C25" s="210"/>
      <c r="D25" s="106">
        <v>1422.7</v>
      </c>
      <c r="E25" s="106">
        <v>1450.6</v>
      </c>
      <c r="F25" s="106">
        <v>1466.7</v>
      </c>
      <c r="G25" s="106">
        <v>1486.5</v>
      </c>
      <c r="H25" s="106">
        <v>1510.8</v>
      </c>
      <c r="I25" s="106">
        <v>1542.43</v>
      </c>
      <c r="J25" s="166">
        <v>1547.931</v>
      </c>
      <c r="K25" s="106">
        <v>1570.0260000000001</v>
      </c>
      <c r="L25" s="106">
        <v>1574.999</v>
      </c>
      <c r="M25" s="166">
        <v>1576.877</v>
      </c>
      <c r="N25" s="106">
        <v>1597.1559999999999</v>
      </c>
      <c r="O25" s="166">
        <v>1590.229</v>
      </c>
      <c r="P25" s="106">
        <v>1608.952</v>
      </c>
    </row>
    <row r="26" spans="1:16" x14ac:dyDescent="0.25">
      <c r="A26" s="90" t="s">
        <v>7</v>
      </c>
      <c r="B26" s="90"/>
      <c r="C26" s="90"/>
      <c r="D26" s="3"/>
      <c r="H26" s="3"/>
      <c r="L26" s="134"/>
    </row>
    <row r="27" spans="1:16" x14ac:dyDescent="0.25">
      <c r="A27" s="141" t="s">
        <v>15</v>
      </c>
      <c r="B27" s="91"/>
      <c r="C27" s="91"/>
      <c r="D27" s="3"/>
      <c r="H27" s="3"/>
      <c r="L27" s="135"/>
    </row>
    <row r="28" spans="1:16" x14ac:dyDescent="0.25">
      <c r="A28" s="190" t="s">
        <v>79</v>
      </c>
      <c r="B28" s="92"/>
      <c r="C28" s="92"/>
      <c r="D28" s="3"/>
      <c r="H28" s="3"/>
    </row>
    <row r="29" spans="1:16" s="3" customFormat="1" x14ac:dyDescent="0.25">
      <c r="A29" s="190" t="s">
        <v>95</v>
      </c>
      <c r="B29" s="92"/>
      <c r="C29" s="92"/>
    </row>
    <row r="30" spans="1:16" s="4" customFormat="1" x14ac:dyDescent="0.25">
      <c r="A30" s="192" t="s">
        <v>93</v>
      </c>
      <c r="D30" s="3"/>
      <c r="E30" s="3"/>
      <c r="F30" s="3"/>
      <c r="G30" s="3"/>
      <c r="H30" s="3"/>
      <c r="I30" s="3"/>
      <c r="J30" s="3"/>
    </row>
    <row r="31" spans="1:16" x14ac:dyDescent="0.25">
      <c r="D31" s="3"/>
      <c r="H31" s="3"/>
    </row>
    <row r="32" spans="1:16" x14ac:dyDescent="0.25">
      <c r="D32" s="3"/>
      <c r="H32" s="3"/>
    </row>
  </sheetData>
  <mergeCells count="9">
    <mergeCell ref="B20:B24"/>
    <mergeCell ref="B25:C25"/>
    <mergeCell ref="A4:A14"/>
    <mergeCell ref="A15:A25"/>
    <mergeCell ref="A3:C3"/>
    <mergeCell ref="B4:B8"/>
    <mergeCell ref="B9:B13"/>
    <mergeCell ref="B14:C14"/>
    <mergeCell ref="B15:B19"/>
  </mergeCells>
  <pageMargins left="0.08" right="0.08" top="1" bottom="1" header="0.4921259845" footer="0.4921259845"/>
  <pageSetup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zoomScaleNormal="100" workbookViewId="0">
      <selection activeCell="A2" sqref="A2"/>
    </sheetView>
  </sheetViews>
  <sheetFormatPr baseColWidth="10" defaultRowHeight="15" x14ac:dyDescent="0.25"/>
  <cols>
    <col min="1" max="1" width="145.7109375" style="2" customWidth="1"/>
    <col min="2" max="16384" width="11.42578125" style="2"/>
  </cols>
  <sheetData>
    <row r="1" spans="1:1" x14ac:dyDescent="0.25">
      <c r="A1" s="62"/>
    </row>
    <row r="2" spans="1:1" ht="38.25" customHeight="1" x14ac:dyDescent="0.25">
      <c r="A2" s="74" t="s">
        <v>68</v>
      </c>
    </row>
    <row r="3" spans="1:1" ht="54" x14ac:dyDescent="0.25">
      <c r="A3" s="73" t="s">
        <v>69</v>
      </c>
    </row>
    <row r="4" spans="1:1" ht="18" x14ac:dyDescent="0.25">
      <c r="A4" s="73"/>
    </row>
    <row r="5" spans="1:1" ht="144" x14ac:dyDescent="0.25">
      <c r="A5" s="75" t="s">
        <v>71</v>
      </c>
    </row>
    <row r="7" spans="1:1" ht="132.75" customHeight="1" x14ac:dyDescent="0.25">
      <c r="A7" s="75" t="s">
        <v>70</v>
      </c>
    </row>
    <row r="8" spans="1:1" x14ac:dyDescent="0.25">
      <c r="A8" s="63"/>
    </row>
    <row r="9" spans="1:1" ht="135.75" customHeight="1" x14ac:dyDescent="0.25">
      <c r="A9" s="75" t="s">
        <v>73</v>
      </c>
    </row>
    <row r="11" spans="1:1" ht="108" x14ac:dyDescent="0.25">
      <c r="A11" s="75" t="s">
        <v>72</v>
      </c>
    </row>
    <row r="21" spans="1:1" x14ac:dyDescent="0.25">
      <c r="A21" s="64"/>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J63"/>
  <sheetViews>
    <sheetView showGridLines="0" zoomScaleNormal="100" workbookViewId="0">
      <pane xSplit="2" ySplit="3" topLeftCell="C4" activePane="bottomRight" state="frozen"/>
      <selection pane="topRight" activeCell="C1" sqref="C1"/>
      <selection pane="bottomLeft" activeCell="A4" sqref="A4"/>
      <selection pane="bottomRight"/>
    </sheetView>
  </sheetViews>
  <sheetFormatPr baseColWidth="10" defaultRowHeight="12.75" x14ac:dyDescent="0.2"/>
  <cols>
    <col min="1" max="1" width="41.5703125" style="31" customWidth="1"/>
    <col min="2" max="2" width="50.7109375" style="31" customWidth="1"/>
    <col min="3" max="7" width="11.5703125" style="37" customWidth="1"/>
    <col min="8" max="234" width="11.42578125" style="31"/>
    <col min="235" max="235" width="1.5703125" style="31" customWidth="1"/>
    <col min="236" max="236" width="32" style="31" customWidth="1"/>
    <col min="237" max="237" width="37.5703125" style="31" customWidth="1"/>
    <col min="238" max="239" width="13.42578125" style="31" customWidth="1"/>
    <col min="240" max="490" width="11.42578125" style="31"/>
    <col min="491" max="491" width="1.5703125" style="31" customWidth="1"/>
    <col min="492" max="492" width="32" style="31" customWidth="1"/>
    <col min="493" max="493" width="37.5703125" style="31" customWidth="1"/>
    <col min="494" max="495" width="13.42578125" style="31" customWidth="1"/>
    <col min="496" max="746" width="11.42578125" style="31"/>
    <col min="747" max="747" width="1.5703125" style="31" customWidth="1"/>
    <col min="748" max="748" width="32" style="31" customWidth="1"/>
    <col min="749" max="749" width="37.5703125" style="31" customWidth="1"/>
    <col min="750" max="751" width="13.42578125" style="31" customWidth="1"/>
    <col min="752" max="1002" width="11.42578125" style="31"/>
    <col min="1003" max="1003" width="1.5703125" style="31" customWidth="1"/>
    <col min="1004" max="1004" width="32" style="31" customWidth="1"/>
    <col min="1005" max="1005" width="37.5703125" style="31" customWidth="1"/>
    <col min="1006" max="1007" width="13.42578125" style="31" customWidth="1"/>
    <col min="1008" max="1258" width="11.42578125" style="31"/>
    <col min="1259" max="1259" width="1.5703125" style="31" customWidth="1"/>
    <col min="1260" max="1260" width="32" style="31" customWidth="1"/>
    <col min="1261" max="1261" width="37.5703125" style="31" customWidth="1"/>
    <col min="1262" max="1263" width="13.42578125" style="31" customWidth="1"/>
    <col min="1264" max="1514" width="11.42578125" style="31"/>
    <col min="1515" max="1515" width="1.5703125" style="31" customWidth="1"/>
    <col min="1516" max="1516" width="32" style="31" customWidth="1"/>
    <col min="1517" max="1517" width="37.5703125" style="31" customWidth="1"/>
    <col min="1518" max="1519" width="13.42578125" style="31" customWidth="1"/>
    <col min="1520" max="1770" width="11.42578125" style="31"/>
    <col min="1771" max="1771" width="1.5703125" style="31" customWidth="1"/>
    <col min="1772" max="1772" width="32" style="31" customWidth="1"/>
    <col min="1773" max="1773" width="37.5703125" style="31" customWidth="1"/>
    <col min="1774" max="1775" width="13.42578125" style="31" customWidth="1"/>
    <col min="1776" max="2026" width="11.42578125" style="31"/>
    <col min="2027" max="2027" width="1.5703125" style="31" customWidth="1"/>
    <col min="2028" max="2028" width="32" style="31" customWidth="1"/>
    <col min="2029" max="2029" width="37.5703125" style="31" customWidth="1"/>
    <col min="2030" max="2031" width="13.42578125" style="31" customWidth="1"/>
    <col min="2032" max="2282" width="11.42578125" style="31"/>
    <col min="2283" max="2283" width="1.5703125" style="31" customWidth="1"/>
    <col min="2284" max="2284" width="32" style="31" customWidth="1"/>
    <col min="2285" max="2285" width="37.5703125" style="31" customWidth="1"/>
    <col min="2286" max="2287" width="13.42578125" style="31" customWidth="1"/>
    <col min="2288" max="2538" width="11.42578125" style="31"/>
    <col min="2539" max="2539" width="1.5703125" style="31" customWidth="1"/>
    <col min="2540" max="2540" width="32" style="31" customWidth="1"/>
    <col min="2541" max="2541" width="37.5703125" style="31" customWidth="1"/>
    <col min="2542" max="2543" width="13.42578125" style="31" customWidth="1"/>
    <col min="2544" max="2794" width="11.42578125" style="31"/>
    <col min="2795" max="2795" width="1.5703125" style="31" customWidth="1"/>
    <col min="2796" max="2796" width="32" style="31" customWidth="1"/>
    <col min="2797" max="2797" width="37.5703125" style="31" customWidth="1"/>
    <col min="2798" max="2799" width="13.42578125" style="31" customWidth="1"/>
    <col min="2800" max="3050" width="11.42578125" style="31"/>
    <col min="3051" max="3051" width="1.5703125" style="31" customWidth="1"/>
    <col min="3052" max="3052" width="32" style="31" customWidth="1"/>
    <col min="3053" max="3053" width="37.5703125" style="31" customWidth="1"/>
    <col min="3054" max="3055" width="13.42578125" style="31" customWidth="1"/>
    <col min="3056" max="3306" width="11.42578125" style="31"/>
    <col min="3307" max="3307" width="1.5703125" style="31" customWidth="1"/>
    <col min="3308" max="3308" width="32" style="31" customWidth="1"/>
    <col min="3309" max="3309" width="37.5703125" style="31" customWidth="1"/>
    <col min="3310" max="3311" width="13.42578125" style="31" customWidth="1"/>
    <col min="3312" max="3562" width="11.42578125" style="31"/>
    <col min="3563" max="3563" width="1.5703125" style="31" customWidth="1"/>
    <col min="3564" max="3564" width="32" style="31" customWidth="1"/>
    <col min="3565" max="3565" width="37.5703125" style="31" customWidth="1"/>
    <col min="3566" max="3567" width="13.42578125" style="31" customWidth="1"/>
    <col min="3568" max="3818" width="11.42578125" style="31"/>
    <col min="3819" max="3819" width="1.5703125" style="31" customWidth="1"/>
    <col min="3820" max="3820" width="32" style="31" customWidth="1"/>
    <col min="3821" max="3821" width="37.5703125" style="31" customWidth="1"/>
    <col min="3822" max="3823" width="13.42578125" style="31" customWidth="1"/>
    <col min="3824" max="4074" width="11.42578125" style="31"/>
    <col min="4075" max="4075" width="1.5703125" style="31" customWidth="1"/>
    <col min="4076" max="4076" width="32" style="31" customWidth="1"/>
    <col min="4077" max="4077" width="37.5703125" style="31" customWidth="1"/>
    <col min="4078" max="4079" width="13.42578125" style="31" customWidth="1"/>
    <col min="4080" max="4330" width="11.42578125" style="31"/>
    <col min="4331" max="4331" width="1.5703125" style="31" customWidth="1"/>
    <col min="4332" max="4332" width="32" style="31" customWidth="1"/>
    <col min="4333" max="4333" width="37.5703125" style="31" customWidth="1"/>
    <col min="4334" max="4335" width="13.42578125" style="31" customWidth="1"/>
    <col min="4336" max="4586" width="11.42578125" style="31"/>
    <col min="4587" max="4587" width="1.5703125" style="31" customWidth="1"/>
    <col min="4588" max="4588" width="32" style="31" customWidth="1"/>
    <col min="4589" max="4589" width="37.5703125" style="31" customWidth="1"/>
    <col min="4590" max="4591" width="13.42578125" style="31" customWidth="1"/>
    <col min="4592" max="4842" width="11.42578125" style="31"/>
    <col min="4843" max="4843" width="1.5703125" style="31" customWidth="1"/>
    <col min="4844" max="4844" width="32" style="31" customWidth="1"/>
    <col min="4845" max="4845" width="37.5703125" style="31" customWidth="1"/>
    <col min="4846" max="4847" width="13.42578125" style="31" customWidth="1"/>
    <col min="4848" max="5098" width="11.42578125" style="31"/>
    <col min="5099" max="5099" width="1.5703125" style="31" customWidth="1"/>
    <col min="5100" max="5100" width="32" style="31" customWidth="1"/>
    <col min="5101" max="5101" width="37.5703125" style="31" customWidth="1"/>
    <col min="5102" max="5103" width="13.42578125" style="31" customWidth="1"/>
    <col min="5104" max="5354" width="11.42578125" style="31"/>
    <col min="5355" max="5355" width="1.5703125" style="31" customWidth="1"/>
    <col min="5356" max="5356" width="32" style="31" customWidth="1"/>
    <col min="5357" max="5357" width="37.5703125" style="31" customWidth="1"/>
    <col min="5358" max="5359" width="13.42578125" style="31" customWidth="1"/>
    <col min="5360" max="5610" width="11.42578125" style="31"/>
    <col min="5611" max="5611" width="1.5703125" style="31" customWidth="1"/>
    <col min="5612" max="5612" width="32" style="31" customWidth="1"/>
    <col min="5613" max="5613" width="37.5703125" style="31" customWidth="1"/>
    <col min="5614" max="5615" width="13.42578125" style="31" customWidth="1"/>
    <col min="5616" max="5866" width="11.42578125" style="31"/>
    <col min="5867" max="5867" width="1.5703125" style="31" customWidth="1"/>
    <col min="5868" max="5868" width="32" style="31" customWidth="1"/>
    <col min="5869" max="5869" width="37.5703125" style="31" customWidth="1"/>
    <col min="5870" max="5871" width="13.42578125" style="31" customWidth="1"/>
    <col min="5872" max="6122" width="11.42578125" style="31"/>
    <col min="6123" max="6123" width="1.5703125" style="31" customWidth="1"/>
    <col min="6124" max="6124" width="32" style="31" customWidth="1"/>
    <col min="6125" max="6125" width="37.5703125" style="31" customWidth="1"/>
    <col min="6126" max="6127" width="13.42578125" style="31" customWidth="1"/>
    <col min="6128" max="6378" width="11.42578125" style="31"/>
    <col min="6379" max="6379" width="1.5703125" style="31" customWidth="1"/>
    <col min="6380" max="6380" width="32" style="31" customWidth="1"/>
    <col min="6381" max="6381" width="37.5703125" style="31" customWidth="1"/>
    <col min="6382" max="6383" width="13.42578125" style="31" customWidth="1"/>
    <col min="6384" max="6634" width="11.42578125" style="31"/>
    <col min="6635" max="6635" width="1.5703125" style="31" customWidth="1"/>
    <col min="6636" max="6636" width="32" style="31" customWidth="1"/>
    <col min="6637" max="6637" width="37.5703125" style="31" customWidth="1"/>
    <col min="6638" max="6639" width="13.42578125" style="31" customWidth="1"/>
    <col min="6640" max="6890" width="11.42578125" style="31"/>
    <col min="6891" max="6891" width="1.5703125" style="31" customWidth="1"/>
    <col min="6892" max="6892" width="32" style="31" customWidth="1"/>
    <col min="6893" max="6893" width="37.5703125" style="31" customWidth="1"/>
    <col min="6894" max="6895" width="13.42578125" style="31" customWidth="1"/>
    <col min="6896" max="7146" width="11.42578125" style="31"/>
    <col min="7147" max="7147" width="1.5703125" style="31" customWidth="1"/>
    <col min="7148" max="7148" width="32" style="31" customWidth="1"/>
    <col min="7149" max="7149" width="37.5703125" style="31" customWidth="1"/>
    <col min="7150" max="7151" width="13.42578125" style="31" customWidth="1"/>
    <col min="7152" max="7402" width="11.42578125" style="31"/>
    <col min="7403" max="7403" width="1.5703125" style="31" customWidth="1"/>
    <col min="7404" max="7404" width="32" style="31" customWidth="1"/>
    <col min="7405" max="7405" width="37.5703125" style="31" customWidth="1"/>
    <col min="7406" max="7407" width="13.42578125" style="31" customWidth="1"/>
    <col min="7408" max="7658" width="11.42578125" style="31"/>
    <col min="7659" max="7659" width="1.5703125" style="31" customWidth="1"/>
    <col min="7660" max="7660" width="32" style="31" customWidth="1"/>
    <col min="7661" max="7661" width="37.5703125" style="31" customWidth="1"/>
    <col min="7662" max="7663" width="13.42578125" style="31" customWidth="1"/>
    <col min="7664" max="7914" width="11.42578125" style="31"/>
    <col min="7915" max="7915" width="1.5703125" style="31" customWidth="1"/>
    <col min="7916" max="7916" width="32" style="31" customWidth="1"/>
    <col min="7917" max="7917" width="37.5703125" style="31" customWidth="1"/>
    <col min="7918" max="7919" width="13.42578125" style="31" customWidth="1"/>
    <col min="7920" max="8170" width="11.42578125" style="31"/>
    <col min="8171" max="8171" width="1.5703125" style="31" customWidth="1"/>
    <col min="8172" max="8172" width="32" style="31" customWidth="1"/>
    <col min="8173" max="8173" width="37.5703125" style="31" customWidth="1"/>
    <col min="8174" max="8175" width="13.42578125" style="31" customWidth="1"/>
    <col min="8176" max="8426" width="11.42578125" style="31"/>
    <col min="8427" max="8427" width="1.5703125" style="31" customWidth="1"/>
    <col min="8428" max="8428" width="32" style="31" customWidth="1"/>
    <col min="8429" max="8429" width="37.5703125" style="31" customWidth="1"/>
    <col min="8430" max="8431" width="13.42578125" style="31" customWidth="1"/>
    <col min="8432" max="8682" width="11.42578125" style="31"/>
    <col min="8683" max="8683" width="1.5703125" style="31" customWidth="1"/>
    <col min="8684" max="8684" width="32" style="31" customWidth="1"/>
    <col min="8685" max="8685" width="37.5703125" style="31" customWidth="1"/>
    <col min="8686" max="8687" width="13.42578125" style="31" customWidth="1"/>
    <col min="8688" max="8938" width="11.42578125" style="31"/>
    <col min="8939" max="8939" width="1.5703125" style="31" customWidth="1"/>
    <col min="8940" max="8940" width="32" style="31" customWidth="1"/>
    <col min="8941" max="8941" width="37.5703125" style="31" customWidth="1"/>
    <col min="8942" max="8943" width="13.42578125" style="31" customWidth="1"/>
    <col min="8944" max="9194" width="11.42578125" style="31"/>
    <col min="9195" max="9195" width="1.5703125" style="31" customWidth="1"/>
    <col min="9196" max="9196" width="32" style="31" customWidth="1"/>
    <col min="9197" max="9197" width="37.5703125" style="31" customWidth="1"/>
    <col min="9198" max="9199" width="13.42578125" style="31" customWidth="1"/>
    <col min="9200" max="9450" width="11.42578125" style="31"/>
    <col min="9451" max="9451" width="1.5703125" style="31" customWidth="1"/>
    <col min="9452" max="9452" width="32" style="31" customWidth="1"/>
    <col min="9453" max="9453" width="37.5703125" style="31" customWidth="1"/>
    <col min="9454" max="9455" width="13.42578125" style="31" customWidth="1"/>
    <col min="9456" max="9706" width="11.42578125" style="31"/>
    <col min="9707" max="9707" width="1.5703125" style="31" customWidth="1"/>
    <col min="9708" max="9708" width="32" style="31" customWidth="1"/>
    <col min="9709" max="9709" width="37.5703125" style="31" customWidth="1"/>
    <col min="9710" max="9711" width="13.42578125" style="31" customWidth="1"/>
    <col min="9712" max="9962" width="11.42578125" style="31"/>
    <col min="9963" max="9963" width="1.5703125" style="31" customWidth="1"/>
    <col min="9964" max="9964" width="32" style="31" customWidth="1"/>
    <col min="9965" max="9965" width="37.5703125" style="31" customWidth="1"/>
    <col min="9966" max="9967" width="13.42578125" style="31" customWidth="1"/>
    <col min="9968" max="10218" width="11.42578125" style="31"/>
    <col min="10219" max="10219" width="1.5703125" style="31" customWidth="1"/>
    <col min="10220" max="10220" width="32" style="31" customWidth="1"/>
    <col min="10221" max="10221" width="37.5703125" style="31" customWidth="1"/>
    <col min="10222" max="10223" width="13.42578125" style="31" customWidth="1"/>
    <col min="10224" max="10474" width="11.42578125" style="31"/>
    <col min="10475" max="10475" width="1.5703125" style="31" customWidth="1"/>
    <col min="10476" max="10476" width="32" style="31" customWidth="1"/>
    <col min="10477" max="10477" width="37.5703125" style="31" customWidth="1"/>
    <col min="10478" max="10479" width="13.42578125" style="31" customWidth="1"/>
    <col min="10480" max="10730" width="11.42578125" style="31"/>
    <col min="10731" max="10731" width="1.5703125" style="31" customWidth="1"/>
    <col min="10732" max="10732" width="32" style="31" customWidth="1"/>
    <col min="10733" max="10733" width="37.5703125" style="31" customWidth="1"/>
    <col min="10734" max="10735" width="13.42578125" style="31" customWidth="1"/>
    <col min="10736" max="10986" width="11.42578125" style="31"/>
    <col min="10987" max="10987" width="1.5703125" style="31" customWidth="1"/>
    <col min="10988" max="10988" width="32" style="31" customWidth="1"/>
    <col min="10989" max="10989" width="37.5703125" style="31" customWidth="1"/>
    <col min="10990" max="10991" width="13.42578125" style="31" customWidth="1"/>
    <col min="10992" max="11242" width="11.42578125" style="31"/>
    <col min="11243" max="11243" width="1.5703125" style="31" customWidth="1"/>
    <col min="11244" max="11244" width="32" style="31" customWidth="1"/>
    <col min="11245" max="11245" width="37.5703125" style="31" customWidth="1"/>
    <col min="11246" max="11247" width="13.42578125" style="31" customWidth="1"/>
    <col min="11248" max="11498" width="11.42578125" style="31"/>
    <col min="11499" max="11499" width="1.5703125" style="31" customWidth="1"/>
    <col min="11500" max="11500" width="32" style="31" customWidth="1"/>
    <col min="11501" max="11501" width="37.5703125" style="31" customWidth="1"/>
    <col min="11502" max="11503" width="13.42578125" style="31" customWidth="1"/>
    <col min="11504" max="11754" width="11.42578125" style="31"/>
    <col min="11755" max="11755" width="1.5703125" style="31" customWidth="1"/>
    <col min="11756" max="11756" width="32" style="31" customWidth="1"/>
    <col min="11757" max="11757" width="37.5703125" style="31" customWidth="1"/>
    <col min="11758" max="11759" width="13.42578125" style="31" customWidth="1"/>
    <col min="11760" max="12010" width="11.42578125" style="31"/>
    <col min="12011" max="12011" width="1.5703125" style="31" customWidth="1"/>
    <col min="12012" max="12012" width="32" style="31" customWidth="1"/>
    <col min="12013" max="12013" width="37.5703125" style="31" customWidth="1"/>
    <col min="12014" max="12015" width="13.42578125" style="31" customWidth="1"/>
    <col min="12016" max="12266" width="11.42578125" style="31"/>
    <col min="12267" max="12267" width="1.5703125" style="31" customWidth="1"/>
    <col min="12268" max="12268" width="32" style="31" customWidth="1"/>
    <col min="12269" max="12269" width="37.5703125" style="31" customWidth="1"/>
    <col min="12270" max="12271" width="13.42578125" style="31" customWidth="1"/>
    <col min="12272" max="12522" width="11.42578125" style="31"/>
    <col min="12523" max="12523" width="1.5703125" style="31" customWidth="1"/>
    <col min="12524" max="12524" width="32" style="31" customWidth="1"/>
    <col min="12525" max="12525" width="37.5703125" style="31" customWidth="1"/>
    <col min="12526" max="12527" width="13.42578125" style="31" customWidth="1"/>
    <col min="12528" max="12778" width="11.42578125" style="31"/>
    <col min="12779" max="12779" width="1.5703125" style="31" customWidth="1"/>
    <col min="12780" max="12780" width="32" style="31" customWidth="1"/>
    <col min="12781" max="12781" width="37.5703125" style="31" customWidth="1"/>
    <col min="12782" max="12783" width="13.42578125" style="31" customWidth="1"/>
    <col min="12784" max="13034" width="11.42578125" style="31"/>
    <col min="13035" max="13035" width="1.5703125" style="31" customWidth="1"/>
    <col min="13036" max="13036" width="32" style="31" customWidth="1"/>
    <col min="13037" max="13037" width="37.5703125" style="31" customWidth="1"/>
    <col min="13038" max="13039" width="13.42578125" style="31" customWidth="1"/>
    <col min="13040" max="13290" width="11.42578125" style="31"/>
    <col min="13291" max="13291" width="1.5703125" style="31" customWidth="1"/>
    <col min="13292" max="13292" width="32" style="31" customWidth="1"/>
    <col min="13293" max="13293" width="37.5703125" style="31" customWidth="1"/>
    <col min="13294" max="13295" width="13.42578125" style="31" customWidth="1"/>
    <col min="13296" max="13546" width="11.42578125" style="31"/>
    <col min="13547" max="13547" width="1.5703125" style="31" customWidth="1"/>
    <col min="13548" max="13548" width="32" style="31" customWidth="1"/>
    <col min="13549" max="13549" width="37.5703125" style="31" customWidth="1"/>
    <col min="13550" max="13551" width="13.42578125" style="31" customWidth="1"/>
    <col min="13552" max="13802" width="11.42578125" style="31"/>
    <col min="13803" max="13803" width="1.5703125" style="31" customWidth="1"/>
    <col min="13804" max="13804" width="32" style="31" customWidth="1"/>
    <col min="13805" max="13805" width="37.5703125" style="31" customWidth="1"/>
    <col min="13806" max="13807" width="13.42578125" style="31" customWidth="1"/>
    <col min="13808" max="14058" width="11.42578125" style="31"/>
    <col min="14059" max="14059" width="1.5703125" style="31" customWidth="1"/>
    <col min="14060" max="14060" width="32" style="31" customWidth="1"/>
    <col min="14061" max="14061" width="37.5703125" style="31" customWidth="1"/>
    <col min="14062" max="14063" width="13.42578125" style="31" customWidth="1"/>
    <col min="14064" max="14314" width="11.42578125" style="31"/>
    <col min="14315" max="14315" width="1.5703125" style="31" customWidth="1"/>
    <col min="14316" max="14316" width="32" style="31" customWidth="1"/>
    <col min="14317" max="14317" width="37.5703125" style="31" customWidth="1"/>
    <col min="14318" max="14319" width="13.42578125" style="31" customWidth="1"/>
    <col min="14320" max="14570" width="11.42578125" style="31"/>
    <col min="14571" max="14571" width="1.5703125" style="31" customWidth="1"/>
    <col min="14572" max="14572" width="32" style="31" customWidth="1"/>
    <col min="14573" max="14573" width="37.5703125" style="31" customWidth="1"/>
    <col min="14574" max="14575" width="13.42578125" style="31" customWidth="1"/>
    <col min="14576" max="14826" width="11.42578125" style="31"/>
    <col min="14827" max="14827" width="1.5703125" style="31" customWidth="1"/>
    <col min="14828" max="14828" width="32" style="31" customWidth="1"/>
    <col min="14829" max="14829" width="37.5703125" style="31" customWidth="1"/>
    <col min="14830" max="14831" width="13.42578125" style="31" customWidth="1"/>
    <col min="14832" max="15082" width="11.42578125" style="31"/>
    <col min="15083" max="15083" width="1.5703125" style="31" customWidth="1"/>
    <col min="15084" max="15084" width="32" style="31" customWidth="1"/>
    <col min="15085" max="15085" width="37.5703125" style="31" customWidth="1"/>
    <col min="15086" max="15087" width="13.42578125" style="31" customWidth="1"/>
    <col min="15088" max="15338" width="11.42578125" style="31"/>
    <col min="15339" max="15339" width="1.5703125" style="31" customWidth="1"/>
    <col min="15340" max="15340" width="32" style="31" customWidth="1"/>
    <col min="15341" max="15341" width="37.5703125" style="31" customWidth="1"/>
    <col min="15342" max="15343" width="13.42578125" style="31" customWidth="1"/>
    <col min="15344" max="15594" width="11.42578125" style="31"/>
    <col min="15595" max="15595" width="1.5703125" style="31" customWidth="1"/>
    <col min="15596" max="15596" width="32" style="31" customWidth="1"/>
    <col min="15597" max="15597" width="37.5703125" style="31" customWidth="1"/>
    <col min="15598" max="15599" width="13.42578125" style="31" customWidth="1"/>
    <col min="15600" max="15850" width="11.42578125" style="31"/>
    <col min="15851" max="15851" width="1.5703125" style="31" customWidth="1"/>
    <col min="15852" max="15852" width="32" style="31" customWidth="1"/>
    <col min="15853" max="15853" width="37.5703125" style="31" customWidth="1"/>
    <col min="15854" max="15855" width="13.42578125" style="31" customWidth="1"/>
    <col min="15856" max="16106" width="11.42578125" style="31"/>
    <col min="16107" max="16107" width="1.5703125" style="31" customWidth="1"/>
    <col min="16108" max="16108" width="32" style="31" customWidth="1"/>
    <col min="16109" max="16109" width="37.5703125" style="31" customWidth="1"/>
    <col min="16110" max="16111" width="13.42578125" style="31" customWidth="1"/>
    <col min="16112" max="16384" width="11.42578125" style="31"/>
  </cols>
  <sheetData>
    <row r="1" spans="1:10" ht="12.75" customHeight="1" x14ac:dyDescent="0.2">
      <c r="A1" s="36" t="s">
        <v>94</v>
      </c>
      <c r="B1" s="36"/>
      <c r="C1" s="31"/>
      <c r="D1" s="31"/>
      <c r="E1" s="31"/>
      <c r="F1" s="27"/>
      <c r="G1" s="27"/>
    </row>
    <row r="2" spans="1:10" ht="12.75" customHeight="1" x14ac:dyDescent="0.2">
      <c r="A2" s="59" t="s">
        <v>64</v>
      </c>
      <c r="B2" s="36"/>
      <c r="C2" s="31"/>
      <c r="D2" s="31"/>
      <c r="E2" s="31"/>
      <c r="F2" s="27"/>
      <c r="G2" s="27"/>
    </row>
    <row r="3" spans="1:10" x14ac:dyDescent="0.2">
      <c r="A3" s="43" t="s">
        <v>118</v>
      </c>
      <c r="B3" s="44" t="s">
        <v>32</v>
      </c>
      <c r="C3" s="107">
        <v>2019</v>
      </c>
      <c r="D3" s="107">
        <v>2020</v>
      </c>
      <c r="E3" s="107">
        <v>2021</v>
      </c>
      <c r="F3" s="107">
        <v>2022</v>
      </c>
      <c r="G3" s="107">
        <v>2023</v>
      </c>
      <c r="H3" s="107">
        <v>2024</v>
      </c>
      <c r="I3" s="107">
        <v>2025</v>
      </c>
      <c r="J3" s="107">
        <v>2026</v>
      </c>
    </row>
    <row r="4" spans="1:10" x14ac:dyDescent="0.2">
      <c r="A4" s="38" t="s">
        <v>101</v>
      </c>
      <c r="B4" s="196"/>
      <c r="C4" s="193">
        <v>123.50100000000002</v>
      </c>
      <c r="D4" s="193">
        <v>121.58199999999999</v>
      </c>
      <c r="E4" s="193">
        <v>119.66000000000001</v>
      </c>
      <c r="F4" s="193">
        <v>116.79800000000002</v>
      </c>
      <c r="G4" s="193">
        <v>115.47013000000001</v>
      </c>
      <c r="H4" s="193">
        <v>114.79600000000001</v>
      </c>
      <c r="I4" s="193">
        <v>114.66528000000001</v>
      </c>
      <c r="J4" s="193">
        <v>114.15800000000003</v>
      </c>
    </row>
    <row r="5" spans="1:10" x14ac:dyDescent="0.2">
      <c r="A5" s="195"/>
      <c r="B5" s="197" t="s">
        <v>102</v>
      </c>
      <c r="C5" s="198">
        <v>123.50100000000002</v>
      </c>
      <c r="D5" s="198">
        <v>121.58199999999999</v>
      </c>
      <c r="E5" s="198">
        <v>119.66000000000001</v>
      </c>
      <c r="F5" s="198">
        <v>116.36500000000001</v>
      </c>
      <c r="G5" s="198">
        <v>115.00013000000001</v>
      </c>
      <c r="H5" s="198">
        <v>114.28200000000001</v>
      </c>
      <c r="I5" s="198">
        <v>114.12828</v>
      </c>
      <c r="J5" s="198">
        <v>113.61800000000002</v>
      </c>
    </row>
    <row r="6" spans="1:10" x14ac:dyDescent="0.2">
      <c r="A6" s="194"/>
      <c r="B6" s="195" t="s">
        <v>56</v>
      </c>
      <c r="C6" s="198"/>
      <c r="D6" s="198"/>
      <c r="E6" s="199"/>
      <c r="F6" s="199">
        <v>0.433</v>
      </c>
      <c r="G6" s="199">
        <v>0.47000000000000003</v>
      </c>
      <c r="H6" s="199">
        <v>0.51400000000000001</v>
      </c>
      <c r="I6" s="199">
        <v>0.53700000000000003</v>
      </c>
      <c r="J6" s="198">
        <v>0.54</v>
      </c>
    </row>
    <row r="7" spans="1:10" s="28" customFormat="1" ht="14.25" customHeight="1" x14ac:dyDescent="0.2">
      <c r="A7" s="48" t="s">
        <v>103</v>
      </c>
      <c r="B7" s="65"/>
      <c r="C7" s="108">
        <v>30.097000000000001</v>
      </c>
      <c r="D7" s="108">
        <v>29.798999999999999</v>
      </c>
      <c r="E7" s="108">
        <v>29.565000000000001</v>
      </c>
      <c r="F7" s="108">
        <v>29.734999999999996</v>
      </c>
      <c r="G7" s="108">
        <v>29.888199999999998</v>
      </c>
      <c r="H7" s="108">
        <v>30.262999999999998</v>
      </c>
      <c r="I7" s="108">
        <v>30.451000000000001</v>
      </c>
      <c r="J7" s="108">
        <v>30.1996</v>
      </c>
    </row>
    <row r="8" spans="1:10" x14ac:dyDescent="0.2">
      <c r="A8" s="39"/>
      <c r="B8" s="66" t="s">
        <v>35</v>
      </c>
      <c r="C8" s="109">
        <v>11.949000000000002</v>
      </c>
      <c r="D8" s="109">
        <v>11.664</v>
      </c>
      <c r="E8" s="109">
        <v>11.492000000000001</v>
      </c>
      <c r="F8" s="109">
        <v>11.713999999999999</v>
      </c>
      <c r="G8" s="109">
        <v>11.841199999999999</v>
      </c>
      <c r="H8" s="109">
        <v>11.813000000000001</v>
      </c>
      <c r="I8" s="109">
        <v>11.734</v>
      </c>
      <c r="J8" s="109">
        <v>11.509600000000001</v>
      </c>
    </row>
    <row r="9" spans="1:10" x14ac:dyDescent="0.2">
      <c r="A9" s="39"/>
      <c r="B9" s="66" t="s">
        <v>36</v>
      </c>
      <c r="C9" s="109">
        <v>15.360999999999999</v>
      </c>
      <c r="D9" s="109">
        <v>15.334000000000001</v>
      </c>
      <c r="E9" s="109">
        <v>15.266</v>
      </c>
      <c r="F9" s="109">
        <v>15.205</v>
      </c>
      <c r="G9" s="109">
        <v>15.215</v>
      </c>
      <c r="H9" s="109">
        <v>15.605</v>
      </c>
      <c r="I9" s="109">
        <v>15.872</v>
      </c>
      <c r="J9" s="109">
        <v>15.85</v>
      </c>
    </row>
    <row r="10" spans="1:10" x14ac:dyDescent="0.2">
      <c r="A10" s="39"/>
      <c r="B10" s="66" t="s">
        <v>37</v>
      </c>
      <c r="C10" s="109">
        <v>2.7869999999999999</v>
      </c>
      <c r="D10" s="109">
        <v>2.8010000000000002</v>
      </c>
      <c r="E10" s="109">
        <v>2.8069999999999999</v>
      </c>
      <c r="F10" s="109">
        <v>2.8159999999999998</v>
      </c>
      <c r="G10" s="109">
        <v>2.8319999999999999</v>
      </c>
      <c r="H10" s="109">
        <v>2.8449999999999998</v>
      </c>
      <c r="I10" s="109">
        <v>2.8449999999999998</v>
      </c>
      <c r="J10" s="109">
        <v>2.84</v>
      </c>
    </row>
    <row r="11" spans="1:10" s="30" customFormat="1" x14ac:dyDescent="0.2">
      <c r="A11" s="48" t="s">
        <v>104</v>
      </c>
      <c r="B11" s="65"/>
      <c r="C11" s="108">
        <v>0.26500000000000001</v>
      </c>
      <c r="D11" s="108"/>
      <c r="E11" s="108"/>
      <c r="F11" s="108"/>
      <c r="G11" s="108"/>
      <c r="H11" s="108">
        <v>0.1</v>
      </c>
      <c r="I11" s="108">
        <v>0.1</v>
      </c>
      <c r="J11" s="108">
        <v>0.1</v>
      </c>
    </row>
    <row r="12" spans="1:10" s="28" customFormat="1" x14ac:dyDescent="0.2">
      <c r="A12" s="50"/>
      <c r="B12" s="67" t="s">
        <v>45</v>
      </c>
      <c r="C12" s="110">
        <v>0.26500000000000001</v>
      </c>
      <c r="D12" s="110"/>
      <c r="E12" s="110"/>
      <c r="F12" s="110"/>
      <c r="G12" s="110"/>
      <c r="H12" s="110">
        <v>0.1</v>
      </c>
      <c r="I12" s="110">
        <v>0.1</v>
      </c>
      <c r="J12" s="110">
        <v>0.1</v>
      </c>
    </row>
    <row r="13" spans="1:10" s="28" customFormat="1" x14ac:dyDescent="0.2">
      <c r="A13" s="41" t="s">
        <v>105</v>
      </c>
      <c r="B13" s="65"/>
      <c r="C13" s="108">
        <v>271.26800000000003</v>
      </c>
      <c r="D13" s="108">
        <v>270.74600000000004</v>
      </c>
      <c r="E13" s="108">
        <v>272.22399999999999</v>
      </c>
      <c r="F13" s="108">
        <v>271.37203999999997</v>
      </c>
      <c r="G13" s="108">
        <v>272.57071000000002</v>
      </c>
      <c r="H13" s="108">
        <v>270.55376999999999</v>
      </c>
      <c r="I13" s="108">
        <v>271.11669000000001</v>
      </c>
      <c r="J13" s="108">
        <v>272.27909</v>
      </c>
    </row>
    <row r="14" spans="1:10" x14ac:dyDescent="0.2">
      <c r="A14" s="39"/>
      <c r="B14" s="66" t="s">
        <v>38</v>
      </c>
      <c r="C14" s="110">
        <v>271.26800000000003</v>
      </c>
      <c r="D14" s="110">
        <v>270.74600000000004</v>
      </c>
      <c r="E14" s="110">
        <v>272.22399999999999</v>
      </c>
      <c r="F14" s="110">
        <v>271.37203999999997</v>
      </c>
      <c r="G14" s="110">
        <v>272.57071000000002</v>
      </c>
      <c r="H14" s="110">
        <v>270.55376999999999</v>
      </c>
      <c r="I14" s="110">
        <v>271.11669000000001</v>
      </c>
      <c r="J14" s="110">
        <v>272.27909</v>
      </c>
    </row>
    <row r="15" spans="1:10" s="28" customFormat="1" x14ac:dyDescent="0.2">
      <c r="A15" s="41" t="s">
        <v>9</v>
      </c>
      <c r="B15" s="65"/>
      <c r="C15" s="108">
        <v>10.670000000000002</v>
      </c>
      <c r="D15" s="108">
        <v>9.593</v>
      </c>
      <c r="E15" s="108">
        <v>9.5779999999999994</v>
      </c>
      <c r="F15" s="108">
        <v>9.4341300000000015</v>
      </c>
      <c r="G15" s="108">
        <v>9.1107999999999993</v>
      </c>
      <c r="H15" s="108">
        <v>9.1608000000000001</v>
      </c>
      <c r="I15" s="108">
        <v>9.1568100000000001</v>
      </c>
      <c r="J15" s="108">
        <v>8.9255499999999994</v>
      </c>
    </row>
    <row r="16" spans="1:10" x14ac:dyDescent="0.2">
      <c r="A16" s="39"/>
      <c r="B16" s="66" t="s">
        <v>9</v>
      </c>
      <c r="C16" s="109">
        <v>10.670000000000002</v>
      </c>
      <c r="D16" s="109">
        <v>9.593</v>
      </c>
      <c r="E16" s="109">
        <v>9.5779999999999994</v>
      </c>
      <c r="F16" s="109">
        <v>9.4341300000000015</v>
      </c>
      <c r="G16" s="109">
        <v>9.1107999999999993</v>
      </c>
      <c r="H16" s="109">
        <v>9.1608000000000001</v>
      </c>
      <c r="I16" s="109">
        <v>9.1568100000000001</v>
      </c>
      <c r="J16" s="109">
        <v>8.9255499999999994</v>
      </c>
    </row>
    <row r="17" spans="1:10" s="28" customFormat="1" x14ac:dyDescent="0.2">
      <c r="A17" s="48" t="s">
        <v>108</v>
      </c>
      <c r="B17" s="65"/>
      <c r="C17" s="108">
        <v>13.04</v>
      </c>
      <c r="D17" s="108">
        <v>12.54</v>
      </c>
      <c r="E17" s="108">
        <v>11.323</v>
      </c>
      <c r="F17" s="108">
        <v>11.129</v>
      </c>
      <c r="G17" s="108">
        <v>11.311170000000001</v>
      </c>
      <c r="H17" s="108">
        <v>11.399860000000002</v>
      </c>
      <c r="I17" s="108">
        <v>12.908849999999999</v>
      </c>
      <c r="J17" s="108">
        <v>12.859530000000001</v>
      </c>
    </row>
    <row r="18" spans="1:10" x14ac:dyDescent="0.2">
      <c r="A18" s="46"/>
      <c r="B18" s="66" t="s">
        <v>39</v>
      </c>
      <c r="C18" s="109">
        <v>0.432</v>
      </c>
      <c r="D18" s="109">
        <v>0.44</v>
      </c>
      <c r="E18" s="109">
        <v>0.44400000000000001</v>
      </c>
      <c r="F18" s="109">
        <v>0.44500000000000001</v>
      </c>
      <c r="G18" s="109">
        <v>0.45700000000000002</v>
      </c>
      <c r="H18" s="109">
        <v>0.47000000000000003</v>
      </c>
      <c r="I18" s="109">
        <v>2.0249999999999999</v>
      </c>
      <c r="J18" s="109">
        <v>2.0249999999999999</v>
      </c>
    </row>
    <row r="19" spans="1:10" x14ac:dyDescent="0.2">
      <c r="A19" s="46"/>
      <c r="B19" s="66" t="s">
        <v>40</v>
      </c>
      <c r="C19" s="109">
        <v>11.54</v>
      </c>
      <c r="D19" s="109">
        <v>11.176</v>
      </c>
      <c r="E19" s="109">
        <v>10.879</v>
      </c>
      <c r="F19" s="109">
        <v>10.683999999999999</v>
      </c>
      <c r="G19" s="109">
        <v>10.85417</v>
      </c>
      <c r="H19" s="109">
        <v>10.929860000000001</v>
      </c>
      <c r="I19" s="109">
        <v>10.883849999999999</v>
      </c>
      <c r="J19" s="109">
        <v>10.834530000000001</v>
      </c>
    </row>
    <row r="20" spans="1:10" x14ac:dyDescent="0.2">
      <c r="A20" s="47"/>
      <c r="B20" s="66" t="s">
        <v>37</v>
      </c>
      <c r="C20" s="109">
        <v>1.0680000000000001</v>
      </c>
      <c r="D20" s="109">
        <v>0.92400000000000004</v>
      </c>
      <c r="E20" s="109"/>
      <c r="F20" s="109"/>
      <c r="G20" s="109"/>
      <c r="H20" s="109"/>
      <c r="I20" s="109"/>
      <c r="J20" s="109"/>
    </row>
    <row r="21" spans="1:10" x14ac:dyDescent="0.2">
      <c r="A21" s="48" t="s">
        <v>109</v>
      </c>
      <c r="B21" s="65"/>
      <c r="C21" s="108">
        <v>1024.0609999999999</v>
      </c>
      <c r="D21" s="108">
        <v>1019.0850000000002</v>
      </c>
      <c r="E21" s="108">
        <v>1022.4960000000002</v>
      </c>
      <c r="F21" s="108">
        <v>1023.0595000000001</v>
      </c>
      <c r="G21" s="108">
        <v>1037.7829400000001</v>
      </c>
      <c r="H21" s="108">
        <v>1059.644</v>
      </c>
      <c r="I21" s="108">
        <v>1078.9857499999998</v>
      </c>
      <c r="J21" s="108">
        <v>1085.2581600000001</v>
      </c>
    </row>
    <row r="22" spans="1:10" s="28" customFormat="1" x14ac:dyDescent="0.2">
      <c r="A22" s="47"/>
      <c r="B22" s="66" t="s">
        <v>36</v>
      </c>
      <c r="C22" s="109">
        <v>1024.0609999999999</v>
      </c>
      <c r="D22" s="109">
        <v>1019.0850000000002</v>
      </c>
      <c r="E22" s="109">
        <v>1022.4960000000002</v>
      </c>
      <c r="F22" s="109">
        <v>1023.0595000000001</v>
      </c>
      <c r="G22" s="109">
        <v>1037.7829400000001</v>
      </c>
      <c r="H22" s="109">
        <v>1059.644</v>
      </c>
      <c r="I22" s="109">
        <v>1078.9857499999998</v>
      </c>
      <c r="J22" s="109">
        <v>1085.2581600000001</v>
      </c>
    </row>
    <row r="23" spans="1:10" x14ac:dyDescent="0.2">
      <c r="A23" s="48" t="s">
        <v>110</v>
      </c>
      <c r="B23" s="65"/>
      <c r="C23" s="108">
        <v>7.298</v>
      </c>
      <c r="D23" s="108">
        <v>6.992</v>
      </c>
      <c r="E23" s="108">
        <v>6.7939999999999996</v>
      </c>
      <c r="F23" s="108">
        <v>5.3109999999999999</v>
      </c>
      <c r="G23" s="108">
        <v>5.1790000000000003</v>
      </c>
      <c r="H23" s="108">
        <v>5.1189999999999998</v>
      </c>
      <c r="I23" s="108">
        <v>5.1040000000000001</v>
      </c>
      <c r="J23" s="108">
        <v>5.0760000000000005</v>
      </c>
    </row>
    <row r="24" spans="1:10" s="28" customFormat="1" x14ac:dyDescent="0.2">
      <c r="A24" s="40"/>
      <c r="B24" s="66" t="s">
        <v>37</v>
      </c>
      <c r="C24" s="110">
        <v>7.298</v>
      </c>
      <c r="D24" s="110">
        <v>6.992</v>
      </c>
      <c r="E24" s="110">
        <v>6.7939999999999996</v>
      </c>
      <c r="F24" s="110">
        <v>5.3109999999999999</v>
      </c>
      <c r="G24" s="110">
        <v>5.1790000000000003</v>
      </c>
      <c r="H24" s="110">
        <v>5.1189999999999998</v>
      </c>
      <c r="I24" s="110">
        <v>5.1040000000000001</v>
      </c>
      <c r="J24" s="110">
        <v>5.0760000000000005</v>
      </c>
    </row>
    <row r="25" spans="1:10" s="28" customFormat="1" x14ac:dyDescent="0.2">
      <c r="A25" s="38" t="s">
        <v>33</v>
      </c>
      <c r="B25" s="65"/>
      <c r="C25" s="108">
        <v>13.597999999999999</v>
      </c>
      <c r="D25" s="108">
        <v>13.524000000000001</v>
      </c>
      <c r="E25" s="108">
        <v>13.563000000000001</v>
      </c>
      <c r="F25" s="108">
        <v>13.566000000000003</v>
      </c>
      <c r="G25" s="108">
        <v>13.635</v>
      </c>
      <c r="H25" s="108">
        <v>13.761370000000001</v>
      </c>
      <c r="I25" s="108">
        <v>13.891999999999999</v>
      </c>
      <c r="J25" s="108">
        <v>13.941299999999998</v>
      </c>
    </row>
    <row r="26" spans="1:10" x14ac:dyDescent="0.2">
      <c r="A26" s="39"/>
      <c r="B26" s="66" t="s">
        <v>34</v>
      </c>
      <c r="C26" s="109">
        <v>13.597999999999999</v>
      </c>
      <c r="D26" s="109">
        <v>13.524000000000001</v>
      </c>
      <c r="E26" s="109">
        <v>13.563000000000001</v>
      </c>
      <c r="F26" s="109">
        <v>13.566000000000003</v>
      </c>
      <c r="G26" s="109">
        <v>13.635</v>
      </c>
      <c r="H26" s="109">
        <v>13.761370000000001</v>
      </c>
      <c r="I26" s="109">
        <v>13.891999999999999</v>
      </c>
      <c r="J26" s="109">
        <v>13.941299999999998</v>
      </c>
    </row>
    <row r="27" spans="1:10" s="30" customFormat="1" x14ac:dyDescent="0.2">
      <c r="A27" s="41" t="s">
        <v>42</v>
      </c>
      <c r="B27" s="65"/>
      <c r="C27" s="108">
        <v>289.29300000000001</v>
      </c>
      <c r="D27" s="108">
        <v>290.40600000000001</v>
      </c>
      <c r="E27" s="108">
        <v>293.16999999999996</v>
      </c>
      <c r="F27" s="108">
        <v>293.77145000000002</v>
      </c>
      <c r="G27" s="108">
        <v>296.09721999999999</v>
      </c>
      <c r="H27" s="108">
        <v>297.87266000000005</v>
      </c>
      <c r="I27" s="108">
        <v>298.70209</v>
      </c>
      <c r="J27" s="108">
        <v>299.80673999999999</v>
      </c>
    </row>
    <row r="28" spans="1:10" s="30" customFormat="1" x14ac:dyDescent="0.2">
      <c r="A28" s="49"/>
      <c r="B28" s="66" t="s">
        <v>43</v>
      </c>
      <c r="C28" s="109">
        <v>34.785999999999994</v>
      </c>
      <c r="D28" s="109">
        <v>40.100999999999999</v>
      </c>
      <c r="E28" s="109">
        <v>40.659999999999997</v>
      </c>
      <c r="F28" s="109">
        <v>40.274940000000001</v>
      </c>
      <c r="G28" s="109">
        <v>40.447910000000007</v>
      </c>
      <c r="H28" s="109">
        <v>40.616010000000003</v>
      </c>
      <c r="I28" s="109">
        <v>40.273550000000007</v>
      </c>
      <c r="J28" s="109">
        <v>40.66778</v>
      </c>
    </row>
    <row r="29" spans="1:10" s="28" customFormat="1" x14ac:dyDescent="0.2">
      <c r="A29" s="49"/>
      <c r="B29" s="66" t="s">
        <v>44</v>
      </c>
      <c r="C29" s="109">
        <v>254.50700000000003</v>
      </c>
      <c r="D29" s="109">
        <v>250.30500000000001</v>
      </c>
      <c r="E29" s="109">
        <v>252.51</v>
      </c>
      <c r="F29" s="109">
        <v>253.49651000000003</v>
      </c>
      <c r="G29" s="109">
        <v>255.64930999999999</v>
      </c>
      <c r="H29" s="109">
        <v>257.25665000000004</v>
      </c>
      <c r="I29" s="109">
        <v>258.42854</v>
      </c>
      <c r="J29" s="109">
        <v>259.13896</v>
      </c>
    </row>
    <row r="30" spans="1:10" s="30" customFormat="1" x14ac:dyDescent="0.2">
      <c r="A30" s="41" t="s">
        <v>4</v>
      </c>
      <c r="B30" s="65"/>
      <c r="C30" s="108">
        <v>86.452000000000012</v>
      </c>
      <c r="D30" s="108">
        <v>87.61699999999999</v>
      </c>
      <c r="E30" s="108">
        <v>89.882000000000005</v>
      </c>
      <c r="F30" s="108">
        <v>90.666799999999995</v>
      </c>
      <c r="G30" s="108">
        <v>92.752560000000003</v>
      </c>
      <c r="H30" s="108">
        <v>94.697630000000018</v>
      </c>
      <c r="I30" s="108">
        <v>96.161590000000032</v>
      </c>
      <c r="J30" s="108">
        <v>98.247619999999998</v>
      </c>
    </row>
    <row r="31" spans="1:10" s="28" customFormat="1" x14ac:dyDescent="0.2">
      <c r="A31" s="50"/>
      <c r="B31" s="67" t="s">
        <v>4</v>
      </c>
      <c r="C31" s="110">
        <v>86.452000000000012</v>
      </c>
      <c r="D31" s="110">
        <v>87.61699999999999</v>
      </c>
      <c r="E31" s="110">
        <v>89.882000000000005</v>
      </c>
      <c r="F31" s="110">
        <v>90.666799999999995</v>
      </c>
      <c r="G31" s="110">
        <v>92.752560000000003</v>
      </c>
      <c r="H31" s="110">
        <v>94.697630000000018</v>
      </c>
      <c r="I31" s="110">
        <v>96.161590000000032</v>
      </c>
      <c r="J31" s="110">
        <v>98.247619999999998</v>
      </c>
    </row>
    <row r="32" spans="1:10" s="30" customFormat="1" x14ac:dyDescent="0.2">
      <c r="A32" s="41" t="s">
        <v>46</v>
      </c>
      <c r="B32" s="65"/>
      <c r="C32" s="108">
        <v>5.548</v>
      </c>
      <c r="D32" s="108">
        <v>5.5830000000000002</v>
      </c>
      <c r="E32" s="108">
        <v>5.6180000000000003</v>
      </c>
      <c r="F32" s="108">
        <v>5.7439999999999998</v>
      </c>
      <c r="G32" s="108">
        <v>6.0489999999999995</v>
      </c>
      <c r="H32" s="108">
        <v>6.1674999999999995</v>
      </c>
      <c r="I32" s="108">
        <v>5.5890000000000004</v>
      </c>
      <c r="J32" s="108">
        <v>5.5890000000000004</v>
      </c>
    </row>
    <row r="33" spans="1:10" s="29" customFormat="1" x14ac:dyDescent="0.2">
      <c r="A33" s="50"/>
      <c r="B33" s="67" t="s">
        <v>46</v>
      </c>
      <c r="C33" s="110">
        <v>5.548</v>
      </c>
      <c r="D33" s="110">
        <v>5.5830000000000002</v>
      </c>
      <c r="E33" s="110">
        <v>5.6180000000000003</v>
      </c>
      <c r="F33" s="110">
        <v>5.7439999999999998</v>
      </c>
      <c r="G33" s="110">
        <v>6.0489999999999995</v>
      </c>
      <c r="H33" s="110">
        <v>6.1674999999999995</v>
      </c>
      <c r="I33" s="110">
        <v>5.5890000000000004</v>
      </c>
      <c r="J33" s="110">
        <v>5.5890000000000004</v>
      </c>
    </row>
    <row r="34" spans="1:10" s="30" customFormat="1" x14ac:dyDescent="0.2">
      <c r="A34" s="41" t="s">
        <v>12</v>
      </c>
      <c r="B34" s="69"/>
      <c r="C34" s="108">
        <v>9.6059999999999999</v>
      </c>
      <c r="D34" s="108">
        <v>9.7080000000000002</v>
      </c>
      <c r="E34" s="108">
        <v>9.6120000000000001</v>
      </c>
      <c r="F34" s="108">
        <v>9.7478999999999996</v>
      </c>
      <c r="G34" s="108">
        <v>10.04904</v>
      </c>
      <c r="H34" s="108">
        <v>10.40476</v>
      </c>
      <c r="I34" s="108">
        <v>10.45439</v>
      </c>
      <c r="J34" s="108">
        <v>10.493599999999999</v>
      </c>
    </row>
    <row r="35" spans="1:10" x14ac:dyDescent="0.2">
      <c r="A35" s="51"/>
      <c r="B35" s="70" t="s">
        <v>111</v>
      </c>
      <c r="C35" s="109">
        <v>1.9E-2</v>
      </c>
      <c r="D35" s="109">
        <v>1.6E-2</v>
      </c>
      <c r="E35" s="109">
        <v>1.6E-2</v>
      </c>
      <c r="F35" s="109">
        <v>1.6E-2</v>
      </c>
      <c r="G35" s="109">
        <v>1.9000000000000003E-2</v>
      </c>
      <c r="H35" s="109">
        <v>1.7000000000000001E-2</v>
      </c>
      <c r="I35" s="109">
        <v>1.6E-2</v>
      </c>
      <c r="J35" s="109">
        <v>1.6E-2</v>
      </c>
    </row>
    <row r="36" spans="1:10" x14ac:dyDescent="0.2">
      <c r="A36" s="51"/>
      <c r="B36" s="70" t="s">
        <v>47</v>
      </c>
      <c r="C36" s="109">
        <v>6.0739999999999998</v>
      </c>
      <c r="D36" s="109">
        <v>6.1829999999999998</v>
      </c>
      <c r="E36" s="109">
        <v>6.2170000000000005</v>
      </c>
      <c r="F36" s="109">
        <v>6.2418899999999988</v>
      </c>
      <c r="G36" s="109">
        <v>6.3090399999999995</v>
      </c>
      <c r="H36" s="109">
        <v>6.4837600000000002</v>
      </c>
      <c r="I36" s="109">
        <v>6.4769899999999998</v>
      </c>
      <c r="J36" s="109">
        <v>6.4546000000000001</v>
      </c>
    </row>
    <row r="37" spans="1:10" x14ac:dyDescent="0.2">
      <c r="A37" s="49"/>
      <c r="B37" s="200" t="s">
        <v>48</v>
      </c>
      <c r="C37" s="109">
        <v>3.5129999999999999</v>
      </c>
      <c r="D37" s="109">
        <v>3.5089999999999999</v>
      </c>
      <c r="E37" s="109">
        <v>3.379</v>
      </c>
      <c r="F37" s="109">
        <v>3.4900100000000003</v>
      </c>
      <c r="G37" s="109">
        <v>3.7210000000000001</v>
      </c>
      <c r="H37" s="109">
        <v>3.9039999999999999</v>
      </c>
      <c r="I37" s="109">
        <v>3.9614000000000003</v>
      </c>
      <c r="J37" s="109">
        <v>4.0229999999999997</v>
      </c>
    </row>
    <row r="38" spans="1:10" s="29" customFormat="1" x14ac:dyDescent="0.2">
      <c r="A38" s="41" t="s">
        <v>106</v>
      </c>
      <c r="B38" s="68"/>
      <c r="C38" s="108"/>
      <c r="D38" s="108">
        <v>1.5289999999999999</v>
      </c>
      <c r="E38" s="108">
        <v>1.8540000000000001</v>
      </c>
      <c r="F38" s="108">
        <v>1.802</v>
      </c>
      <c r="G38" s="108">
        <v>2.1959999999999997</v>
      </c>
      <c r="H38" s="108">
        <v>2.3010000000000002</v>
      </c>
      <c r="I38" s="108">
        <v>2.3010000000000002</v>
      </c>
      <c r="J38" s="108">
        <v>1.429</v>
      </c>
    </row>
    <row r="39" spans="1:10" s="30" customFormat="1" x14ac:dyDescent="0.2">
      <c r="A39" s="42"/>
      <c r="B39" s="67" t="s">
        <v>41</v>
      </c>
      <c r="C39" s="110"/>
      <c r="D39" s="110">
        <v>1.5289999999999999</v>
      </c>
      <c r="E39" s="110">
        <v>1.8540000000000001</v>
      </c>
      <c r="F39" s="110">
        <v>1.802</v>
      </c>
      <c r="G39" s="110">
        <v>2.1959999999999997</v>
      </c>
      <c r="H39" s="110">
        <v>2.3010000000000002</v>
      </c>
      <c r="I39" s="110">
        <v>2.3010000000000002</v>
      </c>
      <c r="J39" s="110">
        <v>1.429</v>
      </c>
    </row>
    <row r="40" spans="1:10" s="28" customFormat="1" x14ac:dyDescent="0.2">
      <c r="A40" s="48" t="s">
        <v>112</v>
      </c>
      <c r="B40" s="65"/>
      <c r="C40" s="111">
        <v>38.940999999999995</v>
      </c>
      <c r="D40" s="111">
        <v>36.914999999999999</v>
      </c>
      <c r="E40" s="111">
        <v>35.768000000000001</v>
      </c>
      <c r="F40" s="111">
        <v>35.223999999999997</v>
      </c>
      <c r="G40" s="111">
        <v>35.020499999999998</v>
      </c>
      <c r="H40" s="111">
        <v>34.990299999999998</v>
      </c>
      <c r="I40" s="111">
        <v>34.559020000000004</v>
      </c>
      <c r="J40" s="111">
        <v>34.193690000000004</v>
      </c>
    </row>
    <row r="41" spans="1:10" x14ac:dyDescent="0.2">
      <c r="A41" s="27"/>
      <c r="B41" s="200" t="s">
        <v>39</v>
      </c>
      <c r="C41" s="109">
        <v>38.940999999999995</v>
      </c>
      <c r="D41" s="109">
        <v>36.914999999999999</v>
      </c>
      <c r="E41" s="109">
        <v>35.768000000000001</v>
      </c>
      <c r="F41" s="109">
        <v>35.223999999999997</v>
      </c>
      <c r="G41" s="109">
        <v>35.020499999999998</v>
      </c>
      <c r="H41" s="109">
        <v>34.990299999999998</v>
      </c>
      <c r="I41" s="109">
        <v>34.559020000000004</v>
      </c>
      <c r="J41" s="109">
        <v>34.193690000000004</v>
      </c>
    </row>
    <row r="42" spans="1:10" s="29" customFormat="1" x14ac:dyDescent="0.2">
      <c r="A42" s="41" t="s">
        <v>113</v>
      </c>
      <c r="B42" s="68"/>
      <c r="C42" s="108">
        <v>18.371000000000002</v>
      </c>
      <c r="D42" s="108">
        <v>16.048999999999999</v>
      </c>
      <c r="E42" s="108">
        <v>12.623000000000001</v>
      </c>
      <c r="F42" s="108">
        <v>12.833</v>
      </c>
      <c r="G42" s="108">
        <v>12.7661</v>
      </c>
      <c r="H42" s="108">
        <v>12.860889999999999</v>
      </c>
      <c r="I42" s="108">
        <v>12.75553</v>
      </c>
      <c r="J42" s="108">
        <v>12.68994</v>
      </c>
    </row>
    <row r="43" spans="1:10" s="30" customFormat="1" x14ac:dyDescent="0.2">
      <c r="A43" s="42"/>
      <c r="B43" s="67" t="s">
        <v>114</v>
      </c>
      <c r="C43" s="110">
        <v>18.371000000000002</v>
      </c>
      <c r="D43" s="110">
        <v>16.048999999999999</v>
      </c>
      <c r="E43" s="110">
        <v>12.623000000000001</v>
      </c>
      <c r="F43" s="110">
        <v>12.833</v>
      </c>
      <c r="G43" s="110">
        <v>12.7661</v>
      </c>
      <c r="H43" s="110">
        <v>12.860889999999999</v>
      </c>
      <c r="I43" s="110">
        <v>12.75553</v>
      </c>
      <c r="J43" s="110">
        <v>12.68994</v>
      </c>
    </row>
    <row r="44" spans="1:10" s="28" customFormat="1" x14ac:dyDescent="0.2">
      <c r="A44" s="41" t="s">
        <v>107</v>
      </c>
      <c r="B44" s="65"/>
      <c r="C44" s="111">
        <v>0.29900000000000004</v>
      </c>
      <c r="D44" s="111">
        <v>0.29100000000000004</v>
      </c>
      <c r="E44" s="111">
        <v>0.29099999999999998</v>
      </c>
      <c r="F44" s="111">
        <v>0.29099999999999998</v>
      </c>
      <c r="G44" s="111">
        <v>0.29100000000000004</v>
      </c>
      <c r="H44" s="111">
        <v>0.29100000000000004</v>
      </c>
      <c r="I44" s="111">
        <v>0.29100000000000004</v>
      </c>
      <c r="J44" s="111">
        <v>0.29100000000000004</v>
      </c>
    </row>
    <row r="45" spans="1:10" x14ac:dyDescent="0.2">
      <c r="A45" s="27"/>
      <c r="B45" s="66" t="s">
        <v>45</v>
      </c>
      <c r="C45" s="109">
        <v>0.29900000000000004</v>
      </c>
      <c r="D45" s="109">
        <v>0.29100000000000004</v>
      </c>
      <c r="E45" s="109">
        <v>0.29099999999999998</v>
      </c>
      <c r="F45" s="109">
        <v>0.29099999999999998</v>
      </c>
      <c r="G45" s="109">
        <v>0.29100000000000004</v>
      </c>
      <c r="H45" s="109">
        <v>0.29100000000000004</v>
      </c>
      <c r="I45" s="109">
        <v>0.29100000000000004</v>
      </c>
      <c r="J45" s="109">
        <v>0.29100000000000004</v>
      </c>
    </row>
    <row r="46" spans="1:10" s="28" customFormat="1" x14ac:dyDescent="0.2">
      <c r="A46" s="41" t="s">
        <v>50</v>
      </c>
      <c r="B46" s="201"/>
      <c r="C46" s="108">
        <v>1942.3080000000002</v>
      </c>
      <c r="D46" s="108">
        <v>1931.9590000000005</v>
      </c>
      <c r="E46" s="108">
        <v>1934.0210000000006</v>
      </c>
      <c r="F46" s="108">
        <v>1930.4848199999997</v>
      </c>
      <c r="G46" s="108">
        <v>1950.1693700000001</v>
      </c>
      <c r="H46" s="108">
        <v>1974.3835399999998</v>
      </c>
      <c r="I46" s="108">
        <v>1997.1939999999993</v>
      </c>
      <c r="J46" s="108">
        <v>2005.5378200000002</v>
      </c>
    </row>
    <row r="47" spans="1:10" s="30" customFormat="1" x14ac:dyDescent="0.2">
      <c r="A47" s="52"/>
      <c r="B47" s="66" t="s">
        <v>52</v>
      </c>
      <c r="C47" s="112">
        <v>0.66300000000000003</v>
      </c>
      <c r="D47" s="112">
        <v>0.60500000000000009</v>
      </c>
      <c r="E47" s="112">
        <v>0.56399999999999995</v>
      </c>
      <c r="F47" s="112">
        <v>0.53400000000000003</v>
      </c>
      <c r="G47" s="112">
        <v>0.50332999999999994</v>
      </c>
      <c r="H47" s="112">
        <v>0.48442000000000002</v>
      </c>
      <c r="I47" s="112">
        <v>0.48591000000000001</v>
      </c>
      <c r="J47" s="112">
        <v>0.48715999999999998</v>
      </c>
    </row>
    <row r="48" spans="1:10" x14ac:dyDescent="0.2">
      <c r="A48" s="53"/>
      <c r="B48" s="66" t="s">
        <v>51</v>
      </c>
      <c r="C48" s="109">
        <v>10.545</v>
      </c>
      <c r="D48" s="109">
        <v>10.544</v>
      </c>
      <c r="E48" s="109">
        <v>10.544</v>
      </c>
      <c r="F48" s="109">
        <v>10.451000000000001</v>
      </c>
      <c r="G48" s="109">
        <v>10.421000000000001</v>
      </c>
      <c r="H48" s="109">
        <v>10.438999999999998</v>
      </c>
      <c r="I48" s="109">
        <v>10.52</v>
      </c>
      <c r="J48" s="109">
        <v>10.561</v>
      </c>
    </row>
    <row r="49" spans="1:10" s="30" customFormat="1" x14ac:dyDescent="0.2">
      <c r="A49" s="54" t="s">
        <v>53</v>
      </c>
      <c r="B49" s="71"/>
      <c r="C49" s="113">
        <v>11.208</v>
      </c>
      <c r="D49" s="113">
        <v>11.149000000000001</v>
      </c>
      <c r="E49" s="113">
        <v>11.108000000000001</v>
      </c>
      <c r="F49" s="113">
        <v>10.985000000000001</v>
      </c>
      <c r="G49" s="113">
        <v>10.924330000000001</v>
      </c>
      <c r="H49" s="113">
        <v>10.923419999999998</v>
      </c>
      <c r="I49" s="113">
        <v>11.00591</v>
      </c>
      <c r="J49" s="113">
        <v>11.048159999999999</v>
      </c>
    </row>
    <row r="50" spans="1:10" s="30" customFormat="1" x14ac:dyDescent="0.2">
      <c r="A50" s="55" t="s">
        <v>0</v>
      </c>
      <c r="B50" s="72"/>
      <c r="C50" s="114">
        <v>1953.5160000000003</v>
      </c>
      <c r="D50" s="114">
        <v>1943.1080000000006</v>
      </c>
      <c r="E50" s="114">
        <v>1945.1290000000006</v>
      </c>
      <c r="F50" s="114">
        <v>1941.4698199999996</v>
      </c>
      <c r="G50" s="114">
        <v>1961.0937000000001</v>
      </c>
      <c r="H50" s="114">
        <v>1985.3069599999999</v>
      </c>
      <c r="I50" s="114">
        <v>2008.1999099999994</v>
      </c>
      <c r="J50" s="114">
        <v>2016.5859800000003</v>
      </c>
    </row>
    <row r="51" spans="1:10" x14ac:dyDescent="0.2">
      <c r="A51" s="139" t="s">
        <v>115</v>
      </c>
      <c r="B51" s="93"/>
      <c r="C51" s="160"/>
      <c r="D51" s="161"/>
      <c r="E51" s="161"/>
      <c r="F51" s="162"/>
      <c r="G51" s="95"/>
    </row>
    <row r="52" spans="1:10" ht="36.75" customHeight="1" x14ac:dyDescent="0.2">
      <c r="A52" s="217" t="s">
        <v>65</v>
      </c>
      <c r="B52" s="218"/>
      <c r="C52" s="218"/>
      <c r="D52" s="218"/>
      <c r="E52" s="218"/>
      <c r="F52" s="218"/>
      <c r="G52" s="31"/>
    </row>
    <row r="53" spans="1:10" ht="12.75" customHeight="1" x14ac:dyDescent="0.2">
      <c r="A53" s="96" t="s">
        <v>116</v>
      </c>
      <c r="B53" s="94"/>
      <c r="C53" s="93"/>
      <c r="D53" s="93"/>
      <c r="E53" s="93"/>
      <c r="F53" s="95"/>
      <c r="G53" s="95"/>
    </row>
    <row r="54" spans="1:10" x14ac:dyDescent="0.2">
      <c r="A54" s="94"/>
      <c r="B54" s="37"/>
    </row>
    <row r="63" spans="1:10" x14ac:dyDescent="0.2">
      <c r="B63" s="32"/>
    </row>
  </sheetData>
  <mergeCells count="1">
    <mergeCell ref="A52:F52"/>
  </mergeCells>
  <pageMargins left="0.28999999999999998" right="0.47" top="0.1" bottom="0.04" header="7.0000000000000007E-2" footer="0.12"/>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34"/>
  <sheetViews>
    <sheetView showGridLines="0" zoomScaleNormal="100" workbookViewId="0"/>
  </sheetViews>
  <sheetFormatPr baseColWidth="10" defaultRowHeight="12.75" x14ac:dyDescent="0.2"/>
  <cols>
    <col min="1" max="1" width="60" style="34" customWidth="1"/>
    <col min="2" max="3" width="22.7109375" style="34" customWidth="1"/>
    <col min="4" max="247" width="11.42578125" style="34"/>
    <col min="248" max="248" width="43.7109375" style="34" customWidth="1"/>
    <col min="249" max="253" width="13.85546875" style="34" customWidth="1"/>
    <col min="254" max="503" width="11.42578125" style="34"/>
    <col min="504" max="504" width="43.7109375" style="34" customWidth="1"/>
    <col min="505" max="509" width="13.85546875" style="34" customWidth="1"/>
    <col min="510" max="759" width="11.42578125" style="34"/>
    <col min="760" max="760" width="43.7109375" style="34" customWidth="1"/>
    <col min="761" max="765" width="13.85546875" style="34" customWidth="1"/>
    <col min="766" max="1015" width="11.42578125" style="34"/>
    <col min="1016" max="1016" width="43.7109375" style="34" customWidth="1"/>
    <col min="1017" max="1021" width="13.85546875" style="34" customWidth="1"/>
    <col min="1022" max="1271" width="11.42578125" style="34"/>
    <col min="1272" max="1272" width="43.7109375" style="34" customWidth="1"/>
    <col min="1273" max="1277" width="13.85546875" style="34" customWidth="1"/>
    <col min="1278" max="1527" width="11.42578125" style="34"/>
    <col min="1528" max="1528" width="43.7109375" style="34" customWidth="1"/>
    <col min="1529" max="1533" width="13.85546875" style="34" customWidth="1"/>
    <col min="1534" max="1783" width="11.42578125" style="34"/>
    <col min="1784" max="1784" width="43.7109375" style="34" customWidth="1"/>
    <col min="1785" max="1789" width="13.85546875" style="34" customWidth="1"/>
    <col min="1790" max="2039" width="11.42578125" style="34"/>
    <col min="2040" max="2040" width="43.7109375" style="34" customWidth="1"/>
    <col min="2041" max="2045" width="13.85546875" style="34" customWidth="1"/>
    <col min="2046" max="2295" width="11.42578125" style="34"/>
    <col min="2296" max="2296" width="43.7109375" style="34" customWidth="1"/>
    <col min="2297" max="2301" width="13.85546875" style="34" customWidth="1"/>
    <col min="2302" max="2551" width="11.42578125" style="34"/>
    <col min="2552" max="2552" width="43.7109375" style="34" customWidth="1"/>
    <col min="2553" max="2557" width="13.85546875" style="34" customWidth="1"/>
    <col min="2558" max="2807" width="11.42578125" style="34"/>
    <col min="2808" max="2808" width="43.7109375" style="34" customWidth="1"/>
    <col min="2809" max="2813" width="13.85546875" style="34" customWidth="1"/>
    <col min="2814" max="3063" width="11.42578125" style="34"/>
    <col min="3064" max="3064" width="43.7109375" style="34" customWidth="1"/>
    <col min="3065" max="3069" width="13.85546875" style="34" customWidth="1"/>
    <col min="3070" max="3319" width="11.42578125" style="34"/>
    <col min="3320" max="3320" width="43.7109375" style="34" customWidth="1"/>
    <col min="3321" max="3325" width="13.85546875" style="34" customWidth="1"/>
    <col min="3326" max="3575" width="11.42578125" style="34"/>
    <col min="3576" max="3576" width="43.7109375" style="34" customWidth="1"/>
    <col min="3577" max="3581" width="13.85546875" style="34" customWidth="1"/>
    <col min="3582" max="3831" width="11.42578125" style="34"/>
    <col min="3832" max="3832" width="43.7109375" style="34" customWidth="1"/>
    <col min="3833" max="3837" width="13.85546875" style="34" customWidth="1"/>
    <col min="3838" max="4087" width="11.42578125" style="34"/>
    <col min="4088" max="4088" width="43.7109375" style="34" customWidth="1"/>
    <col min="4089" max="4093" width="13.85546875" style="34" customWidth="1"/>
    <col min="4094" max="4343" width="11.42578125" style="34"/>
    <col min="4344" max="4344" width="43.7109375" style="34" customWidth="1"/>
    <col min="4345" max="4349" width="13.85546875" style="34" customWidth="1"/>
    <col min="4350" max="4599" width="11.42578125" style="34"/>
    <col min="4600" max="4600" width="43.7109375" style="34" customWidth="1"/>
    <col min="4601" max="4605" width="13.85546875" style="34" customWidth="1"/>
    <col min="4606" max="4855" width="11.42578125" style="34"/>
    <col min="4856" max="4856" width="43.7109375" style="34" customWidth="1"/>
    <col min="4857" max="4861" width="13.85546875" style="34" customWidth="1"/>
    <col min="4862" max="5111" width="11.42578125" style="34"/>
    <col min="5112" max="5112" width="43.7109375" style="34" customWidth="1"/>
    <col min="5113" max="5117" width="13.85546875" style="34" customWidth="1"/>
    <col min="5118" max="5367" width="11.42578125" style="34"/>
    <col min="5368" max="5368" width="43.7109375" style="34" customWidth="1"/>
    <col min="5369" max="5373" width="13.85546875" style="34" customWidth="1"/>
    <col min="5374" max="5623" width="11.42578125" style="34"/>
    <col min="5624" max="5624" width="43.7109375" style="34" customWidth="1"/>
    <col min="5625" max="5629" width="13.85546875" style="34" customWidth="1"/>
    <col min="5630" max="5879" width="11.42578125" style="34"/>
    <col min="5880" max="5880" width="43.7109375" style="34" customWidth="1"/>
    <col min="5881" max="5885" width="13.85546875" style="34" customWidth="1"/>
    <col min="5886" max="6135" width="11.42578125" style="34"/>
    <col min="6136" max="6136" width="43.7109375" style="34" customWidth="1"/>
    <col min="6137" max="6141" width="13.85546875" style="34" customWidth="1"/>
    <col min="6142" max="6391" width="11.42578125" style="34"/>
    <col min="6392" max="6392" width="43.7109375" style="34" customWidth="1"/>
    <col min="6393" max="6397" width="13.85546875" style="34" customWidth="1"/>
    <col min="6398" max="6647" width="11.42578125" style="34"/>
    <col min="6648" max="6648" width="43.7109375" style="34" customWidth="1"/>
    <col min="6649" max="6653" width="13.85546875" style="34" customWidth="1"/>
    <col min="6654" max="6903" width="11.42578125" style="34"/>
    <col min="6904" max="6904" width="43.7109375" style="34" customWidth="1"/>
    <col min="6905" max="6909" width="13.85546875" style="34" customWidth="1"/>
    <col min="6910" max="7159" width="11.42578125" style="34"/>
    <col min="7160" max="7160" width="43.7109375" style="34" customWidth="1"/>
    <col min="7161" max="7165" width="13.85546875" style="34" customWidth="1"/>
    <col min="7166" max="7415" width="11.42578125" style="34"/>
    <col min="7416" max="7416" width="43.7109375" style="34" customWidth="1"/>
    <col min="7417" max="7421" width="13.85546875" style="34" customWidth="1"/>
    <col min="7422" max="7671" width="11.42578125" style="34"/>
    <col min="7672" max="7672" width="43.7109375" style="34" customWidth="1"/>
    <col min="7673" max="7677" width="13.85546875" style="34" customWidth="1"/>
    <col min="7678" max="7927" width="11.42578125" style="34"/>
    <col min="7928" max="7928" width="43.7109375" style="34" customWidth="1"/>
    <col min="7929" max="7933" width="13.85546875" style="34" customWidth="1"/>
    <col min="7934" max="8183" width="11.42578125" style="34"/>
    <col min="8184" max="8184" width="43.7109375" style="34" customWidth="1"/>
    <col min="8185" max="8189" width="13.85546875" style="34" customWidth="1"/>
    <col min="8190" max="8439" width="11.42578125" style="34"/>
    <col min="8440" max="8440" width="43.7109375" style="34" customWidth="1"/>
    <col min="8441" max="8445" width="13.85546875" style="34" customWidth="1"/>
    <col min="8446" max="8695" width="11.42578125" style="34"/>
    <col min="8696" max="8696" width="43.7109375" style="34" customWidth="1"/>
    <col min="8697" max="8701" width="13.85546875" style="34" customWidth="1"/>
    <col min="8702" max="8951" width="11.42578125" style="34"/>
    <col min="8952" max="8952" width="43.7109375" style="34" customWidth="1"/>
    <col min="8953" max="8957" width="13.85546875" style="34" customWidth="1"/>
    <col min="8958" max="9207" width="11.42578125" style="34"/>
    <col min="9208" max="9208" width="43.7109375" style="34" customWidth="1"/>
    <col min="9209" max="9213" width="13.85546875" style="34" customWidth="1"/>
    <col min="9214" max="9463" width="11.42578125" style="34"/>
    <col min="9464" max="9464" width="43.7109375" style="34" customWidth="1"/>
    <col min="9465" max="9469" width="13.85546875" style="34" customWidth="1"/>
    <col min="9470" max="9719" width="11.42578125" style="34"/>
    <col min="9720" max="9720" width="43.7109375" style="34" customWidth="1"/>
    <col min="9721" max="9725" width="13.85546875" style="34" customWidth="1"/>
    <col min="9726" max="9975" width="11.42578125" style="34"/>
    <col min="9976" max="9976" width="43.7109375" style="34" customWidth="1"/>
    <col min="9977" max="9981" width="13.85546875" style="34" customWidth="1"/>
    <col min="9982" max="10231" width="11.42578125" style="34"/>
    <col min="10232" max="10232" width="43.7109375" style="34" customWidth="1"/>
    <col min="10233" max="10237" width="13.85546875" style="34" customWidth="1"/>
    <col min="10238" max="10487" width="11.42578125" style="34"/>
    <col min="10488" max="10488" width="43.7109375" style="34" customWidth="1"/>
    <col min="10489" max="10493" width="13.85546875" style="34" customWidth="1"/>
    <col min="10494" max="10743" width="11.42578125" style="34"/>
    <col min="10744" max="10744" width="43.7109375" style="34" customWidth="1"/>
    <col min="10745" max="10749" width="13.85546875" style="34" customWidth="1"/>
    <col min="10750" max="10999" width="11.42578125" style="34"/>
    <col min="11000" max="11000" width="43.7109375" style="34" customWidth="1"/>
    <col min="11001" max="11005" width="13.85546875" style="34" customWidth="1"/>
    <col min="11006" max="11255" width="11.42578125" style="34"/>
    <col min="11256" max="11256" width="43.7109375" style="34" customWidth="1"/>
    <col min="11257" max="11261" width="13.85546875" style="34" customWidth="1"/>
    <col min="11262" max="11511" width="11.42578125" style="34"/>
    <col min="11512" max="11512" width="43.7109375" style="34" customWidth="1"/>
    <col min="11513" max="11517" width="13.85546875" style="34" customWidth="1"/>
    <col min="11518" max="11767" width="11.42578125" style="34"/>
    <col min="11768" max="11768" width="43.7109375" style="34" customWidth="1"/>
    <col min="11769" max="11773" width="13.85546875" style="34" customWidth="1"/>
    <col min="11774" max="12023" width="11.42578125" style="34"/>
    <col min="12024" max="12024" width="43.7109375" style="34" customWidth="1"/>
    <col min="12025" max="12029" width="13.85546875" style="34" customWidth="1"/>
    <col min="12030" max="12279" width="11.42578125" style="34"/>
    <col min="12280" max="12280" width="43.7109375" style="34" customWidth="1"/>
    <col min="12281" max="12285" width="13.85546875" style="34" customWidth="1"/>
    <col min="12286" max="12535" width="11.42578125" style="34"/>
    <col min="12536" max="12536" width="43.7109375" style="34" customWidth="1"/>
    <col min="12537" max="12541" width="13.85546875" style="34" customWidth="1"/>
    <col min="12542" max="12791" width="11.42578125" style="34"/>
    <col min="12792" max="12792" width="43.7109375" style="34" customWidth="1"/>
    <col min="12793" max="12797" width="13.85546875" style="34" customWidth="1"/>
    <col min="12798" max="13047" width="11.42578125" style="34"/>
    <col min="13048" max="13048" width="43.7109375" style="34" customWidth="1"/>
    <col min="13049" max="13053" width="13.85546875" style="34" customWidth="1"/>
    <col min="13054" max="13303" width="11.42578125" style="34"/>
    <col min="13304" max="13304" width="43.7109375" style="34" customWidth="1"/>
    <col min="13305" max="13309" width="13.85546875" style="34" customWidth="1"/>
    <col min="13310" max="13559" width="11.42578125" style="34"/>
    <col min="13560" max="13560" width="43.7109375" style="34" customWidth="1"/>
    <col min="13561" max="13565" width="13.85546875" style="34" customWidth="1"/>
    <col min="13566" max="13815" width="11.42578125" style="34"/>
    <col min="13816" max="13816" width="43.7109375" style="34" customWidth="1"/>
    <col min="13817" max="13821" width="13.85546875" style="34" customWidth="1"/>
    <col min="13822" max="14071" width="11.42578125" style="34"/>
    <col min="14072" max="14072" width="43.7109375" style="34" customWidth="1"/>
    <col min="14073" max="14077" width="13.85546875" style="34" customWidth="1"/>
    <col min="14078" max="14327" width="11.42578125" style="34"/>
    <col min="14328" max="14328" width="43.7109375" style="34" customWidth="1"/>
    <col min="14329" max="14333" width="13.85546875" style="34" customWidth="1"/>
    <col min="14334" max="14583" width="11.42578125" style="34"/>
    <col min="14584" max="14584" width="43.7109375" style="34" customWidth="1"/>
    <col min="14585" max="14589" width="13.85546875" style="34" customWidth="1"/>
    <col min="14590" max="14839" width="11.42578125" style="34"/>
    <col min="14840" max="14840" width="43.7109375" style="34" customWidth="1"/>
    <col min="14841" max="14845" width="13.85546875" style="34" customWidth="1"/>
    <col min="14846" max="15095" width="11.42578125" style="34"/>
    <col min="15096" max="15096" width="43.7109375" style="34" customWidth="1"/>
    <col min="15097" max="15101" width="13.85546875" style="34" customWidth="1"/>
    <col min="15102" max="15351" width="11.42578125" style="34"/>
    <col min="15352" max="15352" width="43.7109375" style="34" customWidth="1"/>
    <col min="15353" max="15357" width="13.85546875" style="34" customWidth="1"/>
    <col min="15358" max="15607" width="11.42578125" style="34"/>
    <col min="15608" max="15608" width="43.7109375" style="34" customWidth="1"/>
    <col min="15609" max="15613" width="13.85546875" style="34" customWidth="1"/>
    <col min="15614" max="15863" width="11.42578125" style="34"/>
    <col min="15864" max="15864" width="43.7109375" style="34" customWidth="1"/>
    <col min="15865" max="15869" width="13.85546875" style="34" customWidth="1"/>
    <col min="15870" max="16119" width="11.42578125" style="34"/>
    <col min="16120" max="16120" width="43.7109375" style="34" customWidth="1"/>
    <col min="16121" max="16125" width="13.85546875" style="34" customWidth="1"/>
    <col min="16126" max="16384" width="11.42578125" style="34"/>
  </cols>
  <sheetData>
    <row r="1" spans="1:4" x14ac:dyDescent="0.2">
      <c r="A1" s="45" t="s">
        <v>132</v>
      </c>
      <c r="B1" s="76"/>
      <c r="C1" s="76"/>
    </row>
    <row r="2" spans="1:4" ht="52.5" x14ac:dyDescent="0.2">
      <c r="A2" s="77" t="s">
        <v>117</v>
      </c>
      <c r="B2" s="115" t="s">
        <v>119</v>
      </c>
      <c r="C2" s="122" t="s">
        <v>120</v>
      </c>
    </row>
    <row r="3" spans="1:4" s="33" customFormat="1" x14ac:dyDescent="0.2">
      <c r="A3" s="78" t="s">
        <v>33</v>
      </c>
      <c r="B3" s="116">
        <v>13788</v>
      </c>
      <c r="C3" s="124">
        <v>-104</v>
      </c>
      <c r="D3" s="34"/>
    </row>
    <row r="4" spans="1:4" s="33" customFormat="1" x14ac:dyDescent="0.2">
      <c r="A4" s="79" t="s">
        <v>9</v>
      </c>
      <c r="B4" s="116">
        <v>9001.59</v>
      </c>
      <c r="C4" s="124">
        <v>-156.30999999999995</v>
      </c>
      <c r="D4" s="34"/>
    </row>
    <row r="5" spans="1:4" s="33" customFormat="1" x14ac:dyDescent="0.2">
      <c r="A5" s="79" t="s">
        <v>121</v>
      </c>
      <c r="B5" s="116">
        <v>30030.22</v>
      </c>
      <c r="C5" s="124">
        <v>-397.87</v>
      </c>
      <c r="D5" s="34"/>
    </row>
    <row r="6" spans="1:4" s="33" customFormat="1" x14ac:dyDescent="0.2">
      <c r="A6" s="79" t="s">
        <v>109</v>
      </c>
      <c r="B6" s="116">
        <v>1069761.25</v>
      </c>
      <c r="C6" s="124">
        <v>-9260.9499999999989</v>
      </c>
      <c r="D6" s="34"/>
    </row>
    <row r="7" spans="1:4" s="33" customFormat="1" x14ac:dyDescent="0.2">
      <c r="A7" s="79" t="s">
        <v>122</v>
      </c>
      <c r="B7" s="116">
        <v>112216.36000000002</v>
      </c>
      <c r="C7" s="124">
        <v>-1989.33</v>
      </c>
      <c r="D7" s="34"/>
    </row>
    <row r="8" spans="1:4" s="33" customFormat="1" x14ac:dyDescent="0.2">
      <c r="A8" s="79" t="s">
        <v>42</v>
      </c>
      <c r="B8" s="116">
        <v>296977.72000000003</v>
      </c>
      <c r="C8" s="124">
        <v>-1887.8599999999994</v>
      </c>
      <c r="D8" s="34"/>
    </row>
    <row r="9" spans="1:4" s="33" customFormat="1" x14ac:dyDescent="0.2">
      <c r="A9" s="79" t="s">
        <v>4</v>
      </c>
      <c r="B9" s="116">
        <v>93738.93</v>
      </c>
      <c r="C9" s="124">
        <v>-2445.7399999999998</v>
      </c>
      <c r="D9" s="34"/>
    </row>
    <row r="10" spans="1:4" s="33" customFormat="1" x14ac:dyDescent="0.2">
      <c r="A10" s="79" t="s">
        <v>12</v>
      </c>
      <c r="B10" s="116">
        <v>10222.919999999998</v>
      </c>
      <c r="C10" s="124">
        <v>-244.96999999999997</v>
      </c>
      <c r="D10" s="34"/>
    </row>
    <row r="11" spans="1:4" s="33" customFormat="1" x14ac:dyDescent="0.2">
      <c r="A11" s="79" t="s">
        <v>123</v>
      </c>
      <c r="B11" s="116">
        <v>10800.9</v>
      </c>
      <c r="C11" s="124">
        <v>-81.95000000000006</v>
      </c>
      <c r="D11" s="34"/>
    </row>
    <row r="12" spans="1:4" s="33" customFormat="1" x14ac:dyDescent="0.2">
      <c r="A12" s="79" t="s">
        <v>124</v>
      </c>
      <c r="B12" s="116">
        <v>2008.6</v>
      </c>
      <c r="C12" s="124">
        <v>-16.399999999999999</v>
      </c>
      <c r="D12" s="34"/>
    </row>
    <row r="13" spans="1:4" s="33" customFormat="1" x14ac:dyDescent="0.2">
      <c r="A13" s="79" t="s">
        <v>49</v>
      </c>
      <c r="B13" s="116">
        <v>12552</v>
      </c>
      <c r="C13" s="124">
        <v>-207.93000000000004</v>
      </c>
      <c r="D13" s="34"/>
    </row>
    <row r="14" spans="1:4" s="33" customFormat="1" x14ac:dyDescent="0.2">
      <c r="A14" s="79" t="s">
        <v>82</v>
      </c>
      <c r="B14" s="116">
        <v>5030.4499999999989</v>
      </c>
      <c r="C14" s="124">
        <v>-73.55</v>
      </c>
      <c r="D14" s="34"/>
    </row>
    <row r="15" spans="1:4" s="33" customFormat="1" x14ac:dyDescent="0.2">
      <c r="A15" s="79" t="s">
        <v>125</v>
      </c>
      <c r="B15" s="116">
        <v>0</v>
      </c>
      <c r="C15" s="124">
        <v>-51.519999999999996</v>
      </c>
      <c r="D15" s="34"/>
    </row>
    <row r="16" spans="1:4" s="33" customFormat="1" x14ac:dyDescent="0.2">
      <c r="A16" s="79" t="s">
        <v>106</v>
      </c>
      <c r="B16" s="116">
        <v>1546.5500000000002</v>
      </c>
      <c r="C16" s="124">
        <v>-755.1</v>
      </c>
      <c r="D16" s="34"/>
    </row>
    <row r="17" spans="1:4" s="33" customFormat="1" x14ac:dyDescent="0.2">
      <c r="A17" s="79" t="s">
        <v>126</v>
      </c>
      <c r="B17" s="116">
        <v>5584.88</v>
      </c>
      <c r="C17" s="124">
        <v>-3.2999999999999989</v>
      </c>
      <c r="D17" s="34"/>
    </row>
    <row r="18" spans="1:4" s="33" customFormat="1" x14ac:dyDescent="0.2">
      <c r="A18" s="79" t="s">
        <v>127</v>
      </c>
      <c r="B18" s="116">
        <v>34090.78</v>
      </c>
      <c r="C18" s="124">
        <v>-506.56</v>
      </c>
      <c r="D18" s="34"/>
    </row>
    <row r="19" spans="1:4" s="33" customFormat="1" x14ac:dyDescent="0.2">
      <c r="A19" s="79" t="s">
        <v>128</v>
      </c>
      <c r="B19" s="116">
        <v>515.28</v>
      </c>
      <c r="C19" s="124">
        <v>-22.72</v>
      </c>
      <c r="D19" s="34"/>
    </row>
    <row r="20" spans="1:4" s="33" customFormat="1" x14ac:dyDescent="0.2">
      <c r="A20" s="79" t="s">
        <v>105</v>
      </c>
      <c r="B20" s="116">
        <v>266701.17</v>
      </c>
      <c r="C20" s="124">
        <v>-4419.9399999999996</v>
      </c>
      <c r="D20" s="34"/>
    </row>
    <row r="21" spans="1:4" s="33" customFormat="1" x14ac:dyDescent="0.2">
      <c r="A21" s="80" t="s">
        <v>54</v>
      </c>
      <c r="B21" s="117">
        <v>1974567.5999999999</v>
      </c>
      <c r="C21" s="125">
        <v>-22626</v>
      </c>
      <c r="D21" s="34"/>
    </row>
    <row r="22" spans="1:4" s="33" customFormat="1" x14ac:dyDescent="0.2">
      <c r="A22" s="81" t="s">
        <v>52</v>
      </c>
      <c r="B22" s="118">
        <v>441.50000000000006</v>
      </c>
      <c r="C22" s="126">
        <v>-44.41</v>
      </c>
      <c r="D22" s="34"/>
    </row>
    <row r="23" spans="1:4" s="33" customFormat="1" x14ac:dyDescent="0.2">
      <c r="A23" s="82" t="s">
        <v>51</v>
      </c>
      <c r="B23" s="119">
        <v>10320</v>
      </c>
      <c r="C23" s="127">
        <v>-200</v>
      </c>
      <c r="D23" s="34"/>
    </row>
    <row r="24" spans="1:4" s="33" customFormat="1" x14ac:dyDescent="0.2">
      <c r="A24" s="83" t="s">
        <v>53</v>
      </c>
      <c r="B24" s="120">
        <v>10761.5</v>
      </c>
      <c r="C24" s="123">
        <v>-244.41</v>
      </c>
      <c r="D24" s="34"/>
    </row>
    <row r="25" spans="1:4" s="33" customFormat="1" x14ac:dyDescent="0.2">
      <c r="A25" s="84" t="s">
        <v>0</v>
      </c>
      <c r="B25" s="121">
        <v>1985329.0999999999</v>
      </c>
      <c r="C25" s="128">
        <v>-22870.41</v>
      </c>
      <c r="D25" s="34"/>
    </row>
    <row r="26" spans="1:4" s="33" customFormat="1" x14ac:dyDescent="0.2">
      <c r="A26" s="138" t="s">
        <v>129</v>
      </c>
      <c r="B26" s="85"/>
      <c r="C26" s="85"/>
      <c r="D26" s="34"/>
    </row>
    <row r="27" spans="1:4" x14ac:dyDescent="0.2">
      <c r="A27" s="97" t="s">
        <v>55</v>
      </c>
      <c r="B27" s="85"/>
      <c r="C27" s="85"/>
    </row>
    <row r="28" spans="1:4" x14ac:dyDescent="0.2">
      <c r="A28" s="191" t="s">
        <v>130</v>
      </c>
      <c r="B28" s="85"/>
      <c r="C28" s="85"/>
    </row>
    <row r="29" spans="1:4" ht="24" customHeight="1" x14ac:dyDescent="0.2">
      <c r="A29" s="219" t="s">
        <v>131</v>
      </c>
      <c r="B29" s="219"/>
      <c r="C29" s="219"/>
    </row>
    <row r="32" spans="1:4" x14ac:dyDescent="0.2">
      <c r="B32" s="35"/>
      <c r="C32" s="35"/>
    </row>
    <row r="33" spans="2:3" x14ac:dyDescent="0.2">
      <c r="B33" s="35"/>
      <c r="C33" s="35"/>
    </row>
    <row r="34" spans="2:3" x14ac:dyDescent="0.2">
      <c r="B34" s="35"/>
      <c r="C34" s="35"/>
    </row>
  </sheetData>
  <mergeCells count="1">
    <mergeCell ref="A29:C29"/>
  </mergeCells>
  <pageMargins left="0.78740157499999996" right="0.78740157499999996" top="0.984251969" bottom="0.984251969" header="0.4921259845" footer="0.4921259845"/>
  <pageSetup paperSize="9" scale="80"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7</vt:i4>
      </vt:variant>
      <vt:variant>
        <vt:lpstr>Plages nommées</vt:lpstr>
      </vt:variant>
      <vt:variant>
        <vt:i4>1</vt:i4>
      </vt:variant>
    </vt:vector>
  </HeadingPairs>
  <TitlesOfParts>
    <vt:vector size="8" baseType="lpstr">
      <vt:lpstr>SOMMAIRE</vt:lpstr>
      <vt:lpstr>AVERTISSEMENT</vt:lpstr>
      <vt:lpstr>Figure 1</vt:lpstr>
      <vt:lpstr>Figure 2</vt:lpstr>
      <vt:lpstr>Définitions</vt:lpstr>
      <vt:lpstr>Figure 3</vt:lpstr>
      <vt:lpstr>Figure 4</vt:lpstr>
      <vt:lpstr>'Figure 3'!Zone_d_impression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BARADJI Eva</dc:creator>
  <cp:lastModifiedBy>TOUZE Sarah</cp:lastModifiedBy>
  <cp:lastPrinted>2017-01-10T11:45:23Z</cp:lastPrinted>
  <dcterms:created xsi:type="dcterms:W3CDTF">2014-06-18T13:49:37Z</dcterms:created>
  <dcterms:modified xsi:type="dcterms:W3CDTF">2026-08-20T09:45:39Z</dcterms:modified>
</cp:coreProperties>
</file>