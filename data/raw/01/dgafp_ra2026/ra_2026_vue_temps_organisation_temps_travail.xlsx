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NM-DGAFP-SRV\dessi\Publications DES réalisation\RAPPORT ANNUEL\rapportannuel 2026\4. BAT\Tps et organisation du tps de travail\"/>
    </mc:Choice>
  </mc:AlternateContent>
  <xr:revisionPtr revIDLastSave="0" documentId="13_ncr:1_{6A3CC87D-4B05-4345-AC44-1115B25F2B7F}" xr6:coauthVersionLast="47" xr6:coauthVersionMax="47" xr10:uidLastSave="{00000000-0000-0000-0000-000000000000}"/>
  <bookViews>
    <workbookView xWindow="2475" yWindow="4200" windowWidth="18900" windowHeight="10830" tabRatio="932" xr2:uid="{00000000-000D-0000-FFFF-FFFF00000000}"/>
  </bookViews>
  <sheets>
    <sheet name="Sommaire" sheetId="36" r:id="rId1"/>
    <sheet name="Figure 1" sheetId="1" r:id="rId2"/>
    <sheet name="Figure 2" sheetId="2" r:id="rId3"/>
    <sheet name="Figure 3" sheetId="3" r:id="rId4"/>
    <sheet name="Figure 4" sheetId="4" r:id="rId5"/>
    <sheet name="Figure 5" sheetId="5" r:id="rId6"/>
    <sheet name="Figure 6" sheetId="6" r:id="rId7"/>
    <sheet name="Figure 7" sheetId="7" r:id="rId8"/>
    <sheet name="Figure 8" sheetId="8" r:id="rId9"/>
    <sheet name="Figure 9" sheetId="9" r:id="rId10"/>
    <sheet name="Figure 10" sheetId="10" r:id="rId11"/>
    <sheet name="Figure 11" sheetId="37" r:id="rId12"/>
    <sheet name="Figure 12" sheetId="12" r:id="rId13"/>
    <sheet name="Figure 13" sheetId="35" r:id="rId14"/>
    <sheet name="Figure 14" sheetId="13" r:id="rId15"/>
    <sheet name="Figure 15" sheetId="38" r:id="rId16"/>
    <sheet name="Figure 16" sheetId="39" r:id="rId17"/>
    <sheet name="Figure 17" sheetId="40" r:id="rId18"/>
    <sheet name="Figure 18" sheetId="41" r:id="rId19"/>
    <sheet name="Figure 19" sheetId="42" r:id="rId20"/>
    <sheet name="Figure 20" sheetId="43"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9" i="2" l="1"/>
</calcChain>
</file>

<file path=xl/sharedStrings.xml><?xml version="1.0" encoding="utf-8"?>
<sst xmlns="http://schemas.openxmlformats.org/spreadsheetml/2006/main" count="480" uniqueCount="222">
  <si>
    <t>FPE (hors enseignants)</t>
  </si>
  <si>
    <t>FPT</t>
  </si>
  <si>
    <t>FPH</t>
  </si>
  <si>
    <t>Ensemble fonction publique (hors enseignants)</t>
  </si>
  <si>
    <t>Durée annuelle effective</t>
  </si>
  <si>
    <t>Durée hebdomadaire habituelle</t>
  </si>
  <si>
    <t>2021</t>
  </si>
  <si>
    <t>2022</t>
  </si>
  <si>
    <t>2023</t>
  </si>
  <si>
    <t>2024</t>
  </si>
  <si>
    <t>FPE</t>
  </si>
  <si>
    <t>Femmes</t>
  </si>
  <si>
    <t>Hommes</t>
  </si>
  <si>
    <t>Cadres et professions intellectuelles supérieures</t>
  </si>
  <si>
    <t>Professions intermédiaires</t>
  </si>
  <si>
    <t xml:space="preserve"> </t>
  </si>
  <si>
    <t>Cadres administratifs et techniques de la fonction publique</t>
  </si>
  <si>
    <t>Professions intermédiaires de la santé et du travail social</t>
  </si>
  <si>
    <t>Professions intermédiaires de la fonction publique (administration, sécurité)</t>
  </si>
  <si>
    <t>Employés administratifs de la fonction publique</t>
  </si>
  <si>
    <t>Aides-soignants, employés d’accueil de la petite enfance et professions assimilées</t>
  </si>
  <si>
    <t>Ouvriers</t>
  </si>
  <si>
    <t>Moins de 30 ans</t>
  </si>
  <si>
    <t>Fonctionnaires</t>
  </si>
  <si>
    <t>Agents contractuels et autres</t>
  </si>
  <si>
    <t>Ensemble fonction publique</t>
  </si>
  <si>
    <t>so</t>
  </si>
  <si>
    <t>Versant</t>
  </si>
  <si>
    <t>Sexe</t>
  </si>
  <si>
    <t>Le samedi</t>
  </si>
  <si>
    <t>Le dimanche</t>
  </si>
  <si>
    <t>Le soir</t>
  </si>
  <si>
    <t>La nuit</t>
  </si>
  <si>
    <t>Cadres administratifs et techniques de la fonction publique</t>
  </si>
  <si>
    <t>Professions de l’enseignement primaire et professionnel, de la formation continue et du sport</t>
  </si>
  <si>
    <t>Professions intermédiaires de la santé et du travail social</t>
  </si>
  <si>
    <t>Professions intermédiaires de la fonction publique (administration, sécurité)</t>
  </si>
  <si>
    <t>Employés administratifs de la fonction publique</t>
  </si>
  <si>
    <t>Aides-soignants, employés d’accueil de la petite enfance et professions assimilées</t>
  </si>
  <si>
    <t>Moins de 30 ans</t>
  </si>
  <si>
    <t>Versants</t>
  </si>
  <si>
    <t>Âge</t>
  </si>
  <si>
    <t xml:space="preserve">Souhaite télétravailler davantage </t>
  </si>
  <si>
    <t xml:space="preserve">Souhaite télétravailler moins </t>
  </si>
  <si>
    <t>Caractéristiques</t>
  </si>
  <si>
    <t>Employés</t>
  </si>
  <si>
    <t>Salariés du privé</t>
  </si>
  <si>
    <t>Agents de service</t>
  </si>
  <si>
    <t>Agents de service </t>
  </si>
  <si>
    <t>Groupe socioprofessionnel</t>
  </si>
  <si>
    <t xml:space="preserve">Deux jours </t>
  </si>
  <si>
    <t>Trois jours ou plus</t>
  </si>
  <si>
    <t>Pas de télétravail</t>
  </si>
  <si>
    <t>ns</t>
  </si>
  <si>
    <t xml:space="preserve"> dont FPE hors enseignants</t>
  </si>
  <si>
    <t>Emploi jugé compatible avec le télétravail</t>
  </si>
  <si>
    <t>Durée du travail</t>
  </si>
  <si>
    <t>Organisation du temps de travail</t>
  </si>
  <si>
    <t>Absences pour raison de santé</t>
  </si>
  <si>
    <t>oui</t>
  </si>
  <si>
    <t>Définitions</t>
  </si>
  <si>
    <t>La durée hebdomadaire habituelle</t>
  </si>
  <si>
    <t>La durée effective</t>
  </si>
  <si>
    <t>La durée annuelle effective</t>
  </si>
  <si>
    <t>Le temps partiel</t>
  </si>
  <si>
    <t>Le sous-emploi</t>
  </si>
  <si>
    <t>Travail le soir et la nuit</t>
  </si>
  <si>
    <t>Dans cette étude, les salariés déclarant avoir travaillé le soir ou la nuit au cours des quatre dernières semaines sont les suivants :</t>
  </si>
  <si>
    <t>-Ceux qui travaillent la nuit ont répondu positivement à la question suivante : « Vous est-il arrivé de travailler la nuit, c’est-à-dire entre minuit et 5 heures du matin (dans le cadre de votre emploi principal) ? »</t>
  </si>
  <si>
    <t>-Ceux qui travaillent le soir sont ceux qui ont répondu positivement à la question suivante : « Vous est-il arrivé de travailler le soir, c’est-à-dire entre 20 heures et minuit (dans le cadre de votre emploi principal) ? »</t>
  </si>
  <si>
    <t>Télétravail (au sens de l’enquête Emploi)</t>
  </si>
  <si>
    <t xml:space="preserve">Emploi compatible avec le télétravail </t>
  </si>
  <si>
    <t>La durée légale du travail</t>
  </si>
  <si>
    <r>
      <t xml:space="preserve">- </t>
    </r>
    <r>
      <rPr>
        <sz val="10"/>
        <color rgb="FF000000"/>
        <rFont val="Arial"/>
        <family val="2"/>
      </rPr>
      <t xml:space="preserve">Si oui : « Combien d’heures avez-vous fait en plus ? » </t>
    </r>
  </si>
  <si>
    <t xml:space="preserve">Nombre de jours d’absence pour raison de santé </t>
  </si>
  <si>
    <t xml:space="preserve">Nomenclature de métiers </t>
  </si>
  <si>
    <t>Numéro de feuille</t>
  </si>
  <si>
    <t>Ensemble fonction publique</t>
  </si>
  <si>
    <t>Salariés
du privé</t>
  </si>
  <si>
    <t>Employés et ouvriers</t>
  </si>
  <si>
    <t>De 30 à 49 ans</t>
  </si>
  <si>
    <t>en heures</t>
  </si>
  <si>
    <t>en %</t>
  </si>
  <si>
    <t>Télétravail
dans le mois</t>
  </si>
  <si>
    <t>Télétravail parmi
les emplois compatibles</t>
  </si>
  <si>
    <t>De 30 à 49 ans</t>
  </si>
  <si>
    <t>Trois jours
ou plus</t>
  </si>
  <si>
    <t>Satisfait
de sa situation</t>
  </si>
  <si>
    <t>Quotité
de télétravail</t>
  </si>
  <si>
    <t>Durée annuelle effective
(en heures)</t>
  </si>
  <si>
    <t>Durée hebdomadaire habituelle
(en heures)</t>
  </si>
  <si>
    <t>Figure 13 : Répartition des télétravailleurs selon le nombre moyen de jours télétravaillés par semaine</t>
  </si>
  <si>
    <t>50 ans ou plus</t>
  </si>
  <si>
    <t>Figure 8 : Part du sous-emploi parmi les agents publics ou salariés du privé à temps partiel</t>
  </si>
  <si>
    <t>Famille de métiers</t>
  </si>
  <si>
    <t xml:space="preserve">Figure 15 : Part des agents publics ou salariés du privé absents au moins un jour au cours d’une semaine donnée pour raison de santé </t>
  </si>
  <si>
    <t>Figure 17 : Part des agents publics absents au moins un jour au cours d’une semaine donnée pour raison de santé, selon le sexe et l’âge</t>
  </si>
  <si>
    <t>Figure 20 : Nombre moyen de jours d’absence pour raison de santé dans la fonction publique, selon le sexe et l’âge</t>
  </si>
  <si>
    <t>Fonction publique territoriale (FPT)</t>
  </si>
  <si>
    <t>Fonction publique hospitalière (FPH)</t>
  </si>
  <si>
    <t>50 ans ou plus</t>
  </si>
  <si>
    <t>50 ans ou plus</t>
  </si>
  <si>
    <r>
      <t>Caractéristiques</t>
    </r>
    <r>
      <rPr>
        <b/>
        <strike/>
        <sz val="10"/>
        <rFont val="Arial"/>
        <family val="2"/>
      </rPr>
      <t xml:space="preserve"> </t>
    </r>
  </si>
  <si>
    <r>
      <t>Les heures supplémentaires</t>
    </r>
    <r>
      <rPr>
        <sz val="10"/>
        <color rgb="FF000000"/>
        <rFont val="Arial"/>
        <family val="2"/>
      </rPr>
      <t xml:space="preserve"> </t>
    </r>
  </si>
  <si>
    <t>A travaillé au moins une fois au cours des quatre dernières semaines précédant l’enquête…</t>
  </si>
  <si>
    <t>Professions de l’enseignement secondaire, du supérieur et de la recherche</t>
  </si>
  <si>
    <t>Figure 1 : Composantes de la durée annuelle effective du travail des agents publics à temps complet, selon le versant en 2025</t>
  </si>
  <si>
    <t>Figure 3 : Composantes de la durée annuelle effective de travail des agents publics à temps complet, selon le versant et le sexe en 2025</t>
  </si>
  <si>
    <t>Figure 4 : Composantes de la durée annuelle effective de travail des agents publics à temps complet selon le groupe socioprofessionnel en 2025</t>
  </si>
  <si>
    <t>Figure 5 : Composantes de la durée annuelle effective de travail des agents publics à temps complet selon les principales familles de métiers, en 2025</t>
  </si>
  <si>
    <t>Figure 6 : Composantes de la durée annuelle effective de travail des agents publics à temps complet selon l’âge, en 2025</t>
  </si>
  <si>
    <t>Figure 7 : Proportion d’agents publics à temps partiel selon leurs caractéristiques sociodémographiques, en 2025</t>
  </si>
  <si>
    <t>Figure 12 : Part des agents publics indiquant occuper un emploi compatible et recourir au télétravail, selon leurs caractéristiques sociodémographiques, en 2025</t>
  </si>
  <si>
    <t>Figure 9 : Organisation du temps de travail selon le type d’employeur, en 2025</t>
  </si>
  <si>
    <t>Figure 10 : Organisation du temps de travail selon les principales familles de métiers dans la fonction publique, en 2025</t>
  </si>
  <si>
    <t>Figure 11 : Part des télétravailleurs selon le type d’employeur, entre 2021 et 2025</t>
  </si>
  <si>
    <t>Figure 14 : Souhaits en matière de télétravail des agents publics occupant un emploi compatible, selon leurs caractéristiques sociodémographiques, en 2025</t>
  </si>
  <si>
    <t>Figure 19 : Nombre moyen de jours d’absence pour raison de santé selon le sexe et l’âge, en 2025</t>
  </si>
  <si>
    <t>Temps et organisation du temps de travail dans la fonction publique en 2025</t>
  </si>
  <si>
    <t>Figure 16 : Part des agents publics ou salariés du privé absents au moins un jour au cours d’une semaine donnée pour raison de santé selon le sexe et l’âge, en 2025</t>
  </si>
  <si>
    <t>Écart entre 2024 et 2025</t>
  </si>
  <si>
    <r>
      <t>Figure 1 : Composantes de la durée annuelle effective du travail des agents publics à temps complet, selon le versant</t>
    </r>
    <r>
      <rPr>
        <b/>
        <sz val="10"/>
        <color rgb="FF7030A0"/>
        <rFont val="Arial"/>
        <family val="2"/>
      </rPr>
      <t xml:space="preserve">, </t>
    </r>
    <r>
      <rPr>
        <b/>
        <sz val="10"/>
        <rFont val="Arial"/>
        <family val="2"/>
      </rPr>
      <t>en 2025</t>
    </r>
  </si>
  <si>
    <r>
      <t>Figure 3 : Composantes de la durée annuelle effective de travail des agents publics à temps complet, selon le versant et le sexe</t>
    </r>
    <r>
      <rPr>
        <b/>
        <sz val="10"/>
        <color rgb="FF7030A0"/>
        <rFont val="Arial"/>
        <family val="2"/>
      </rPr>
      <t>,</t>
    </r>
    <r>
      <rPr>
        <b/>
        <sz val="10"/>
        <rFont val="Arial"/>
        <family val="2"/>
      </rPr>
      <t xml:space="preserve"> en 2025</t>
    </r>
  </si>
  <si>
    <r>
      <t>Figure 4 : Composantes de la durée annuelle effective de travail des agents publics à temps complet selon le groupe socioprofessionnel</t>
    </r>
    <r>
      <rPr>
        <b/>
        <sz val="10"/>
        <color rgb="FF7030A0"/>
        <rFont val="Arial"/>
        <family val="2"/>
      </rPr>
      <t xml:space="preserve">, </t>
    </r>
    <r>
      <rPr>
        <b/>
        <sz val="10"/>
        <rFont val="Arial"/>
        <family val="2"/>
      </rPr>
      <t>en 2025</t>
    </r>
  </si>
  <si>
    <t>Lecture : En 2025, les agents de la FPE (hors enseignants) à temps complet déclarent en moyenne une durée hebdomadaire habituelle de 40,5 heures.</t>
  </si>
  <si>
    <t xml:space="preserve">Figure 2 : Durées annuelles effectives de travail des agents publics ou salariés du privé à temps complet </t>
  </si>
  <si>
    <t>Lecture : En 2025, les agents de la fonction publique à temps complet âgés de moins de 30 ans déclarent en moyenne une durée hebdomadaire habituelle de travail de 38,6 heures.</t>
  </si>
  <si>
    <t>Champ : Agents de la fonction publique et salariés du privé, vivant en logement ordinaire, en emploi au sens du BIT durant la semaine de référence, âgés de 15 ans ou plus ; France (hors Mayotte), Hors apprentis, contrats de professionnalisation, stagiaires, contrats aidés.</t>
  </si>
  <si>
    <t>Lecture : En 2025, 22 % des agents de la FPE à temps partiel sont en situation de sous-emploi.</t>
  </si>
  <si>
    <t>Lecture : En 2025, 36 % des agents de la FPE ont déclaré avoir travaillé au moins un dimanche au cours des quatre dernières semaines.</t>
  </si>
  <si>
    <t>Lecture : En 2025, 21 % des ouvriers de la fonction publique ont déclaré avoir travaillé au moins un dimanche au cours des quatre dernières semaines.</t>
  </si>
  <si>
    <t>Champ : Agents de la fonction publique vivant en logement ordinaire, en emploi au sens du BIT durant la semaine de référence, âgés de 15 ans ou plus ; France (hors Mayotte). Hors apprentis, contrats de professionnalisation, stagiaires, contrats aidés.</t>
  </si>
  <si>
    <t>Champ : Agents de la fonction publique et salariés du privé à temps complet, vivant en logement ordinaire, en emploi au sens du BIT durant la semaine de référence, âgés de 15 ans ou plus ; France (hors Mayotte). Hors apprentis, contrats de professionnalisation, stagiaires, contrats aidés, et hors enseignants.</t>
  </si>
  <si>
    <t>Champ : Agents de la fonction publique à temps complet, vivant en logement ordinaire, en emploi au sens du BIT durant la semaine de référence, âgés de 15 ans ou plus ; France (hors Mayotte). Hors apprentis, contrats de professionnalisation, stagiaires, contrats aidés, et hors enseignants.</t>
  </si>
  <si>
    <t>Champ : Agents de la fonction publique et salariés du privé à temps partiel, vivant en logement ordinaire, en emploi au sens du BIT durant la semaine de référence, âgés de 15 ans ou plus ; France (hors Mayotte). Hors apprentis, contrats de professionnalisation, stagiaires, contrats aidés,</t>
  </si>
  <si>
    <t>Champ : Agents de la fonction publique et salariés du privé vivant en logement ordinaire, en emploi au sens du BIT durant la semaine de référence, âgés de 15 ans ou plus ; France (hors Mayotte). Hors apprentis, contrats de professionnalisation, stagiaires, contrats aidés.</t>
  </si>
  <si>
    <t>Lecture : En 2025, 24 % des agents de la FPE ont télétravaillé au moins une fois au cours des quatre dernières semaines.</t>
  </si>
  <si>
    <t>Champ : Agents de la fonction publique et salariés du privé, vivant en logement ordinaire, en emploi au sens du BIT durant la semaine de référence, âgés de 15 ans ou plus ; France (hors Mayotte), Hors apprentis, contrats de professionnalisation, stagiaires, contrats aidés</t>
  </si>
  <si>
    <t>Champ : Agents de la fonction publique et salariés du privé occupant un emploi qu’ils jugent compatible avec le télétravail, vivant en logement ordinaire, en emploi au sens du BIT durant la semaine de référence, âgés de 15 ans ou plus ; France (hors Mayotte), Hors apprentis, contrats de professionnalisation, stagiaires, contrats aidés.</t>
  </si>
  <si>
    <t>Champ : Agents de la fonction publique et salariés du privé ayant télétravaillé au moins une fois dans le mois, vivant en logement ordinaire, en emploi au sens du BIT durant la semaine de référence, âgés de 15 ans ou plus ; France (hors Mayotte), Hors apprentis, contrats de professionnalisation, stagiaires et contrats aidés.</t>
  </si>
  <si>
    <t>Lecture : En 2025, parmi les agents de la fonction publique ayant déclaré télétravailler au moins une fois dans le mois, 29 % ont télétravaillé en moyenne deux jours par semaine.</t>
  </si>
  <si>
    <t>Source : Enquêtes Emploi, Insee. Traitement DGAFP-SDessi.</t>
  </si>
  <si>
    <t>Enseignants</t>
  </si>
  <si>
    <t>Note : Sont prises en compte ici les absences pour maladie ou accident du travail.</t>
  </si>
  <si>
    <t>Source : Enquête Emploi 2025, Insee. Traitement DGAFP-SDessi.</t>
  </si>
  <si>
    <t>Ensemble</t>
  </si>
  <si>
    <t>FPE
(hors enseignants)</t>
  </si>
  <si>
    <t>Figure 16 : Part des agents publics ou salariés du privé absents au moins un jour au cours d’une semaine donnée pour raison de santé, selon le sexe et l’âge, en 2025</t>
  </si>
  <si>
    <t>Champ : Agents de la fonction publique et salariés du privé vivant en logement ordinaire, en emploi au sens du BIT durant  la semaine de référence, âgés de 15 ans ou plus ; France (hors Mayotte). Hors apprentis, contrats de professionnalisation, stagiaires, contrats aidés.</t>
  </si>
  <si>
    <t>2025</t>
  </si>
  <si>
    <t>en jours</t>
  </si>
  <si>
    <t>Source : Enquête Emploi 2025, Insee. Traitement DGAFP-SDessi.</t>
  </si>
  <si>
    <t>Champ : Agents de la fonction publique et salariés du privé vivant en logement ordinaire, en emploi au sens du BIT durant la semaine de référence, âgés de 15 ans ou plus ; 
France (hors Mayotte). Hors apprentis, contrats de professionnalisation, stagiaires, contrats aidés.</t>
  </si>
  <si>
    <t>Le nombre d’heures moyen dans l’année est obtenu en multipliant le nombre moyen observé sur une semaine de référence par 52.</t>
  </si>
  <si>
    <t xml:space="preserve">La durée légale du travail, fixée à 35 heures hebdomadaires, correspond à un volume horaire de 1 607 heures. Les agents qui doivent travailler plus de 35 heures par semaine bénéficient d’une compensation en jours supplémentaires de repos pour réduction du temps de travail (RTT), afin de respecter les 1 607 heures annuelles. Certains agents peuvent avoir des jours de congés supplémentaires : les jours de fractionnement, par exemple. Des dispositions propres à l’emploi occupé et à ses conditions d’exercice − comme le travail de nuit, le travail le dimanche ou le travail en horaires décalés − peuvent amener à des dérogations à la baisse par rapport à la durée légale. Par exemple, lorsqu’un agent effectue au moins 90 % de son temps de travail annuel de nuit, la durée légale du travail est ramenée à 32 h 30 par semaine. </t>
  </si>
  <si>
    <t xml:space="preserve">Les heures effectuées au‑delà de la durée légale du travail sont considérées comme des heures supplémentaires. Elles peuvent être rémunérées ou non. Dans l’enquête Emploi, ces heures sont mesurées à l’aide des deux questions suivantes, portant sur la semaine de référence : </t>
  </si>
  <si>
    <t>Cette notion peut différer de la définition réglementaire des heures supplémentaires. Dans la fonction publique, les heures supplémentaires sont les heures de travail effectuées par un agent à la demande de son chef de service en dépassement des bornes horaires définies par le cycle de travail. Elles peuvent donner lieu soit à un repos compensateur, soit à une indemnisation. Dans la FPE et la FPT, un agent ne peut pas accomplir plus de 25 heures supplémentaires par mois, sauf circonstances exceptionnelles. Dans la FPH, la limite du nombre d’heures supplémentaires dépend du cycle de travail. De façon générale, un agent ne peut pas effectuer plus de 240 heures supplémentaires par an. Quand la durée du cycle de travail est inférieure ou égale à un mois, un agent ne peut pas effectuer plus de 20 heures supplémentaires par mois. Quand la durée du cycle de travail est supérieure à un mois, le plafond mensuel d’heures supplémentaires est déterminé en divisant 240 heures par 52 semaines, puis en multipliant ce résultat par le nombre de semaines composant le cycle de travail.</t>
  </si>
  <si>
    <t>La durée hebdomadaire habituelle s’applique à une semaine normale, sans événement exceptionnel (congé ou absence), et inclut toutes les heures habituellement effectuées, y compris les heures supplémentaires ou dépassements horaires habituels. Cette durée travaillée diffère de la durée collective hebdomadaire, qui correspond à l’horaire collectif de travail prévu par l’employeur. La durée hebdomadaire habituelle ne préjuge pas de la durée réellement travaillée sur l’année, mais est indicatrice de l’organisation générale du temps de travail.</t>
  </si>
  <si>
    <t>La durée annuelle effective est la durée effectivement travaillée sur la semaine de référence rapportée à l’année complète. Elle est l’indicatrice la plus pertinente pour la mesure globale du temps de travail, car elle intègre l’ensemble des éléments de variation individuelle, saisonnière ou conjoncturelle. Elle est calculée, sur l’ensemble de l’année, en multipliant la durée effective observée en moyenne sur une semaine de référence par 52 (nombre de semaines dans une année).</t>
  </si>
  <si>
    <t>L’Insee définit le sous-emploi comme étant la situation des personnes ayant un emploi à temps partiel qui souhaitent travailler plus d’heures et qui sont disponibles pour le faire, qu’elles recherchent ou non un emploi. Sont aussi incluses les personnes ayant involontairement travaillé moins que d’habitude, pour cause de chômage partiel par exemple, qu’elles travaillent à temps plein ou à temps partiel.</t>
  </si>
  <si>
    <t>Le télétravail est mesuré à partir de l’enquête Emploi sur une période de quatre semaines précédant l’enquête. La question est formulée de la manière suivante : « Pendant ces quatre semaines-là (dans votre emploi principal), vous est-il arrivé de télétravailler ? Oui/Non ». La définition du télétravail est précisée dans l’enquête de la manière suivante : « Le télétravail consiste à travailler hors des locaux de son employeur, pendant ses horaires habituels de travail. Il suppose de pouvoir se connecter au système informatique de son établissement. Le télétravail est formalisé par écrit avec l’employeur. Rapporter du travail à la maison, travailler lors de déplacements professionnels, chez un client ou de façon mobile (pendant les trajets, entre les réunions) ou encore travailler sur site distant n’est pas du télétravail ». Les questions relatives au télétravail ont été intégrées au questionnaire de l’enquête Emploi lors de la refonte de 2021. En 2022, cette thématique a été enrichie par des questions sur la compatibilité de l’emploi occupé avec le télétravail ainsi que sur les souhaits des agents concernant le nombre de jours télétravaillés.</t>
  </si>
  <si>
    <t>Cette notion, mesurée à partir de l’enquête Emploi, se réfère à la perception des personnes interrogées concernant leur emploi principal durant la semaine précédant l’enquête (semaine de référence). Les personnes qui considèrent leur emploi comme compatible peuvent avoir recours ou non au télétravail. Les individus qui ont déclaré télétravailler sont considérés comme occupant un emploi compatible.</t>
  </si>
  <si>
    <t>Les agents de la fonction publique ont été répartis selon leur profession dans dix familles de métiers. Ces dernières ont été établies à partir de la nomenclature des professions et catégories socioprofessionnelles (PCS 2020).</t>
  </si>
  <si>
    <t>Professions de l’enseignement primaire et professionnel, de la formation continue 
et du sport</t>
  </si>
  <si>
    <t>Contient des données sur l’égalité professionnelle entre les femmes et les hommes</t>
  </si>
  <si>
    <t>La durée effective est la durée travaillée dans l’emploi principal lors d’une semaine de référence, y compris les heures supplémentaires rémunérées ou non et hors heures non travaillées pour cause de congés annuels, chômage partiel, jour férié, maladie, accident, maternité, paternité, formation ou grève. Les différentes formes d’organisation du temps de travail peuvent avoir un effet sur la durée effective du travail une semaine donnée. C’est le cas par exemple des horaires variables, qui permettent à l’agent de choisir ses heures dans des plages mobiles (avec un système de « crédit-débit » et un contrôle des horaires) ou du forfait annuel en jours (qui détermine la durée de travail sur un nombre de jours par an), réservé aux cadres et salariés autonomes dont le temps de travail n’est pas prédéterminé.</t>
  </si>
  <si>
    <t xml:space="preserve">- « Pour la semaine du lundi,,, au dimanche,,,, (dans le cadre de votre emploi principal) avez-vous travaillé plus que le nombre d’heures prévu par votre contrat/plus que le nombre d’heures réglementaire/plus qu’habituellement ? Y compris le travail à domicile et le temps passé en formation dans le cadre de votre emploi, même si ces heures n’ont pas donné lieu à rémunération ou récupération » </t>
  </si>
  <si>
    <r>
      <t>Un agent de la fonction publique peut être autorisé, à sa demande, à travailler à temps partiel pour différents motifs (naissance d’un enfant, raison de santé, etc.,). Selon le motif pour lequel il est demandé, le temps partiel est de droit, ou accordé sous réserve des nécessités de service. Le temps partiel est attribué pour une période de six mois à un an, renouvelable. L’agent peut demander à travailler à temps partiel à 50 %, 60 %, 70 %, 80 % ou 90 % d’un temps plein. Le temps partiel peut être organisé autour de la durée journalière (avec une réduction de la durée du travail chaque jour), de la durée hebdomadaire (le nombre de jours travaillés par semaine est réduit), de la durée du cycle de travail ou encore de la durée annuelle. Certains agents peuvent aussi être recrutés sur des contrats à temps incomplet (dans la FPE) ou à temps non complet (dans la FPT et la FPH), qui sont des emplois avec une durée de travail inférieure à la durée légale de travail à temps complet. Dans l’</t>
    </r>
    <r>
      <rPr>
        <sz val="10"/>
        <color rgb="FFFF0000"/>
        <rFont val="Arial"/>
        <family val="2"/>
      </rPr>
      <t>e</t>
    </r>
    <r>
      <rPr>
        <sz val="10"/>
        <color rgb="FF000000"/>
        <rFont val="Arial"/>
        <family val="2"/>
      </rPr>
      <t>nquête Emploi, la mesure du temps partiel se fait sur une base déclarative, et ne permet pas de distinguer la part de temps partiel, de temps non complet et de temps incomplet. La question suivante est posée aux personnes en emploi : « Dans votre emploi principal, êtes-vous… à temps complet ?/à temps partiel - Y compris temps partiel annualisé ? »</t>
    </r>
  </si>
  <si>
    <r>
      <t>Heures supplémentaires dans l’année</t>
    </r>
    <r>
      <rPr>
        <vertAlign val="superscript"/>
        <sz val="10"/>
        <color rgb="FF000000"/>
        <rFont val="Arial"/>
        <family val="2"/>
      </rPr>
      <t>1</t>
    </r>
  </si>
  <si>
    <r>
      <t>Congés payés, RTT ou CET (</t>
    </r>
    <r>
      <rPr>
        <i/>
        <sz val="10"/>
        <rFont val="Arial"/>
        <family val="2"/>
      </rPr>
      <t>en jours</t>
    </r>
    <r>
      <rPr>
        <sz val="10"/>
        <rFont val="Arial"/>
        <family val="2"/>
      </rPr>
      <t>)</t>
    </r>
    <r>
      <rPr>
        <vertAlign val="superscript"/>
        <sz val="10"/>
        <rFont val="Arial"/>
        <family val="2"/>
      </rPr>
      <t>2</t>
    </r>
  </si>
  <si>
    <t>Fonction publique de l’État (FPE) 
[Hors enseignants]</t>
  </si>
  <si>
    <t>Champ : Agents de la fonction publique et salariés du privé à temps complet, vivant en logement ordinaire, en emploi au sens du BIT durant la semaine de référence, âgés de 15 ans ou plus ;  France (hors Mayotte). Hors apprentis, contrats de professionnalisation, stagiaires, contrats aidés et hors enseignants.</t>
  </si>
  <si>
    <t>1. Il s’agit du nombre d’heures supplémentaires effectuées au-delà de la durée légale (35 heures) ou de la durée prévue par l’employeur, qu’elles soient rémunérées ou non, au cours d’une semaine de référence, et extrapolé à l’année.</t>
  </si>
  <si>
    <t>2. Le nombre de jours de congés payés, RTT ou CET est calculé uniquement pour les agents ayant au moins un an d’ancienneté dans leur emploi principal.</t>
  </si>
  <si>
    <r>
      <t>Heures supplémentaires dans l’année</t>
    </r>
    <r>
      <rPr>
        <b/>
        <vertAlign val="superscript"/>
        <sz val="10"/>
        <rFont val="Arial"/>
        <family val="2"/>
      </rPr>
      <t>1</t>
    </r>
  </si>
  <si>
    <r>
      <t>Congés payés, RTT ou CET
(en jours)</t>
    </r>
    <r>
      <rPr>
        <b/>
        <vertAlign val="superscript"/>
        <sz val="10"/>
        <rFont val="Arial"/>
        <family val="2"/>
      </rPr>
      <t>2</t>
    </r>
  </si>
  <si>
    <t>2. Le nombre de jours de congés payés, RTT ou CET est calculé uniquement pour les agents ayant au moins un an d’ancienneté dans leur emploi principal,</t>
  </si>
  <si>
    <r>
      <t>Horaires alternants</t>
    </r>
    <r>
      <rPr>
        <b/>
        <vertAlign val="superscript"/>
        <sz val="10"/>
        <rFont val="Arial"/>
        <family val="2"/>
      </rPr>
      <t>1</t>
    </r>
  </si>
  <si>
    <t>1. Mode d’organisation du travail en équipe selon lequel des travailleurs sont occupés successivement sur les mêmes postes de travail, selon un rythme rotatif, de type continu ou discontinu, entraînant pour les travailleurs la nécessité d’accomplir un travail à des heures différentes sur une période donnée de jours ou de semaines.</t>
  </si>
  <si>
    <t>Les catégories de métiers distinguées dans ce tableau représentent 88 % des agents de la fonction publique. Les autres métiers ne comportent pas assez d’agents pour être distingués.</t>
  </si>
  <si>
    <t>A travaillé au moins une fois au cours des quatre dernières semaines 
précédant l’enquête…</t>
  </si>
  <si>
    <r>
      <t>Un jour</t>
    </r>
    <r>
      <rPr>
        <vertAlign val="superscript"/>
        <sz val="10"/>
        <rFont val="Arial"/>
        <family val="2"/>
      </rPr>
      <t>1</t>
    </r>
  </si>
  <si>
    <t>Lecture : En 2025, 4 % des hommes travaillant dans la fonction publique ont été absents au moins un jour au cours d’une semaine donnée pour raison de santé.</t>
  </si>
  <si>
    <t>Lecture : En 2025, parmi les agents de la fonction publique âgés de 50 ans ou plus, 6 % ont été absents au moins un jour au cours d’une semaine donnée pour raison de santé.</t>
  </si>
  <si>
    <t>Sont prises en compte ici les absences pour maladie ou accident du travail et, jusqu’en 2020, la garde d’enfants malades.</t>
  </si>
  <si>
    <t>Lecture : En 2025, parmi les agents de la fonction publique, 5 % ont été absents au moins un jour au cours d’une semaine donnée pour raison de santé.</t>
  </si>
  <si>
    <t>Moins de 
30 ans</t>
  </si>
  <si>
    <t>De 30 
à 49 ans</t>
  </si>
  <si>
    <t>Lecture : En 2025, les femmes travaillant dans la fonction publique ont été absentes pour raison de santé en moyenne 12,0 jours sur l’année, soit 4,7 jours de moins qu’en 2022.</t>
  </si>
  <si>
    <t>Figure 18 : Nombre moyen de jours d’absence au cours de l’année pour raison de santé dans la fonction publique et le secteur privé</t>
  </si>
  <si>
    <t>Source : Enquête Emploi, Insee. Traitement DGAFP-SDessi.</t>
  </si>
  <si>
    <t>Source : Enquêtes Emploi, Insee. Traitement DGAFP-SDessi.</t>
  </si>
  <si>
    <r>
      <t>Congés payés, RTT ou CET (en jours)</t>
    </r>
    <r>
      <rPr>
        <vertAlign val="superscript"/>
        <sz val="10"/>
        <rFont val="Arial"/>
        <family val="2"/>
      </rPr>
      <t>2</t>
    </r>
  </si>
  <si>
    <r>
      <t>Heures supplémentaires dans l’année</t>
    </r>
    <r>
      <rPr>
        <vertAlign val="superscript"/>
        <sz val="10"/>
        <rFont val="Arial"/>
        <family val="2"/>
      </rPr>
      <t>1</t>
    </r>
  </si>
  <si>
    <t>Champ : Agents de la fonction publique et salariés du privé à temps complet, vivant en logement ordinaire, en emploi au sens du Bureau international du travail (BIT) durant la semaine de référence, âgés de 15 ans ou plus ; France (hors Mayotte). Hors apprentis, contrats de professionnalisation, stagiaires, contrats aidés, et hors enseignants.</t>
  </si>
  <si>
    <t>2. Le nombre de jours de congés payés, RTT ou CET est calculé uniquement pour les agents et salariés ayant au moins un an d’ancienneté dans leur emploi principal.</t>
  </si>
  <si>
    <t>Note : À la suite de la refonte de l’enquête Emploi, les résultats de l’année 2021 ne sont pas comparables à ceux des années précédentes. La ligne verticale indique la rupture de série.</t>
  </si>
  <si>
    <r>
      <t xml:space="preserve">Note : </t>
    </r>
    <r>
      <rPr>
        <sz val="10"/>
        <rFont val="Calibri"/>
        <family val="2"/>
      </rPr>
      <t>À</t>
    </r>
    <r>
      <rPr>
        <sz val="10"/>
        <rFont val="Arial"/>
        <family val="2"/>
      </rPr>
      <t xml:space="preserve"> la suite de la refonte de l’enquête Emploi, les résultats de l’année 2021 ne sont pas comparables à ceux des années précédentes, La ligne verticale indique la rupture de série.</t>
    </r>
  </si>
  <si>
    <t>Note : Le soir correspond à la tranche horaire allant de 20 h à minuit ; la nuit, à celle allant de minuit à 5 h.</t>
  </si>
  <si>
    <t>Notes : Le soir correspond à la tranche horaire allant de 20 heures à minuit ; la nuit, à celle allant de minuit à 5 heures.</t>
  </si>
  <si>
    <t>Lecture : En 2025, 77 % des cadres administratifs et techniques de la fonction publique jugent leur emploi compatible avec le télétravail. Parmi eux, 72 % ont télétravaillé au moins une fois au cours du mois précédant l’enquête. Au total, 56 % des cadres administratifs et techniques de la fonction publique ont télétravaillé dans le mois.</t>
  </si>
  <si>
    <t>1. L’intitulé « Un jour » regroupe les personnes déclarant avoir télétravaillé « un jour » ou 
« moins d’un jour » par semaine au cours du mois précédant l’enquête. En 2025, parmi les télétravailleurs de la fonction publique, 60 % ont indiqué avoir télétravaillé en moyenne un jour ou moins dans le mois : 43 % « un jour » et 18 % « moins » (par exemple, une demi-journée par semaine ou un jour tous les 15 jours).</t>
  </si>
  <si>
    <t>Notes : À la suite de la refonte de l’enquête Emploi, les résultats de l’année 2021 ne sont pas comparables à ceux des années précédentes. La ligne verticale indique la rupture de série.</t>
  </si>
  <si>
    <t>50 ans 
ou plus</t>
  </si>
  <si>
    <t>Lecture : En 2025, 10 % des fonctionnaires de la FPE déclarent être à temps partiel.</t>
  </si>
  <si>
    <t>Lecture : En 2025, les agents de la fonction publique à temps complet appartenant à la famille de métiers « Professions intermédiaires de la santé et du travail social » déclarent en moyenne une durée hebdomadaire habituelle de travail de 37,8 heures, contre 39,1 heures pour l’ensemble de la fonction publique hors enseignants.</t>
  </si>
  <si>
    <t>Figure 18 : Nombre moyen de jours d’absence au cours de l’année pour raison de santé dans la fonction publique et dans le secteur privé</t>
  </si>
  <si>
    <t>Le nombre de jours d’absence pour raison de santé au cours de l’année est calculé pour l’ensemble des agents en multipliant le nombre de jours d’absence moyen au cours de la semaine de référence par 52 (nombre de semaines dans une année). Ces absences peuvent être liées à différentes causes telles que les maladies ou les accidents du travail ; elles n’incluent pas les congés maternité ou paternité, ni, depuis 2021, les absences pour garde d’enfant malade. Les données à partir de 2021 ne sont pas comparables à celles portant sur la période antérieure (2014-2020) en raison des modifications conceptuelles apportées à l’occasion de la refonte de l’enquête Emploi. Ces modifications ont notamment eu pour effet d’augmenter le nombre de personnes considérées en emploi (au sens du Bureau international du travail [BIT]) et la part de celles absentes pour raison de santé (voir Source).</t>
  </si>
  <si>
    <t>Lecture : En 2025, la durée annuelle effective de travail des agents de la fonction publique (hors enseignants) occupant un emploi à temps complet est de 1 623 heures en moyenne, contre 1 680 heures pour les salariés du secteur privé.</t>
  </si>
  <si>
    <t>Lecture : En 2025, les hommes travaillant à temps complet dans la FPE (hors enseignants) déclarent en moyenne une durée annuelle effective de 1 706 heures.</t>
  </si>
  <si>
    <t>Lecture : En 2025, les cadres et professions intellectuelles supérieures à temps complet dans la fonction publique déclarent en moyenne une durée hebdomadaire habituelle de 42,2 heures.</t>
  </si>
  <si>
    <t>Policiers, militaires et pompiers</t>
  </si>
  <si>
    <t>Lecture : En 2025, parmi les agents de 30 à 49 ans estimant leur emploi compatible avec le télétravail (qu’ils télétravaillent ou non), 72 % sont satisfaits de leur quotité de télétravail.</t>
  </si>
  <si>
    <t>Lecture : En 2025, les agents de la fonction publique ont été absents pour raison de santé en moyenne 11,0 jours sur l’année.</t>
  </si>
  <si>
    <t>Lecture : En 2025, les agents de la fonction publique âgés de 50 ans et plus ont été absents pour raison de santé en moyenne 
14,9 jours sur l’année.</t>
  </si>
  <si>
    <t>Policiers, militaires et pompiers</t>
  </si>
  <si>
    <r>
      <t>Un jour</t>
    </r>
    <r>
      <rPr>
        <b/>
        <sz val="11"/>
        <rFont val="Arial"/>
        <family val="2"/>
      </rPr>
      <t>¹</t>
    </r>
  </si>
  <si>
    <t>1. Mode d’organisation du travail en équipe au sein duquel des travailleurs sont occupés successivement sur les mêmes postes de travail, selon un rythme rotatif, de type continu ou discontinu. Cette organisation nécessite d’accomplir un travail à des heures différentes sur une période donnée de jours ou de semaines.</t>
  </si>
  <si>
    <t>1. L’intitulé « Un jour » regroupe les personnes ayant déclaré avoir télétravaillé « un jour » ou « moins de un jour » par semaine.</t>
  </si>
  <si>
    <t>Champ : Agents de la fonction publique à temps complet, vivant en logement ordinaire, en emploi au sens du BIT durant la semaine de référence, âgés de 15 ans 
ou plus ; France (hors Mayotte). Hors apprentis, contrats de professionnalisation, stagiaires, contrats aidés, et hors enseignants.</t>
  </si>
  <si>
    <t>so : Sans objet.</t>
  </si>
  <si>
    <t>ns : Non significatif.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</si>
</sst>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43" x14ac:knownFonts="1">
    <font>
      <sz val="11"/>
      <color rgb="FF000000"/>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b/>
      <sz val="10"/>
      <color rgb="FF000000"/>
      <name val="Arial"/>
      <family val="2"/>
    </font>
    <font>
      <sz val="10"/>
      <color rgb="FF000000"/>
      <name val="Arial"/>
      <family val="2"/>
    </font>
    <font>
      <i/>
      <sz val="10"/>
      <color rgb="FF000000"/>
      <name val="Arial"/>
      <family val="2"/>
    </font>
    <font>
      <b/>
      <sz val="10"/>
      <name val="Arial"/>
      <family val="2"/>
    </font>
    <font>
      <i/>
      <sz val="10"/>
      <name val="Arial"/>
      <family val="2"/>
    </font>
    <font>
      <vertAlign val="superscript"/>
      <sz val="10"/>
      <name val="Arial"/>
      <family val="2"/>
    </font>
    <font>
      <sz val="10"/>
      <color rgb="FFFF0000"/>
      <name val="Arial"/>
      <family val="2"/>
    </font>
    <font>
      <b/>
      <vertAlign val="superscript"/>
      <sz val="10"/>
      <name val="Arial"/>
      <family val="2"/>
    </font>
    <font>
      <b/>
      <sz val="10"/>
      <color rgb="FFFF0000"/>
      <name val="Arial"/>
      <family val="2"/>
    </font>
    <font>
      <b/>
      <strike/>
      <sz val="10"/>
      <name val="Arial"/>
      <family val="2"/>
    </font>
    <font>
      <sz val="10"/>
      <color rgb="FF0070C0"/>
      <name val="Arial"/>
      <family val="2"/>
    </font>
    <font>
      <sz val="10"/>
      <color theme="3" tint="0.39997558519241921"/>
      <name val="Arial"/>
      <family val="2"/>
    </font>
    <font>
      <sz val="10"/>
      <color rgb="FF7030A0"/>
      <name val="Arial"/>
      <family val="2"/>
    </font>
    <font>
      <sz val="10"/>
      <color theme="1"/>
      <name val="Arial"/>
      <family val="2"/>
    </font>
    <font>
      <u/>
      <sz val="10"/>
      <color theme="10"/>
      <name val="Arial"/>
      <family val="2"/>
    </font>
    <font>
      <b/>
      <sz val="10"/>
      <color theme="1"/>
      <name val="Arial"/>
      <family val="2"/>
    </font>
    <font>
      <vertAlign val="superscript"/>
      <sz val="10"/>
      <color rgb="FF000000"/>
      <name val="Arial"/>
      <family val="2"/>
    </font>
    <font>
      <b/>
      <sz val="10"/>
      <color rgb="FF7030A0"/>
      <name val="Arial"/>
      <family val="2"/>
    </font>
    <font>
      <i/>
      <sz val="9"/>
      <name val="Arial"/>
      <family val="2"/>
    </font>
    <font>
      <sz val="9"/>
      <name val="Arial"/>
      <family val="2"/>
    </font>
    <font>
      <sz val="10"/>
      <color rgb="FF000000"/>
      <name val="Arial Narrow"/>
      <family val="2"/>
    </font>
    <font>
      <sz val="11"/>
      <color rgb="FF000000"/>
      <name val="Arial"/>
      <family val="2"/>
    </font>
    <font>
      <sz val="11"/>
      <name val="Arial"/>
      <family val="2"/>
    </font>
    <font>
      <sz val="11"/>
      <color indexed="8"/>
      <name val="Arial"/>
      <family val="2"/>
    </font>
    <font>
      <b/>
      <sz val="11"/>
      <color rgb="FF000000"/>
      <name val="Arial"/>
      <family val="2"/>
    </font>
    <font>
      <sz val="11"/>
      <color rgb="FF0070C0"/>
      <name val="Arial"/>
      <family val="2"/>
    </font>
    <font>
      <b/>
      <sz val="11"/>
      <color rgb="FF00B050"/>
      <name val="Arial"/>
      <family val="2"/>
    </font>
    <font>
      <b/>
      <sz val="11"/>
      <color rgb="FFC00000"/>
      <name val="Arial"/>
      <family val="2"/>
    </font>
    <font>
      <sz val="11"/>
      <color rgb="FFFF0000"/>
      <name val="Arial"/>
      <family val="2"/>
    </font>
    <font>
      <sz val="11"/>
      <color theme="4"/>
      <name val="Arial"/>
      <family val="2"/>
    </font>
    <font>
      <b/>
      <sz val="10"/>
      <color rgb="FF00B050"/>
      <name val="Arial"/>
      <family val="2"/>
    </font>
    <font>
      <b/>
      <i/>
      <sz val="10"/>
      <name val="Arial"/>
      <family val="2"/>
    </font>
    <font>
      <b/>
      <sz val="10"/>
      <color indexed="8"/>
      <name val="Arial"/>
      <family val="2"/>
    </font>
    <font>
      <sz val="10"/>
      <color indexed="8"/>
      <name val="Arial"/>
      <family val="2"/>
    </font>
    <font>
      <b/>
      <sz val="10"/>
      <color rgb="FFC00000"/>
      <name val="Arial"/>
      <family val="2"/>
    </font>
    <font>
      <sz val="10"/>
      <name val="Calibri"/>
      <family val="2"/>
    </font>
    <font>
      <sz val="8"/>
      <color rgb="FF000000"/>
      <name val="DejaVu Sans"/>
      <family val="2"/>
    </font>
    <font>
      <b/>
      <sz val="11"/>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style="double">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double">
        <color indexed="64"/>
      </bottom>
      <diagonal/>
    </border>
    <border>
      <left/>
      <right/>
      <top style="thin">
        <color auto="1"/>
      </top>
      <bottom/>
      <diagonal/>
    </border>
    <border>
      <left style="thin">
        <color auto="1"/>
      </left>
      <right/>
      <top/>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s>
  <cellStyleXfs count="5">
    <xf numFmtId="0" fontId="0" fillId="0" borderId="0"/>
    <xf numFmtId="0" fontId="2" fillId="0" borderId="0"/>
    <xf numFmtId="0" fontId="3" fillId="0" borderId="0"/>
    <xf numFmtId="0" fontId="1" fillId="0" borderId="0"/>
    <xf numFmtId="0" fontId="4" fillId="0" borderId="0" applyNumberFormat="0" applyFill="0" applyBorder="0" applyAlignment="0" applyProtection="0"/>
  </cellStyleXfs>
  <cellXfs count="502">
    <xf numFmtId="0" fontId="0" fillId="0" borderId="0" xfId="0"/>
    <xf numFmtId="0" fontId="6" fillId="3" borderId="19" xfId="0" applyFont="1" applyFill="1" applyBorder="1" applyAlignment="1">
      <alignment horizontal="left" vertical="center" wrapText="1"/>
    </xf>
    <xf numFmtId="0" fontId="6" fillId="3" borderId="0" xfId="0" applyFont="1" applyFill="1" applyAlignment="1">
      <alignment horizontal="left" vertical="center" wrapText="1"/>
    </xf>
    <xf numFmtId="0" fontId="6" fillId="3" borderId="15" xfId="0" applyFont="1" applyFill="1" applyBorder="1" applyAlignment="1">
      <alignment horizontal="left" vertical="center" wrapText="1"/>
    </xf>
    <xf numFmtId="0" fontId="6" fillId="3" borderId="0" xfId="0" applyFont="1" applyFill="1"/>
    <xf numFmtId="0" fontId="8" fillId="3" borderId="0" xfId="0" applyFont="1" applyFill="1"/>
    <xf numFmtId="0" fontId="6" fillId="3" borderId="5" xfId="0" applyFont="1" applyFill="1" applyBorder="1" applyAlignment="1">
      <alignment vertical="center"/>
    </xf>
    <xf numFmtId="0" fontId="5" fillId="3" borderId="5" xfId="0" applyFont="1" applyFill="1" applyBorder="1" applyAlignment="1">
      <alignment horizontal="center" vertical="center" wrapText="1"/>
    </xf>
    <xf numFmtId="0" fontId="6" fillId="3" borderId="5" xfId="0" applyFont="1" applyFill="1" applyBorder="1"/>
    <xf numFmtId="3" fontId="6" fillId="3" borderId="5" xfId="0" applyNumberFormat="1" applyFont="1" applyFill="1" applyBorder="1" applyAlignment="1">
      <alignment horizontal="right" indent="1"/>
    </xf>
    <xf numFmtId="0" fontId="6" fillId="3" borderId="13" xfId="0" applyFont="1" applyFill="1" applyBorder="1"/>
    <xf numFmtId="164" fontId="6" fillId="3" borderId="13" xfId="0" applyNumberFormat="1" applyFont="1" applyFill="1" applyBorder="1" applyAlignment="1">
      <alignment horizontal="right" indent="1"/>
    </xf>
    <xf numFmtId="1" fontId="6" fillId="3" borderId="13" xfId="0" applyNumberFormat="1" applyFont="1" applyFill="1" applyBorder="1" applyAlignment="1">
      <alignment horizontal="right" indent="1"/>
    </xf>
    <xf numFmtId="0" fontId="3" fillId="3" borderId="6" xfId="0" applyFont="1" applyFill="1" applyBorder="1"/>
    <xf numFmtId="164" fontId="6" fillId="3" borderId="6" xfId="0" applyNumberFormat="1" applyFont="1" applyFill="1" applyBorder="1" applyAlignment="1">
      <alignment horizontal="right" indent="1"/>
    </xf>
    <xf numFmtId="165" fontId="6" fillId="3" borderId="13" xfId="0" applyNumberFormat="1" applyFont="1" applyFill="1" applyBorder="1" applyAlignment="1">
      <alignment horizontal="right" indent="1"/>
    </xf>
    <xf numFmtId="165" fontId="6" fillId="3" borderId="15" xfId="0" applyNumberFormat="1" applyFont="1" applyFill="1" applyBorder="1" applyAlignment="1">
      <alignment horizontal="right" indent="1"/>
    </xf>
    <xf numFmtId="166" fontId="6" fillId="3" borderId="13" xfId="0" applyNumberFormat="1" applyFont="1" applyFill="1" applyBorder="1" applyAlignment="1">
      <alignment horizontal="right" indent="1"/>
    </xf>
    <xf numFmtId="166" fontId="6" fillId="3" borderId="15" xfId="0" applyNumberFormat="1" applyFont="1" applyFill="1" applyBorder="1" applyAlignment="1">
      <alignment horizontal="right" indent="1"/>
    </xf>
    <xf numFmtId="165" fontId="6" fillId="3" borderId="6" xfId="0" applyNumberFormat="1" applyFont="1" applyFill="1" applyBorder="1" applyAlignment="1">
      <alignment horizontal="right" indent="1"/>
    </xf>
    <xf numFmtId="165" fontId="6" fillId="3" borderId="10" xfId="0" applyNumberFormat="1" applyFont="1" applyFill="1" applyBorder="1" applyAlignment="1">
      <alignment horizontal="right" indent="1"/>
    </xf>
    <xf numFmtId="0" fontId="3" fillId="3" borderId="0" xfId="0" applyFont="1" applyFill="1"/>
    <xf numFmtId="0" fontId="5" fillId="3" borderId="0" xfId="0" applyFont="1" applyFill="1"/>
    <xf numFmtId="0" fontId="6" fillId="3" borderId="5" xfId="0" applyFont="1" applyFill="1" applyBorder="1" applyAlignment="1">
      <alignment horizontal="left"/>
    </xf>
    <xf numFmtId="0" fontId="6" fillId="3" borderId="13" xfId="0" applyFont="1" applyFill="1" applyBorder="1" applyAlignment="1">
      <alignment horizontal="left"/>
    </xf>
    <xf numFmtId="0" fontId="6" fillId="3" borderId="6" xfId="0" applyFont="1" applyFill="1" applyBorder="1" applyAlignment="1">
      <alignment horizontal="left"/>
    </xf>
    <xf numFmtId="164" fontId="6" fillId="3" borderId="5"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3" fillId="3" borderId="5" xfId="0" applyFont="1" applyFill="1" applyBorder="1"/>
    <xf numFmtId="0" fontId="3" fillId="3" borderId="13" xfId="0" applyFont="1" applyFill="1" applyBorder="1"/>
    <xf numFmtId="0" fontId="8" fillId="3" borderId="13" xfId="0" applyFont="1" applyFill="1" applyBorder="1"/>
    <xf numFmtId="0" fontId="3" fillId="3" borderId="1" xfId="0" applyFont="1" applyFill="1" applyBorder="1"/>
    <xf numFmtId="1" fontId="6" fillId="3" borderId="13" xfId="0" applyNumberFormat="1" applyFont="1" applyFill="1" applyBorder="1" applyAlignment="1">
      <alignment horizontal="right" vertical="center"/>
    </xf>
    <xf numFmtId="1" fontId="6" fillId="3" borderId="17" xfId="0" applyNumberFormat="1" applyFont="1" applyFill="1" applyBorder="1" applyAlignment="1">
      <alignment horizontal="right" vertical="center"/>
    </xf>
    <xf numFmtId="1" fontId="6" fillId="3" borderId="13" xfId="0" applyNumberFormat="1" applyFont="1" applyFill="1" applyBorder="1"/>
    <xf numFmtId="1" fontId="6" fillId="3" borderId="6" xfId="0" applyNumberFormat="1" applyFont="1" applyFill="1" applyBorder="1"/>
    <xf numFmtId="0" fontId="8" fillId="4" borderId="5" xfId="0" applyFont="1" applyFill="1" applyBorder="1" applyAlignment="1">
      <alignment horizontal="center" vertical="center" wrapText="1"/>
    </xf>
    <xf numFmtId="0" fontId="6" fillId="3" borderId="0" xfId="0" applyFont="1" applyFill="1" applyAlignment="1">
      <alignment horizontal="center"/>
    </xf>
    <xf numFmtId="0" fontId="6" fillId="3" borderId="13" xfId="0" applyFont="1" applyFill="1" applyBorder="1" applyAlignment="1">
      <alignment vertical="center"/>
    </xf>
    <xf numFmtId="0" fontId="6" fillId="3" borderId="6" xfId="0" applyFont="1" applyFill="1" applyBorder="1" applyAlignment="1">
      <alignment vertical="center"/>
    </xf>
    <xf numFmtId="0" fontId="3" fillId="3" borderId="0" xfId="0" applyFont="1" applyFill="1" applyBorder="1"/>
    <xf numFmtId="0" fontId="8" fillId="3" borderId="5" xfId="0" applyFont="1" applyFill="1" applyBorder="1" applyAlignment="1">
      <alignment horizontal="center" vertical="center"/>
    </xf>
    <xf numFmtId="0" fontId="3" fillId="3" borderId="5" xfId="0" applyFont="1" applyFill="1" applyBorder="1" applyAlignment="1">
      <alignment vertical="center"/>
    </xf>
    <xf numFmtId="1" fontId="3" fillId="3" borderId="5" xfId="0" applyNumberFormat="1" applyFont="1" applyFill="1" applyBorder="1" applyAlignment="1">
      <alignment horizontal="center" vertical="center"/>
    </xf>
    <xf numFmtId="1" fontId="3" fillId="3" borderId="18" xfId="0" applyNumberFormat="1" applyFont="1" applyFill="1" applyBorder="1" applyAlignment="1">
      <alignment horizontal="center" vertical="center"/>
    </xf>
    <xf numFmtId="1" fontId="3" fillId="3" borderId="12" xfId="0" applyNumberFormat="1" applyFont="1" applyFill="1" applyBorder="1" applyAlignment="1">
      <alignment horizontal="center" vertical="center"/>
    </xf>
    <xf numFmtId="0" fontId="3" fillId="3" borderId="13" xfId="0" applyFont="1" applyFill="1" applyBorder="1" applyAlignment="1">
      <alignment vertical="center"/>
    </xf>
    <xf numFmtId="1" fontId="3" fillId="3" borderId="13" xfId="0" applyNumberFormat="1" applyFont="1" applyFill="1" applyBorder="1" applyAlignment="1">
      <alignment horizontal="center" vertical="center"/>
    </xf>
    <xf numFmtId="1" fontId="3" fillId="3" borderId="0" xfId="0" applyNumberFormat="1" applyFont="1" applyFill="1" applyBorder="1" applyAlignment="1">
      <alignment horizontal="center" vertical="center"/>
    </xf>
    <xf numFmtId="1" fontId="3" fillId="3" borderId="15" xfId="0" applyNumberFormat="1" applyFont="1" applyFill="1" applyBorder="1" applyAlignment="1">
      <alignment horizontal="center" vertical="center"/>
    </xf>
    <xf numFmtId="1" fontId="3" fillId="3" borderId="1" xfId="0" applyNumberFormat="1" applyFont="1" applyFill="1" applyBorder="1" applyAlignment="1">
      <alignment horizontal="center" vertical="center"/>
    </xf>
    <xf numFmtId="1" fontId="6" fillId="3" borderId="5" xfId="0" applyNumberFormat="1" applyFont="1" applyFill="1" applyBorder="1" applyAlignment="1">
      <alignment horizontal="right" vertical="center" indent="2"/>
    </xf>
    <xf numFmtId="1" fontId="6" fillId="3" borderId="13" xfId="0" applyNumberFormat="1" applyFont="1" applyFill="1" applyBorder="1" applyAlignment="1">
      <alignment horizontal="right" vertical="center" indent="2"/>
    </xf>
    <xf numFmtId="0" fontId="6" fillId="3" borderId="11" xfId="0" applyFont="1" applyFill="1" applyBorder="1" applyAlignment="1">
      <alignment vertical="center"/>
    </xf>
    <xf numFmtId="0" fontId="3" fillId="3" borderId="19" xfId="0" applyFont="1" applyFill="1" applyBorder="1" applyAlignment="1">
      <alignment vertical="center"/>
    </xf>
    <xf numFmtId="0" fontId="6" fillId="3" borderId="19" xfId="0" applyFont="1" applyFill="1" applyBorder="1" applyAlignment="1">
      <alignment vertical="center"/>
    </xf>
    <xf numFmtId="0" fontId="11" fillId="3" borderId="0" xfId="0" applyFont="1" applyFill="1"/>
    <xf numFmtId="0" fontId="8" fillId="3" borderId="0" xfId="0" applyFont="1" applyFill="1" applyAlignment="1">
      <alignment horizontal="left" vertical="center"/>
    </xf>
    <xf numFmtId="0" fontId="8" fillId="3" borderId="0" xfId="0" applyFont="1" applyFill="1" applyAlignment="1">
      <alignment horizontal="left" vertical="center" wrapText="1"/>
    </xf>
    <xf numFmtId="0" fontId="8" fillId="0" borderId="2" xfId="0" applyFont="1" applyBorder="1" applyAlignment="1">
      <alignment horizontal="center" vertical="center" wrapText="1"/>
    </xf>
    <xf numFmtId="0" fontId="8" fillId="3" borderId="20" xfId="0" applyFont="1" applyFill="1" applyBorder="1" applyAlignment="1">
      <alignment horizontal="center" vertical="center" wrapText="1"/>
    </xf>
    <xf numFmtId="0" fontId="3" fillId="3" borderId="5" xfId="0" applyFont="1" applyFill="1" applyBorder="1" applyAlignment="1">
      <alignment horizontal="center" vertical="center"/>
    </xf>
    <xf numFmtId="1" fontId="3" fillId="3" borderId="11" xfId="0" applyNumberFormat="1" applyFont="1" applyFill="1" applyBorder="1" applyAlignment="1">
      <alignment horizontal="center" vertical="center"/>
    </xf>
    <xf numFmtId="1" fontId="3" fillId="3" borderId="22" xfId="0" applyNumberFormat="1" applyFont="1" applyFill="1" applyBorder="1" applyAlignment="1">
      <alignment horizontal="center" vertical="center"/>
    </xf>
    <xf numFmtId="1" fontId="3" fillId="3" borderId="19" xfId="0" applyNumberFormat="1" applyFont="1" applyFill="1" applyBorder="1" applyAlignment="1">
      <alignment horizontal="center" vertical="center"/>
    </xf>
    <xf numFmtId="1" fontId="3" fillId="3" borderId="23" xfId="0" applyNumberFormat="1" applyFont="1" applyFill="1" applyBorder="1" applyAlignment="1">
      <alignment horizontal="center" vertical="center"/>
    </xf>
    <xf numFmtId="0" fontId="13" fillId="3" borderId="0" xfId="0" applyFont="1" applyFill="1"/>
    <xf numFmtId="0" fontId="3" fillId="3" borderId="6" xfId="0" applyFont="1" applyFill="1" applyBorder="1" applyAlignment="1">
      <alignment horizontal="center" vertical="center"/>
    </xf>
    <xf numFmtId="1" fontId="3" fillId="3" borderId="16" xfId="0" applyNumberFormat="1" applyFont="1" applyFill="1" applyBorder="1" applyAlignment="1">
      <alignment horizontal="center" vertical="center"/>
    </xf>
    <xf numFmtId="1" fontId="3" fillId="3" borderId="6" xfId="0" applyNumberFormat="1" applyFont="1" applyFill="1" applyBorder="1" applyAlignment="1">
      <alignment horizontal="center" vertical="center"/>
    </xf>
    <xf numFmtId="1" fontId="3" fillId="3" borderId="21" xfId="0" applyNumberFormat="1" applyFont="1" applyFill="1" applyBorder="1" applyAlignment="1">
      <alignment horizontal="center" vertical="center"/>
    </xf>
    <xf numFmtId="1" fontId="3" fillId="3" borderId="7" xfId="0" applyNumberFormat="1" applyFont="1" applyFill="1" applyBorder="1" applyAlignment="1">
      <alignment horizontal="center" vertical="center"/>
    </xf>
    <xf numFmtId="1" fontId="3" fillId="3" borderId="10" xfId="0" applyNumberFormat="1" applyFont="1" applyFill="1" applyBorder="1" applyAlignment="1">
      <alignment horizontal="center" vertical="center"/>
    </xf>
    <xf numFmtId="1" fontId="6" fillId="3" borderId="5" xfId="0" applyNumberFormat="1" applyFont="1" applyFill="1" applyBorder="1" applyAlignment="1">
      <alignment horizontal="right" vertical="center" indent="3"/>
    </xf>
    <xf numFmtId="1" fontId="6" fillId="3" borderId="13" xfId="0" applyNumberFormat="1" applyFont="1" applyFill="1" applyBorder="1" applyAlignment="1">
      <alignment horizontal="right" vertical="center" indent="3"/>
    </xf>
    <xf numFmtId="1" fontId="6" fillId="3" borderId="6" xfId="0" applyNumberFormat="1" applyFont="1" applyFill="1" applyBorder="1" applyAlignment="1">
      <alignment horizontal="right" vertical="center" indent="3"/>
    </xf>
    <xf numFmtId="0" fontId="6" fillId="3" borderId="0" xfId="0" applyNumberFormat="1" applyFont="1" applyFill="1"/>
    <xf numFmtId="0" fontId="5" fillId="3" borderId="0" xfId="0" applyFont="1" applyFill="1" applyAlignment="1">
      <alignment horizontal="left" vertical="center"/>
    </xf>
    <xf numFmtId="0" fontId="5" fillId="3" borderId="1" xfId="0" applyNumberFormat="1" applyFont="1" applyFill="1" applyBorder="1" applyAlignment="1">
      <alignment horizontal="center" vertical="center"/>
    </xf>
    <xf numFmtId="0" fontId="9" fillId="3" borderId="13" xfId="0" applyFont="1" applyFill="1" applyBorder="1" applyAlignment="1">
      <alignment vertical="center"/>
    </xf>
    <xf numFmtId="1" fontId="9" fillId="3" borderId="13" xfId="0" applyNumberFormat="1" applyFont="1" applyFill="1" applyBorder="1" applyAlignment="1">
      <alignment horizontal="center" vertical="center"/>
    </xf>
    <xf numFmtId="0" fontId="8" fillId="3" borderId="1" xfId="0" applyFont="1" applyFill="1" applyBorder="1" applyAlignment="1">
      <alignment vertical="center"/>
    </xf>
    <xf numFmtId="1" fontId="8" fillId="3" borderId="1" xfId="0" applyNumberFormat="1" applyFont="1" applyFill="1" applyBorder="1" applyAlignment="1">
      <alignment horizontal="center" vertical="center"/>
    </xf>
    <xf numFmtId="164" fontId="15" fillId="3" borderId="0" xfId="0" applyNumberFormat="1" applyFont="1" applyFill="1"/>
    <xf numFmtId="0" fontId="3" fillId="3" borderId="2" xfId="0" applyFont="1" applyFill="1" applyBorder="1" applyAlignment="1">
      <alignment vertical="center"/>
    </xf>
    <xf numFmtId="0" fontId="8" fillId="3" borderId="1" xfId="0" applyFont="1" applyFill="1" applyBorder="1" applyAlignment="1">
      <alignment vertical="center" wrapText="1"/>
    </xf>
    <xf numFmtId="0" fontId="3" fillId="3" borderId="0" xfId="0" applyFont="1" applyFill="1" applyAlignment="1">
      <alignment vertical="center"/>
    </xf>
    <xf numFmtId="0" fontId="8" fillId="3" borderId="1" xfId="0" applyFont="1" applyFill="1" applyBorder="1" applyAlignment="1">
      <alignment horizontal="center" vertical="center"/>
    </xf>
    <xf numFmtId="1" fontId="3" fillId="3" borderId="13" xfId="0" applyNumberFormat="1" applyFont="1" applyFill="1" applyBorder="1" applyAlignment="1">
      <alignment horizontal="right" indent="2"/>
    </xf>
    <xf numFmtId="1" fontId="8" fillId="3" borderId="13" xfId="0" applyNumberFormat="1" applyFont="1" applyFill="1" applyBorder="1" applyAlignment="1">
      <alignment horizontal="right" indent="2"/>
    </xf>
    <xf numFmtId="1" fontId="3" fillId="3" borderId="6" xfId="0" applyNumberFormat="1" applyFont="1" applyFill="1" applyBorder="1" applyAlignment="1">
      <alignment horizontal="right" indent="2"/>
    </xf>
    <xf numFmtId="0" fontId="6" fillId="0" borderId="17" xfId="0" applyFont="1" applyBorder="1" applyAlignment="1">
      <alignment horizontal="left"/>
    </xf>
    <xf numFmtId="0" fontId="6" fillId="3" borderId="6" xfId="0" applyFont="1" applyFill="1" applyBorder="1"/>
    <xf numFmtId="2" fontId="6" fillId="3" borderId="0" xfId="0" applyNumberFormat="1" applyFont="1" applyFill="1"/>
    <xf numFmtId="3" fontId="3" fillId="3" borderId="5" xfId="0" applyNumberFormat="1" applyFont="1" applyFill="1" applyBorder="1" applyAlignment="1">
      <alignment horizontal="right" indent="1"/>
    </xf>
    <xf numFmtId="1" fontId="3" fillId="3" borderId="13" xfId="0" applyNumberFormat="1" applyFont="1" applyFill="1" applyBorder="1" applyAlignment="1">
      <alignment horizontal="right" indent="1"/>
    </xf>
    <xf numFmtId="164" fontId="3" fillId="3" borderId="6" xfId="0" applyNumberFormat="1" applyFont="1" applyFill="1" applyBorder="1" applyAlignment="1">
      <alignment horizontal="right" indent="1"/>
    </xf>
    <xf numFmtId="166" fontId="3" fillId="3" borderId="11" xfId="0" applyNumberFormat="1" applyFont="1" applyFill="1" applyBorder="1" applyAlignment="1">
      <alignment horizontal="right" indent="1"/>
    </xf>
    <xf numFmtId="165" fontId="3" fillId="3" borderId="19" xfId="0" applyNumberFormat="1" applyFont="1" applyFill="1" applyBorder="1" applyAlignment="1">
      <alignment horizontal="right" indent="1"/>
    </xf>
    <xf numFmtId="166" fontId="3" fillId="3" borderId="19" xfId="0" applyNumberFormat="1" applyFont="1" applyFill="1" applyBorder="1" applyAlignment="1">
      <alignment horizontal="right" indent="1"/>
    </xf>
    <xf numFmtId="165" fontId="3" fillId="3" borderId="16" xfId="0" applyNumberFormat="1" applyFont="1" applyFill="1" applyBorder="1" applyAlignment="1">
      <alignment horizontal="right" indent="1"/>
    </xf>
    <xf numFmtId="3" fontId="6" fillId="3" borderId="5" xfId="0" applyNumberFormat="1" applyFont="1" applyFill="1" applyBorder="1" applyAlignment="1">
      <alignment horizontal="center" vertical="center"/>
    </xf>
    <xf numFmtId="1" fontId="6" fillId="3" borderId="0" xfId="0" applyNumberFormat="1" applyFont="1" applyFill="1"/>
    <xf numFmtId="0" fontId="6" fillId="3" borderId="14" xfId="0" applyFont="1" applyFill="1" applyBorder="1" applyAlignment="1">
      <alignment vertical="center"/>
    </xf>
    <xf numFmtId="3" fontId="6" fillId="3" borderId="13" xfId="0" applyNumberFormat="1" applyFont="1" applyFill="1" applyBorder="1" applyAlignment="1">
      <alignment horizontal="center" vertical="center"/>
    </xf>
    <xf numFmtId="164" fontId="6" fillId="3" borderId="13" xfId="0" applyNumberFormat="1" applyFont="1" applyFill="1" applyBorder="1" applyAlignment="1">
      <alignment horizontal="center" vertical="center"/>
    </xf>
    <xf numFmtId="0" fontId="3" fillId="3" borderId="14" xfId="0" applyFont="1" applyFill="1" applyBorder="1" applyAlignment="1">
      <alignment vertical="center"/>
    </xf>
    <xf numFmtId="0" fontId="6" fillId="3" borderId="16" xfId="0" applyFont="1" applyFill="1" applyBorder="1" applyAlignment="1">
      <alignment vertical="center"/>
    </xf>
    <xf numFmtId="3" fontId="6" fillId="3" borderId="6" xfId="0" applyNumberFormat="1" applyFont="1" applyFill="1" applyBorder="1" applyAlignment="1">
      <alignment horizontal="center" vertical="center"/>
    </xf>
    <xf numFmtId="164" fontId="6" fillId="3" borderId="6" xfId="0" applyNumberFormat="1" applyFont="1" applyFill="1" applyBorder="1" applyAlignment="1">
      <alignment horizontal="center" vertical="center"/>
    </xf>
    <xf numFmtId="3" fontId="5" fillId="3" borderId="6" xfId="0" applyNumberFormat="1" applyFont="1" applyFill="1" applyBorder="1" applyAlignment="1">
      <alignment horizontal="center" vertical="center"/>
    </xf>
    <xf numFmtId="164" fontId="5" fillId="3" borderId="6" xfId="0" applyNumberFormat="1" applyFont="1" applyFill="1" applyBorder="1" applyAlignment="1">
      <alignment horizontal="center" vertical="center"/>
    </xf>
    <xf numFmtId="1" fontId="8" fillId="3" borderId="6" xfId="0" applyNumberFormat="1" applyFont="1" applyFill="1" applyBorder="1" applyAlignment="1">
      <alignment horizontal="right" vertical="center" indent="3"/>
    </xf>
    <xf numFmtId="166" fontId="6" fillId="3" borderId="11" xfId="0" applyNumberFormat="1" applyFont="1" applyFill="1" applyBorder="1" applyAlignment="1">
      <alignment horizontal="right" indent="1"/>
    </xf>
    <xf numFmtId="165" fontId="6" fillId="3" borderId="19" xfId="0" applyNumberFormat="1" applyFont="1" applyFill="1" applyBorder="1" applyAlignment="1">
      <alignment horizontal="right" indent="1"/>
    </xf>
    <xf numFmtId="166" fontId="6" fillId="3" borderId="19" xfId="0" applyNumberFormat="1" applyFont="1" applyFill="1" applyBorder="1" applyAlignment="1">
      <alignment horizontal="right" indent="1"/>
    </xf>
    <xf numFmtId="0" fontId="6" fillId="3" borderId="19" xfId="0" applyFont="1" applyFill="1" applyBorder="1"/>
    <xf numFmtId="1" fontId="13" fillId="3" borderId="0" xfId="0" applyNumberFormat="1" applyFont="1" applyFill="1"/>
    <xf numFmtId="0" fontId="6" fillId="3" borderId="1" xfId="0" applyFont="1" applyFill="1" applyBorder="1"/>
    <xf numFmtId="3" fontId="6" fillId="3" borderId="3" xfId="0" applyNumberFormat="1" applyFont="1" applyFill="1" applyBorder="1" applyAlignment="1">
      <alignment horizontal="right" vertical="center"/>
    </xf>
    <xf numFmtId="3" fontId="6" fillId="3" borderId="4" xfId="0" applyNumberFormat="1" applyFont="1" applyFill="1" applyBorder="1"/>
    <xf numFmtId="3" fontId="6" fillId="3" borderId="1" xfId="0" applyNumberFormat="1" applyFont="1" applyFill="1" applyBorder="1"/>
    <xf numFmtId="0" fontId="16" fillId="3" borderId="0" xfId="0" applyFont="1" applyFill="1"/>
    <xf numFmtId="0" fontId="17" fillId="3" borderId="0" xfId="0" applyFont="1" applyFill="1"/>
    <xf numFmtId="0" fontId="6" fillId="0" borderId="0" xfId="0" applyFont="1"/>
    <xf numFmtId="165" fontId="6" fillId="3" borderId="0" xfId="0" applyNumberFormat="1" applyFont="1" applyFill="1" applyBorder="1" applyAlignment="1">
      <alignment horizontal="right" indent="1"/>
    </xf>
    <xf numFmtId="3" fontId="6" fillId="3" borderId="0" xfId="0" applyNumberFormat="1" applyFont="1" applyFill="1" applyBorder="1" applyAlignment="1">
      <alignment horizontal="right" vertical="center"/>
    </xf>
    <xf numFmtId="3" fontId="6" fillId="3" borderId="0" xfId="0" applyNumberFormat="1" applyFont="1" applyFill="1" applyBorder="1"/>
    <xf numFmtId="0" fontId="5" fillId="3" borderId="0" xfId="0" applyFont="1" applyFill="1" applyAlignment="1">
      <alignment horizontal="center" vertical="center"/>
    </xf>
    <xf numFmtId="0" fontId="6" fillId="3" borderId="1" xfId="0" applyFont="1" applyFill="1" applyBorder="1" applyAlignment="1">
      <alignment horizontal="center" vertical="center"/>
    </xf>
    <xf numFmtId="0" fontId="18" fillId="3" borderId="1" xfId="3" applyFont="1" applyFill="1" applyBorder="1" applyAlignment="1">
      <alignment horizontal="center" vertical="center" wrapText="1"/>
    </xf>
    <xf numFmtId="0" fontId="18" fillId="2" borderId="1" xfId="3" applyFont="1" applyFill="1" applyBorder="1" applyAlignment="1">
      <alignment horizontal="center"/>
    </xf>
    <xf numFmtId="0" fontId="18" fillId="2" borderId="4" xfId="3" applyFont="1" applyFill="1" applyBorder="1" applyAlignment="1">
      <alignment horizontal="center"/>
    </xf>
    <xf numFmtId="0" fontId="6" fillId="2" borderId="4" xfId="0" applyFont="1" applyFill="1" applyBorder="1"/>
    <xf numFmtId="0" fontId="6" fillId="3" borderId="15" xfId="0" applyFont="1" applyFill="1" applyBorder="1" applyAlignment="1">
      <alignment horizontal="center"/>
    </xf>
    <xf numFmtId="0" fontId="18" fillId="2" borderId="1" xfId="4" applyFont="1" applyFill="1" applyBorder="1" applyAlignment="1">
      <alignment horizontal="center"/>
    </xf>
    <xf numFmtId="0" fontId="18" fillId="2" borderId="3" xfId="4" applyFont="1" applyFill="1" applyBorder="1" applyAlignment="1">
      <alignment horizontal="center"/>
    </xf>
    <xf numFmtId="0" fontId="6" fillId="2" borderId="1" xfId="0" applyFont="1" applyFill="1" applyBorder="1"/>
    <xf numFmtId="0" fontId="18" fillId="2" borderId="4" xfId="4" applyFont="1" applyFill="1" applyBorder="1" applyAlignment="1">
      <alignment horizontal="center"/>
    </xf>
    <xf numFmtId="0" fontId="6" fillId="3" borderId="5" xfId="0" applyFont="1" applyFill="1" applyBorder="1" applyAlignment="1">
      <alignment horizontal="center"/>
    </xf>
    <xf numFmtId="0" fontId="6" fillId="3" borderId="13" xfId="0" applyFont="1" applyFill="1" applyBorder="1" applyAlignment="1">
      <alignment horizontal="center"/>
    </xf>
    <xf numFmtId="0" fontId="6" fillId="3" borderId="6" xfId="0" applyFont="1" applyFill="1" applyBorder="1" applyAlignment="1">
      <alignment horizontal="center"/>
    </xf>
    <xf numFmtId="0" fontId="19" fillId="3" borderId="0" xfId="4" applyFont="1" applyFill="1" applyBorder="1" applyAlignment="1"/>
    <xf numFmtId="0" fontId="20" fillId="3" borderId="11" xfId="0" applyFont="1" applyFill="1" applyBorder="1"/>
    <xf numFmtId="0" fontId="6" fillId="3" borderId="18" xfId="0" applyFont="1" applyFill="1" applyBorder="1"/>
    <xf numFmtId="0" fontId="6" fillId="3" borderId="12" xfId="0" applyFont="1" applyFill="1" applyBorder="1"/>
    <xf numFmtId="0" fontId="20" fillId="3" borderId="19" xfId="0" applyFont="1" applyFill="1" applyBorder="1"/>
    <xf numFmtId="0" fontId="6" fillId="3" borderId="15" xfId="0" applyFont="1" applyFill="1" applyBorder="1"/>
    <xf numFmtId="0" fontId="5" fillId="3" borderId="19" xfId="0" applyFont="1" applyFill="1" applyBorder="1" applyAlignment="1">
      <alignment horizontal="justify" vertical="center"/>
    </xf>
    <xf numFmtId="0" fontId="6" fillId="3" borderId="19" xfId="0" applyFont="1" applyFill="1" applyBorder="1" applyAlignment="1">
      <alignment horizontal="justify" vertical="center"/>
    </xf>
    <xf numFmtId="0" fontId="6" fillId="3" borderId="19" xfId="0" applyFont="1" applyFill="1" applyBorder="1" applyAlignment="1">
      <alignment horizontal="left" wrapText="1"/>
    </xf>
    <xf numFmtId="0" fontId="6" fillId="3" borderId="0" xfId="0" applyFont="1" applyFill="1" applyAlignment="1">
      <alignment horizontal="left" wrapText="1"/>
    </xf>
    <xf numFmtId="0" fontId="6" fillId="3" borderId="15" xfId="0" applyFont="1" applyFill="1" applyBorder="1" applyAlignment="1">
      <alignment horizontal="left" wrapText="1"/>
    </xf>
    <xf numFmtId="0" fontId="6" fillId="3" borderId="19" xfId="0" applyFont="1" applyFill="1" applyBorder="1" applyAlignment="1">
      <alignment horizontal="center"/>
    </xf>
    <xf numFmtId="0" fontId="6" fillId="3" borderId="15" xfId="0" applyFont="1" applyFill="1" applyBorder="1" applyAlignment="1">
      <alignment wrapText="1"/>
    </xf>
    <xf numFmtId="0" fontId="19" fillId="3" borderId="13" xfId="4" applyFont="1" applyFill="1" applyBorder="1"/>
    <xf numFmtId="0" fontId="19" fillId="3" borderId="6" xfId="4" applyFont="1" applyFill="1" applyBorder="1"/>
    <xf numFmtId="165" fontId="3" fillId="3" borderId="0" xfId="0" applyNumberFormat="1" applyFont="1" applyFill="1" applyBorder="1" applyAlignment="1">
      <alignment horizontal="right" indent="1"/>
    </xf>
    <xf numFmtId="0" fontId="5" fillId="3" borderId="0" xfId="0" applyFont="1" applyFill="1" applyBorder="1" applyAlignment="1">
      <alignment vertical="center"/>
    </xf>
    <xf numFmtId="3" fontId="5" fillId="3" borderId="0" xfId="0" applyNumberFormat="1" applyFont="1" applyFill="1" applyBorder="1" applyAlignment="1">
      <alignment horizontal="center" vertical="center"/>
    </xf>
    <xf numFmtId="164" fontId="5" fillId="3" borderId="0" xfId="0" applyNumberFormat="1" applyFont="1" applyFill="1" applyBorder="1" applyAlignment="1">
      <alignment horizontal="center" vertical="center"/>
    </xf>
    <xf numFmtId="1" fontId="8" fillId="3" borderId="0" xfId="0" applyNumberFormat="1" applyFont="1" applyFill="1" applyBorder="1" applyAlignment="1">
      <alignment horizontal="right" vertical="center" indent="3"/>
    </xf>
    <xf numFmtId="0" fontId="5" fillId="3" borderId="0" xfId="0" applyFont="1" applyFill="1" applyBorder="1" applyAlignment="1">
      <alignment horizontal="left"/>
    </xf>
    <xf numFmtId="1" fontId="5" fillId="3" borderId="0" xfId="0" applyNumberFormat="1" applyFont="1" applyFill="1" applyBorder="1" applyAlignment="1">
      <alignment horizontal="right" indent="3"/>
    </xf>
    <xf numFmtId="1" fontId="5" fillId="4" borderId="0" xfId="0" applyNumberFormat="1" applyFont="1" applyFill="1" applyBorder="1" applyAlignment="1">
      <alignment horizontal="right" indent="3"/>
    </xf>
    <xf numFmtId="0" fontId="6" fillId="3" borderId="0" xfId="0" applyFont="1" applyFill="1" applyBorder="1" applyAlignment="1">
      <alignment horizontal="left"/>
    </xf>
    <xf numFmtId="1" fontId="6" fillId="3" borderId="0" xfId="0" applyNumberFormat="1" applyFont="1" applyFill="1" applyBorder="1"/>
    <xf numFmtId="1" fontId="3" fillId="3" borderId="0" xfId="0" applyNumberFormat="1" applyFont="1" applyFill="1" applyBorder="1" applyAlignment="1">
      <alignment horizontal="right" indent="2"/>
    </xf>
    <xf numFmtId="0" fontId="8" fillId="3" borderId="0" xfId="0" applyFont="1" applyFill="1" applyBorder="1" applyAlignment="1">
      <alignment vertical="center" wrapText="1"/>
    </xf>
    <xf numFmtId="1" fontId="8" fillId="3" borderId="0" xfId="0" applyNumberFormat="1" applyFont="1" applyFill="1" applyBorder="1" applyAlignment="1">
      <alignment horizontal="right" vertical="center" indent="4"/>
    </xf>
    <xf numFmtId="0" fontId="3" fillId="3" borderId="18" xfId="0" applyFont="1" applyFill="1" applyBorder="1" applyAlignment="1">
      <alignment vertical="center"/>
    </xf>
    <xf numFmtId="0" fontId="3" fillId="3" borderId="0" xfId="0" applyFont="1" applyFill="1" applyBorder="1" applyAlignment="1">
      <alignment horizontal="center" vertical="center"/>
    </xf>
    <xf numFmtId="0" fontId="3" fillId="3" borderId="0" xfId="0" applyFont="1" applyFill="1" applyBorder="1" applyAlignment="1">
      <alignment horizontal="left" vertical="center"/>
    </xf>
    <xf numFmtId="1" fontId="3" fillId="3" borderId="0" xfId="0" applyNumberFormat="1" applyFont="1" applyFill="1" applyBorder="1" applyAlignment="1">
      <alignment horizontal="right" vertical="center" indent="2"/>
    </xf>
    <xf numFmtId="3" fontId="6" fillId="0" borderId="1" xfId="0" applyNumberFormat="1" applyFont="1" applyFill="1" applyBorder="1" applyAlignment="1">
      <alignment horizontal="right" vertical="center"/>
    </xf>
    <xf numFmtId="3" fontId="6" fillId="0" borderId="9" xfId="0" applyNumberFormat="1" applyFont="1" applyFill="1" applyBorder="1" applyAlignment="1">
      <alignment horizontal="right" vertical="center"/>
    </xf>
    <xf numFmtId="1" fontId="6" fillId="3" borderId="5" xfId="0" applyNumberFormat="1" applyFont="1" applyFill="1" applyBorder="1" applyAlignment="1">
      <alignment horizontal="right" vertical="center"/>
    </xf>
    <xf numFmtId="0" fontId="6" fillId="3" borderId="0" xfId="0" applyFont="1" applyFill="1" applyAlignment="1">
      <alignment vertical="center"/>
    </xf>
    <xf numFmtId="3" fontId="5" fillId="0" borderId="1" xfId="0" applyNumberFormat="1" applyFont="1" applyFill="1" applyBorder="1" applyAlignment="1">
      <alignment horizontal="right" vertical="center"/>
    </xf>
    <xf numFmtId="3" fontId="5" fillId="0" borderId="9" xfId="0" applyNumberFormat="1" applyFont="1" applyFill="1" applyBorder="1" applyAlignment="1">
      <alignment horizontal="right" vertical="center"/>
    </xf>
    <xf numFmtId="3" fontId="5" fillId="3" borderId="3" xfId="0" applyNumberFormat="1" applyFont="1" applyFill="1" applyBorder="1" applyAlignment="1">
      <alignment horizontal="right" vertical="center"/>
    </xf>
    <xf numFmtId="3" fontId="5" fillId="3" borderId="4" xfId="0" applyNumberFormat="1" applyFont="1" applyFill="1" applyBorder="1"/>
    <xf numFmtId="3" fontId="5" fillId="3" borderId="1" xfId="0" applyNumberFormat="1" applyFont="1" applyFill="1" applyBorder="1"/>
    <xf numFmtId="0" fontId="24" fillId="3" borderId="0" xfId="0" applyFont="1" applyFill="1"/>
    <xf numFmtId="0" fontId="3" fillId="3" borderId="6" xfId="0" applyFont="1" applyFill="1" applyBorder="1" applyAlignment="1">
      <alignment vertical="center"/>
    </xf>
    <xf numFmtId="3" fontId="6" fillId="3" borderId="8" xfId="0" applyNumberFormat="1" applyFont="1" applyFill="1" applyBorder="1" applyAlignment="1">
      <alignment horizontal="right" vertical="center" indent="1"/>
    </xf>
    <xf numFmtId="3" fontId="6" fillId="3" borderId="12" xfId="0" applyNumberFormat="1" applyFont="1" applyFill="1" applyBorder="1" applyAlignment="1">
      <alignment horizontal="right" vertical="center" indent="1"/>
    </xf>
    <xf numFmtId="3" fontId="6" fillId="3" borderId="11" xfId="0" applyNumberFormat="1" applyFont="1" applyFill="1" applyBorder="1" applyAlignment="1">
      <alignment horizontal="right" vertical="center" indent="1"/>
    </xf>
    <xf numFmtId="3" fontId="6" fillId="4" borderId="11" xfId="0" applyNumberFormat="1" applyFont="1" applyFill="1" applyBorder="1" applyAlignment="1">
      <alignment horizontal="right" vertical="center" indent="1"/>
    </xf>
    <xf numFmtId="3" fontId="6" fillId="4" borderId="12" xfId="0" applyNumberFormat="1" applyFont="1" applyFill="1" applyBorder="1" applyAlignment="1">
      <alignment horizontal="right" vertical="center" indent="1"/>
    </xf>
    <xf numFmtId="164" fontId="6" fillId="3" borderId="0" xfId="0" applyNumberFormat="1" applyFont="1" applyFill="1" applyAlignment="1">
      <alignment horizontal="right" vertical="center" indent="1"/>
    </xf>
    <xf numFmtId="164" fontId="6" fillId="3" borderId="15" xfId="0" applyNumberFormat="1" applyFont="1" applyFill="1" applyBorder="1" applyAlignment="1">
      <alignment horizontal="right" vertical="center" indent="1"/>
    </xf>
    <xf numFmtId="164" fontId="6" fillId="3" borderId="14" xfId="0" applyNumberFormat="1" applyFont="1" applyFill="1" applyBorder="1" applyAlignment="1">
      <alignment horizontal="right" vertical="center" indent="1"/>
    </xf>
    <xf numFmtId="164" fontId="6" fillId="4" borderId="14" xfId="0" applyNumberFormat="1" applyFont="1" applyFill="1" applyBorder="1" applyAlignment="1">
      <alignment horizontal="right" vertical="center" indent="1"/>
    </xf>
    <xf numFmtId="164" fontId="6" fillId="4" borderId="15" xfId="0" applyNumberFormat="1" applyFont="1" applyFill="1" applyBorder="1" applyAlignment="1">
      <alignment horizontal="right" vertical="center" indent="1"/>
    </xf>
    <xf numFmtId="1" fontId="6" fillId="3" borderId="0" xfId="0" applyNumberFormat="1" applyFont="1" applyFill="1" applyAlignment="1">
      <alignment horizontal="right" vertical="center" indent="1"/>
    </xf>
    <xf numFmtId="1" fontId="6" fillId="3" borderId="15" xfId="0" applyNumberFormat="1" applyFont="1" applyFill="1" applyBorder="1" applyAlignment="1">
      <alignment horizontal="right" vertical="center" indent="1"/>
    </xf>
    <xf numFmtId="1" fontId="6" fillId="3" borderId="14" xfId="0" applyNumberFormat="1" applyFont="1" applyFill="1" applyBorder="1" applyAlignment="1">
      <alignment horizontal="right" vertical="center" indent="1"/>
    </xf>
    <xf numFmtId="1" fontId="6" fillId="4" borderId="14" xfId="0" applyNumberFormat="1" applyFont="1" applyFill="1" applyBorder="1" applyAlignment="1">
      <alignment horizontal="right" vertical="center" indent="1"/>
    </xf>
    <xf numFmtId="1" fontId="6" fillId="4" borderId="15" xfId="0" applyNumberFormat="1" applyFont="1" applyFill="1" applyBorder="1" applyAlignment="1">
      <alignment horizontal="right" vertical="center" indent="1"/>
    </xf>
    <xf numFmtId="164" fontId="6" fillId="3" borderId="7" xfId="0" applyNumberFormat="1" applyFont="1" applyFill="1" applyBorder="1" applyAlignment="1">
      <alignment horizontal="right" vertical="center" indent="1"/>
    </xf>
    <xf numFmtId="164" fontId="6" fillId="3" borderId="10" xfId="0" applyNumberFormat="1" applyFont="1" applyFill="1" applyBorder="1" applyAlignment="1">
      <alignment horizontal="right" vertical="center" indent="1"/>
    </xf>
    <xf numFmtId="164" fontId="6" fillId="3" borderId="16" xfId="0" applyNumberFormat="1" applyFont="1" applyFill="1" applyBorder="1" applyAlignment="1">
      <alignment horizontal="right" vertical="center" indent="1"/>
    </xf>
    <xf numFmtId="164" fontId="6" fillId="4" borderId="16" xfId="0" applyNumberFormat="1" applyFont="1" applyFill="1" applyBorder="1" applyAlignment="1">
      <alignment horizontal="right" vertical="center" indent="1"/>
    </xf>
    <xf numFmtId="164" fontId="6" fillId="4" borderId="10" xfId="0" applyNumberFormat="1" applyFont="1" applyFill="1" applyBorder="1" applyAlignment="1">
      <alignment horizontal="right" vertical="center" indent="1"/>
    </xf>
    <xf numFmtId="166" fontId="6" fillId="3" borderId="11" xfId="0" applyNumberFormat="1" applyFont="1" applyFill="1" applyBorder="1" applyAlignment="1">
      <alignment horizontal="right" vertical="center" indent="1"/>
    </xf>
    <xf numFmtId="166" fontId="6" fillId="3" borderId="12" xfId="0" applyNumberFormat="1" applyFont="1" applyFill="1" applyBorder="1" applyAlignment="1">
      <alignment horizontal="right" vertical="center" indent="1"/>
    </xf>
    <xf numFmtId="165" fontId="6" fillId="3" borderId="19" xfId="0" applyNumberFormat="1" applyFont="1" applyFill="1" applyBorder="1" applyAlignment="1">
      <alignment horizontal="right" vertical="center" indent="1"/>
    </xf>
    <xf numFmtId="165" fontId="6" fillId="3" borderId="15" xfId="0" applyNumberFormat="1" applyFont="1" applyFill="1" applyBorder="1" applyAlignment="1">
      <alignment horizontal="right" vertical="center" indent="1"/>
    </xf>
    <xf numFmtId="166" fontId="6" fillId="3" borderId="19" xfId="0" applyNumberFormat="1" applyFont="1" applyFill="1" applyBorder="1" applyAlignment="1">
      <alignment horizontal="right" vertical="center" indent="1"/>
    </xf>
    <xf numFmtId="166" fontId="6" fillId="3" borderId="15" xfId="0" applyNumberFormat="1" applyFont="1" applyFill="1" applyBorder="1" applyAlignment="1">
      <alignment horizontal="right" vertical="center" indent="1"/>
    </xf>
    <xf numFmtId="165" fontId="6" fillId="3" borderId="16" xfId="0" applyNumberFormat="1" applyFont="1" applyFill="1" applyBorder="1" applyAlignment="1">
      <alignment horizontal="right" vertical="center" indent="1"/>
    </xf>
    <xf numFmtId="165" fontId="6" fillId="3" borderId="10" xfId="0" applyNumberFormat="1" applyFont="1" applyFill="1" applyBorder="1" applyAlignment="1">
      <alignment horizontal="right" vertical="center" inden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5" fillId="3" borderId="0" xfId="0" applyFont="1" applyFill="1" applyBorder="1" applyAlignment="1">
      <alignment horizontal="center" vertical="center" wrapText="1"/>
    </xf>
    <xf numFmtId="165" fontId="6" fillId="3" borderId="0" xfId="0" applyNumberFormat="1" applyFont="1" applyFill="1" applyBorder="1" applyAlignment="1">
      <alignment horizontal="right" vertical="center" indent="1"/>
    </xf>
    <xf numFmtId="3" fontId="6" fillId="4" borderId="5" xfId="0" applyNumberFormat="1" applyFont="1" applyFill="1" applyBorder="1" applyAlignment="1">
      <alignment horizontal="right" indent="1"/>
    </xf>
    <xf numFmtId="164" fontId="6" fillId="4" borderId="13" xfId="0" applyNumberFormat="1" applyFont="1" applyFill="1" applyBorder="1" applyAlignment="1">
      <alignment horizontal="right" indent="1"/>
    </xf>
    <xf numFmtId="1" fontId="6" fillId="4" borderId="13" xfId="0" applyNumberFormat="1" applyFont="1" applyFill="1" applyBorder="1" applyAlignment="1">
      <alignment horizontal="right" indent="1"/>
    </xf>
    <xf numFmtId="164" fontId="6" fillId="4" borderId="6" xfId="0" applyNumberFormat="1" applyFont="1" applyFill="1" applyBorder="1" applyAlignment="1">
      <alignment horizontal="right" indent="1"/>
    </xf>
    <xf numFmtId="165" fontId="6" fillId="4" borderId="13" xfId="0" applyNumberFormat="1" applyFont="1" applyFill="1" applyBorder="1" applyAlignment="1">
      <alignment horizontal="right" indent="1"/>
    </xf>
    <xf numFmtId="166" fontId="6" fillId="4" borderId="13" xfId="0" applyNumberFormat="1" applyFont="1" applyFill="1" applyBorder="1" applyAlignment="1">
      <alignment horizontal="right" indent="1"/>
    </xf>
    <xf numFmtId="166" fontId="6" fillId="4" borderId="5" xfId="0" applyNumberFormat="1" applyFont="1" applyFill="1" applyBorder="1" applyAlignment="1">
      <alignment horizontal="right" indent="1"/>
    </xf>
    <xf numFmtId="165" fontId="3" fillId="4" borderId="6" xfId="0" applyNumberFormat="1" applyFont="1" applyFill="1" applyBorder="1" applyAlignment="1">
      <alignment horizontal="right" indent="1"/>
    </xf>
    <xf numFmtId="0" fontId="24" fillId="3" borderId="0" xfId="0" applyFont="1" applyFill="1" applyAlignment="1">
      <alignment horizontal="left"/>
    </xf>
    <xf numFmtId="0" fontId="6" fillId="0" borderId="13" xfId="0" applyFont="1" applyBorder="1" applyAlignment="1">
      <alignment horizontal="left"/>
    </xf>
    <xf numFmtId="0" fontId="5" fillId="3" borderId="1" xfId="0" applyFont="1" applyFill="1" applyBorder="1" applyAlignment="1">
      <alignment horizontal="center" vertical="center" wrapText="1"/>
    </xf>
    <xf numFmtId="0" fontId="23" fillId="3" borderId="0" xfId="0" applyFont="1" applyFill="1" applyAlignment="1">
      <alignment horizontal="left"/>
    </xf>
    <xf numFmtId="0" fontId="24" fillId="3" borderId="0" xfId="0" applyFont="1" applyFill="1" applyAlignment="1">
      <alignment wrapText="1"/>
    </xf>
    <xf numFmtId="166" fontId="6" fillId="4" borderId="11" xfId="0" applyNumberFormat="1" applyFont="1" applyFill="1" applyBorder="1" applyAlignment="1">
      <alignment horizontal="right" vertical="center" indent="1"/>
    </xf>
    <xf numFmtId="166" fontId="6" fillId="4" borderId="12" xfId="0" applyNumberFormat="1" applyFont="1" applyFill="1" applyBorder="1" applyAlignment="1">
      <alignment horizontal="right" vertical="center" indent="1"/>
    </xf>
    <xf numFmtId="165" fontId="6" fillId="4" borderId="19" xfId="0" applyNumberFormat="1" applyFont="1" applyFill="1" applyBorder="1" applyAlignment="1">
      <alignment horizontal="right" vertical="center" indent="1"/>
    </xf>
    <xf numFmtId="165" fontId="6" fillId="4" borderId="15" xfId="0" applyNumberFormat="1" applyFont="1" applyFill="1" applyBorder="1" applyAlignment="1">
      <alignment horizontal="right" vertical="center" indent="1"/>
    </xf>
    <xf numFmtId="166" fontId="6" fillId="4" borderId="19" xfId="0" applyNumberFormat="1" applyFont="1" applyFill="1" applyBorder="1" applyAlignment="1">
      <alignment horizontal="right" vertical="center" indent="1"/>
    </xf>
    <xf numFmtId="166" fontId="6" fillId="4" borderId="15" xfId="0" applyNumberFormat="1" applyFont="1" applyFill="1" applyBorder="1" applyAlignment="1">
      <alignment horizontal="right" vertical="center" indent="1"/>
    </xf>
    <xf numFmtId="165" fontId="6" fillId="4" borderId="16" xfId="0" applyNumberFormat="1" applyFont="1" applyFill="1" applyBorder="1" applyAlignment="1">
      <alignment horizontal="right" vertical="center" indent="1"/>
    </xf>
    <xf numFmtId="165" fontId="6" fillId="4" borderId="10" xfId="0" applyNumberFormat="1" applyFont="1" applyFill="1" applyBorder="1" applyAlignment="1">
      <alignment horizontal="right" vertical="center" indent="1"/>
    </xf>
    <xf numFmtId="3" fontId="3" fillId="4" borderId="5" xfId="0" applyNumberFormat="1" applyFont="1" applyFill="1" applyBorder="1" applyAlignment="1">
      <alignment horizontal="right" indent="1"/>
    </xf>
    <xf numFmtId="1" fontId="3" fillId="4" borderId="13" xfId="0" applyNumberFormat="1" applyFont="1" applyFill="1" applyBorder="1" applyAlignment="1">
      <alignment horizontal="right" indent="1"/>
    </xf>
    <xf numFmtId="164" fontId="3" fillId="4" borderId="6" xfId="0" applyNumberFormat="1" applyFont="1" applyFill="1" applyBorder="1" applyAlignment="1">
      <alignment horizontal="right" indent="1"/>
    </xf>
    <xf numFmtId="166" fontId="3" fillId="4" borderId="5" xfId="0" applyNumberFormat="1" applyFont="1" applyFill="1" applyBorder="1" applyAlignment="1">
      <alignment horizontal="right" indent="1"/>
    </xf>
    <xf numFmtId="165" fontId="3" fillId="4" borderId="13" xfId="0" applyNumberFormat="1" applyFont="1" applyFill="1" applyBorder="1" applyAlignment="1">
      <alignment horizontal="right" indent="1"/>
    </xf>
    <xf numFmtId="166" fontId="3" fillId="4" borderId="13" xfId="0" applyNumberFormat="1" applyFont="1" applyFill="1" applyBorder="1" applyAlignment="1">
      <alignment horizontal="right" indent="1"/>
    </xf>
    <xf numFmtId="1" fontId="6" fillId="4" borderId="5" xfId="0" applyNumberFormat="1" applyFont="1" applyFill="1" applyBorder="1" applyAlignment="1">
      <alignment horizontal="right" vertical="center"/>
    </xf>
    <xf numFmtId="1" fontId="6" fillId="4" borderId="13" xfId="0" applyNumberFormat="1" applyFont="1" applyFill="1" applyBorder="1" applyAlignment="1">
      <alignment horizontal="right" vertical="center"/>
    </xf>
    <xf numFmtId="1" fontId="6" fillId="4" borderId="17" xfId="0" applyNumberFormat="1" applyFont="1" applyFill="1" applyBorder="1" applyAlignment="1">
      <alignment horizontal="right" vertical="center"/>
    </xf>
    <xf numFmtId="1" fontId="6" fillId="4" borderId="13" xfId="0" applyNumberFormat="1" applyFont="1" applyFill="1" applyBorder="1"/>
    <xf numFmtId="1" fontId="6" fillId="4" borderId="6" xfId="0" applyNumberFormat="1" applyFont="1" applyFill="1" applyBorder="1"/>
    <xf numFmtId="0" fontId="25" fillId="3" borderId="0" xfId="0" applyFont="1" applyFill="1"/>
    <xf numFmtId="0" fontId="26" fillId="3" borderId="0" xfId="0" applyFont="1" applyFill="1"/>
    <xf numFmtId="0" fontId="8" fillId="3" borderId="25" xfId="0" applyFont="1" applyFill="1" applyBorder="1" applyAlignment="1">
      <alignment horizontal="center" vertical="center"/>
    </xf>
    <xf numFmtId="0" fontId="8" fillId="3" borderId="18" xfId="0" applyFont="1" applyFill="1" applyBorder="1" applyAlignment="1">
      <alignment horizontal="center" vertical="center"/>
    </xf>
    <xf numFmtId="0" fontId="8" fillId="3" borderId="12" xfId="0" applyFont="1" applyFill="1" applyBorder="1" applyAlignment="1">
      <alignment horizontal="center" vertical="center"/>
    </xf>
    <xf numFmtId="1" fontId="3" fillId="3" borderId="25" xfId="0" applyNumberFormat="1" applyFont="1" applyFill="1" applyBorder="1" applyAlignment="1">
      <alignment horizontal="center" vertical="center"/>
    </xf>
    <xf numFmtId="1" fontId="3" fillId="3" borderId="24" xfId="0" applyNumberFormat="1" applyFont="1" applyFill="1" applyBorder="1" applyAlignment="1">
      <alignment horizontal="center" vertical="center"/>
    </xf>
    <xf numFmtId="1" fontId="3" fillId="3" borderId="0" xfId="0" applyNumberFormat="1" applyFont="1" applyFill="1" applyAlignment="1">
      <alignment horizontal="center" vertical="center"/>
    </xf>
    <xf numFmtId="0" fontId="8" fillId="3" borderId="13" xfId="0" applyFont="1" applyFill="1" applyBorder="1" applyAlignment="1">
      <alignment vertical="center"/>
    </xf>
    <xf numFmtId="1" fontId="8" fillId="3" borderId="13" xfId="0" applyNumberFormat="1" applyFont="1" applyFill="1" applyBorder="1" applyAlignment="1">
      <alignment horizontal="center" vertical="center"/>
    </xf>
    <xf numFmtId="1" fontId="8" fillId="3" borderId="24" xfId="0" applyNumberFormat="1" applyFont="1" applyFill="1" applyBorder="1" applyAlignment="1">
      <alignment horizontal="center" vertical="center"/>
    </xf>
    <xf numFmtId="1" fontId="8" fillId="3" borderId="0" xfId="0" applyNumberFormat="1" applyFont="1" applyFill="1" applyAlignment="1">
      <alignment horizontal="center" vertical="center"/>
    </xf>
    <xf numFmtId="1" fontId="8" fillId="3" borderId="15" xfId="0" applyNumberFormat="1" applyFont="1" applyFill="1" applyBorder="1" applyAlignment="1">
      <alignment horizontal="center" vertical="center"/>
    </xf>
    <xf numFmtId="0" fontId="3" fillId="3" borderId="1" xfId="0" applyFont="1" applyFill="1" applyBorder="1" applyAlignment="1">
      <alignment vertical="center"/>
    </xf>
    <xf numFmtId="1" fontId="3" fillId="3" borderId="9" xfId="0" applyNumberFormat="1" applyFont="1" applyFill="1" applyBorder="1" applyAlignment="1">
      <alignment horizontal="center" vertical="center"/>
    </xf>
    <xf numFmtId="1" fontId="3" fillId="3" borderId="3" xfId="0" applyNumberFormat="1" applyFont="1" applyFill="1" applyBorder="1" applyAlignment="1">
      <alignment horizontal="center" vertical="center"/>
    </xf>
    <xf numFmtId="1" fontId="3" fillId="3" borderId="4" xfId="0" applyNumberFormat="1" applyFont="1" applyFill="1" applyBorder="1" applyAlignment="1">
      <alignment horizontal="center" vertical="center"/>
    </xf>
    <xf numFmtId="0" fontId="27" fillId="3" borderId="0" xfId="0" applyFont="1" applyFill="1"/>
    <xf numFmtId="0" fontId="28" fillId="3" borderId="0" xfId="0" applyFont="1" applyFill="1"/>
    <xf numFmtId="0" fontId="3" fillId="3" borderId="5" xfId="0" applyFont="1" applyFill="1" applyBorder="1" applyAlignment="1">
      <alignment wrapText="1"/>
    </xf>
    <xf numFmtId="0" fontId="8" fillId="3" borderId="12" xfId="0" applyFont="1" applyFill="1" applyBorder="1" applyAlignment="1">
      <alignment horizontal="center" vertical="center" wrapText="1"/>
    </xf>
    <xf numFmtId="0" fontId="5" fillId="3" borderId="5" xfId="0" applyFont="1" applyFill="1" applyBorder="1" applyAlignment="1">
      <alignment vertical="center" wrapText="1"/>
    </xf>
    <xf numFmtId="0" fontId="5" fillId="4" borderId="5" xfId="0" applyFont="1" applyFill="1" applyBorder="1" applyAlignment="1">
      <alignment horizontal="center" vertical="center" wrapText="1"/>
    </xf>
    <xf numFmtId="0" fontId="5" fillId="3" borderId="12" xfId="0" applyFont="1" applyFill="1" applyBorder="1" applyAlignment="1">
      <alignment horizontal="center" vertical="center" wrapText="1"/>
    </xf>
    <xf numFmtId="1" fontId="6" fillId="3" borderId="13" xfId="0" applyNumberFormat="1" applyFont="1" applyFill="1" applyBorder="1" applyAlignment="1">
      <alignment horizontal="center" vertical="center"/>
    </xf>
    <xf numFmtId="1" fontId="6" fillId="4" borderId="13" xfId="0" applyNumberFormat="1" applyFont="1" applyFill="1" applyBorder="1" applyAlignment="1">
      <alignment horizontal="center" vertical="center"/>
    </xf>
    <xf numFmtId="1" fontId="6" fillId="3" borderId="15" xfId="0" applyNumberFormat="1" applyFont="1" applyFill="1" applyBorder="1" applyAlignment="1">
      <alignment horizontal="center" vertical="center"/>
    </xf>
    <xf numFmtId="1" fontId="6" fillId="3" borderId="6" xfId="0" applyNumberFormat="1" applyFont="1" applyFill="1" applyBorder="1" applyAlignment="1">
      <alignment horizontal="center" vertical="center"/>
    </xf>
    <xf numFmtId="1" fontId="6" fillId="4" borderId="6" xfId="0" applyNumberFormat="1" applyFont="1" applyFill="1" applyBorder="1" applyAlignment="1">
      <alignment horizontal="center" vertical="center"/>
    </xf>
    <xf numFmtId="1" fontId="6" fillId="3" borderId="10" xfId="0" applyNumberFormat="1" applyFont="1" applyFill="1" applyBorder="1" applyAlignment="1">
      <alignment horizontal="center" vertical="center"/>
    </xf>
    <xf numFmtId="0" fontId="5" fillId="3" borderId="5" xfId="0" applyFont="1" applyFill="1" applyBorder="1" applyAlignment="1">
      <alignment vertical="center"/>
    </xf>
    <xf numFmtId="1" fontId="6" fillId="3" borderId="5" xfId="0" applyNumberFormat="1" applyFont="1" applyFill="1" applyBorder="1" applyAlignment="1">
      <alignment horizontal="center" vertical="center"/>
    </xf>
    <xf numFmtId="1" fontId="6" fillId="4" borderId="5" xfId="0" applyNumberFormat="1" applyFont="1" applyFill="1" applyBorder="1" applyAlignment="1">
      <alignment horizontal="center" vertical="center"/>
    </xf>
    <xf numFmtId="1" fontId="6" fillId="3" borderId="12" xfId="0" applyNumberFormat="1" applyFont="1" applyFill="1" applyBorder="1" applyAlignment="1">
      <alignment horizontal="center" vertical="center"/>
    </xf>
    <xf numFmtId="0" fontId="5" fillId="3" borderId="1" xfId="0" applyFont="1" applyFill="1" applyBorder="1" applyAlignment="1">
      <alignment vertical="center"/>
    </xf>
    <xf numFmtId="1" fontId="5" fillId="3" borderId="1" xfId="0" applyNumberFormat="1" applyFont="1" applyFill="1" applyBorder="1" applyAlignment="1">
      <alignment horizontal="center" vertical="center"/>
    </xf>
    <xf numFmtId="1" fontId="5" fillId="4" borderId="1" xfId="0" applyNumberFormat="1" applyFont="1" applyFill="1" applyBorder="1" applyAlignment="1">
      <alignment horizontal="center" vertical="center"/>
    </xf>
    <xf numFmtId="1" fontId="5" fillId="3" borderId="4" xfId="0" applyNumberFormat="1" applyFont="1" applyFill="1" applyBorder="1" applyAlignment="1">
      <alignment horizontal="center" vertical="center"/>
    </xf>
    <xf numFmtId="0" fontId="5" fillId="3" borderId="1" xfId="0" applyFont="1" applyFill="1" applyBorder="1" applyAlignment="1">
      <alignment horizontal="center" vertical="top" wrapText="1"/>
    </xf>
    <xf numFmtId="0" fontId="6" fillId="3" borderId="17" xfId="0" applyFont="1" applyFill="1" applyBorder="1" applyAlignment="1">
      <alignment horizontal="left"/>
    </xf>
    <xf numFmtId="0" fontId="29" fillId="3" borderId="0" xfId="0" applyFont="1" applyFill="1"/>
    <xf numFmtId="0" fontId="5" fillId="3" borderId="9"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1" xfId="0" quotePrefix="1" applyFont="1" applyFill="1" applyBorder="1" applyAlignment="1">
      <alignment horizontal="center" vertical="center"/>
    </xf>
    <xf numFmtId="164" fontId="3" fillId="3" borderId="13" xfId="0" applyNumberFormat="1" applyFont="1" applyFill="1" applyBorder="1" applyAlignment="1">
      <alignment horizontal="right" vertical="center"/>
    </xf>
    <xf numFmtId="164" fontId="3" fillId="3" borderId="24" xfId="0" applyNumberFormat="1" applyFont="1" applyFill="1" applyBorder="1" applyAlignment="1">
      <alignment horizontal="right" vertical="center"/>
    </xf>
    <xf numFmtId="164" fontId="3" fillId="3" borderId="0" xfId="0" applyNumberFormat="1" applyFont="1" applyFill="1" applyAlignment="1">
      <alignment horizontal="right" vertical="center"/>
    </xf>
    <xf numFmtId="164" fontId="3" fillId="3" borderId="15" xfId="0" applyNumberFormat="1" applyFont="1" applyFill="1" applyBorder="1"/>
    <xf numFmtId="164" fontId="3" fillId="3" borderId="13" xfId="0" applyNumberFormat="1" applyFont="1" applyFill="1" applyBorder="1"/>
    <xf numFmtId="164" fontId="6" fillId="3" borderId="13" xfId="0" applyNumberFormat="1" applyFont="1" applyFill="1" applyBorder="1"/>
    <xf numFmtId="164" fontId="30" fillId="3" borderId="0" xfId="0" applyNumberFormat="1" applyFont="1" applyFill="1"/>
    <xf numFmtId="164" fontId="8" fillId="3" borderId="13" xfId="0" applyNumberFormat="1" applyFont="1" applyFill="1" applyBorder="1" applyAlignment="1">
      <alignment horizontal="right" vertical="center"/>
    </xf>
    <xf numFmtId="164" fontId="8" fillId="3" borderId="24" xfId="0" applyNumberFormat="1" applyFont="1" applyFill="1" applyBorder="1" applyAlignment="1">
      <alignment horizontal="right" vertical="center"/>
    </xf>
    <xf numFmtId="164" fontId="8" fillId="3" borderId="0" xfId="0" applyNumberFormat="1" applyFont="1" applyFill="1" applyAlignment="1">
      <alignment horizontal="right" vertical="center"/>
    </xf>
    <xf numFmtId="164" fontId="8" fillId="3" borderId="15" xfId="0" applyNumberFormat="1" applyFont="1" applyFill="1" applyBorder="1"/>
    <xf numFmtId="164" fontId="8" fillId="3" borderId="13" xfId="0" applyNumberFormat="1" applyFont="1" applyFill="1" applyBorder="1"/>
    <xf numFmtId="164" fontId="5" fillId="3" borderId="13" xfId="0" applyNumberFormat="1" applyFont="1" applyFill="1" applyBorder="1"/>
    <xf numFmtId="164" fontId="3" fillId="3" borderId="1" xfId="0" applyNumberFormat="1" applyFont="1" applyFill="1" applyBorder="1" applyAlignment="1">
      <alignment horizontal="right" vertical="center"/>
    </xf>
    <xf numFmtId="164" fontId="3" fillId="3" borderId="9" xfId="0" applyNumberFormat="1" applyFont="1" applyFill="1" applyBorder="1" applyAlignment="1">
      <alignment horizontal="right" vertical="center"/>
    </xf>
    <xf numFmtId="164" fontId="3" fillId="3" borderId="3" xfId="0" applyNumberFormat="1" applyFont="1" applyFill="1" applyBorder="1" applyAlignment="1">
      <alignment horizontal="right" vertical="center"/>
    </xf>
    <xf numFmtId="164" fontId="3" fillId="3" borderId="4" xfId="0" applyNumberFormat="1" applyFont="1" applyFill="1" applyBorder="1"/>
    <xf numFmtId="164" fontId="3" fillId="3" borderId="1" xfId="0" applyNumberFormat="1" applyFont="1" applyFill="1" applyBorder="1"/>
    <xf numFmtId="164" fontId="6" fillId="3" borderId="1" xfId="0" applyNumberFormat="1" applyFont="1" applyFill="1" applyBorder="1"/>
    <xf numFmtId="164" fontId="26" fillId="3" borderId="0" xfId="0" applyNumberFormat="1" applyFont="1" applyFill="1"/>
    <xf numFmtId="0" fontId="24" fillId="0" borderId="0" xfId="0" applyFont="1"/>
    <xf numFmtId="0" fontId="31" fillId="3" borderId="0" xfId="0" applyFont="1" applyFill="1"/>
    <xf numFmtId="0" fontId="32" fillId="3" borderId="0" xfId="0" applyFont="1" applyFill="1"/>
    <xf numFmtId="0" fontId="33" fillId="3" borderId="0" xfId="0" applyFont="1" applyFill="1"/>
    <xf numFmtId="1" fontId="5" fillId="3" borderId="0" xfId="0" applyNumberFormat="1" applyFont="1" applyFill="1" applyAlignment="1">
      <alignment horizontal="center" vertical="center" wrapText="1"/>
    </xf>
    <xf numFmtId="1" fontId="8" fillId="3" borderId="1" xfId="0" applyNumberFormat="1" applyFont="1" applyFill="1" applyBorder="1" applyAlignment="1">
      <alignment horizontal="center" vertical="center" wrapText="1"/>
    </xf>
    <xf numFmtId="1" fontId="8" fillId="4" borderId="1" xfId="0" applyNumberFormat="1" applyFont="1" applyFill="1" applyBorder="1" applyAlignment="1">
      <alignment horizontal="center" vertical="center" wrapText="1"/>
    </xf>
    <xf numFmtId="1" fontId="5" fillId="3" borderId="5" xfId="0" applyNumberFormat="1" applyFont="1" applyFill="1" applyBorder="1" applyAlignment="1">
      <alignment horizontal="left" vertical="center" wrapText="1"/>
    </xf>
    <xf numFmtId="1" fontId="5" fillId="3" borderId="13" xfId="0" applyNumberFormat="1" applyFont="1" applyFill="1" applyBorder="1" applyAlignment="1">
      <alignment horizontal="center" vertical="center" wrapText="1"/>
    </xf>
    <xf numFmtId="1" fontId="5" fillId="4" borderId="13" xfId="0" applyNumberFormat="1" applyFont="1" applyFill="1" applyBorder="1" applyAlignment="1">
      <alignment horizontal="center" vertical="center" wrapText="1"/>
    </xf>
    <xf numFmtId="1" fontId="6" fillId="3" borderId="13" xfId="0" applyNumberFormat="1" applyFont="1" applyFill="1" applyBorder="1" applyAlignment="1">
      <alignment vertical="center"/>
    </xf>
    <xf numFmtId="164" fontId="6" fillId="3" borderId="13" xfId="0" applyNumberFormat="1" applyFont="1" applyFill="1" applyBorder="1" applyAlignment="1">
      <alignment horizontal="right" vertical="center" indent="2"/>
    </xf>
    <xf numFmtId="164" fontId="6" fillId="4" borderId="13" xfId="0" applyNumberFormat="1" applyFont="1" applyFill="1" applyBorder="1" applyAlignment="1">
      <alignment horizontal="right" vertical="center" indent="2"/>
    </xf>
    <xf numFmtId="164" fontId="34" fillId="3" borderId="0" xfId="0" applyNumberFormat="1" applyFont="1" applyFill="1"/>
    <xf numFmtId="1" fontId="5" fillId="3" borderId="5" xfId="0" applyNumberFormat="1" applyFont="1" applyFill="1" applyBorder="1" applyAlignment="1">
      <alignment vertical="center"/>
    </xf>
    <xf numFmtId="164" fontId="6" fillId="4" borderId="5" xfId="0" applyNumberFormat="1" applyFont="1" applyFill="1" applyBorder="1" applyAlignment="1">
      <alignment horizontal="center" vertical="center"/>
    </xf>
    <xf numFmtId="164" fontId="6" fillId="3" borderId="6" xfId="0" applyNumberFormat="1" applyFont="1" applyFill="1" applyBorder="1" applyAlignment="1">
      <alignment horizontal="right" vertical="center" indent="2"/>
    </xf>
    <xf numFmtId="164" fontId="6" fillId="4" borderId="6" xfId="0" applyNumberFormat="1" applyFont="1" applyFill="1" applyBorder="1" applyAlignment="1">
      <alignment horizontal="right" vertical="center" indent="2"/>
    </xf>
    <xf numFmtId="1" fontId="8" fillId="3" borderId="6" xfId="0" applyNumberFormat="1" applyFont="1" applyFill="1" applyBorder="1" applyAlignment="1">
      <alignment vertical="center"/>
    </xf>
    <xf numFmtId="164" fontId="5" fillId="3" borderId="6" xfId="0" applyNumberFormat="1" applyFont="1" applyFill="1" applyBorder="1" applyAlignment="1">
      <alignment horizontal="right" vertical="center" indent="2"/>
    </xf>
    <xf numFmtId="164" fontId="5" fillId="4" borderId="6" xfId="0" applyNumberFormat="1" applyFont="1" applyFill="1" applyBorder="1" applyAlignment="1">
      <alignment horizontal="right" vertical="center" indent="2"/>
    </xf>
    <xf numFmtId="164" fontId="8" fillId="3" borderId="6" xfId="0" applyNumberFormat="1" applyFont="1" applyFill="1" applyBorder="1" applyAlignment="1">
      <alignment horizontal="right" vertical="center" indent="2"/>
    </xf>
    <xf numFmtId="164" fontId="6" fillId="3" borderId="13" xfId="0" applyNumberFormat="1" applyFont="1" applyFill="1" applyBorder="1" applyAlignment="1">
      <alignment horizontal="right" vertical="center"/>
    </xf>
    <xf numFmtId="164" fontId="6" fillId="3" borderId="17" xfId="0" applyNumberFormat="1" applyFont="1" applyFill="1" applyBorder="1" applyAlignment="1">
      <alignment horizontal="right" vertical="center"/>
    </xf>
    <xf numFmtId="164" fontId="6" fillId="3" borderId="0" xfId="0" applyNumberFormat="1" applyFont="1" applyFill="1"/>
    <xf numFmtId="164" fontId="6" fillId="3" borderId="6" xfId="0" applyNumberFormat="1" applyFont="1" applyFill="1" applyBorder="1"/>
    <xf numFmtId="1" fontId="26" fillId="3" borderId="0" xfId="0" applyNumberFormat="1" applyFont="1" applyFill="1"/>
    <xf numFmtId="0" fontId="5" fillId="0" borderId="1" xfId="0" applyFont="1" applyFill="1" applyBorder="1" applyAlignment="1">
      <alignment horizontal="center" vertical="center"/>
    </xf>
    <xf numFmtId="0" fontId="5" fillId="0" borderId="9" xfId="0" applyFont="1" applyFill="1" applyBorder="1" applyAlignment="1">
      <alignment horizontal="center" vertical="center"/>
    </xf>
    <xf numFmtId="0" fontId="3" fillId="3" borderId="6" xfId="0" applyFont="1" applyFill="1" applyBorder="1" applyAlignment="1"/>
    <xf numFmtId="0" fontId="6" fillId="3" borderId="13" xfId="0" applyFont="1" applyFill="1" applyBorder="1" applyAlignment="1"/>
    <xf numFmtId="0" fontId="3" fillId="3" borderId="13" xfId="0" applyFont="1" applyFill="1" applyBorder="1" applyAlignment="1"/>
    <xf numFmtId="0" fontId="3" fillId="3" borderId="13" xfId="0" applyFont="1" applyFill="1" applyBorder="1" applyAlignment="1">
      <alignment vertical="center" wrapText="1"/>
    </xf>
    <xf numFmtId="1" fontId="6" fillId="0" borderId="6" xfId="0" applyNumberFormat="1" applyFont="1" applyFill="1" applyBorder="1" applyAlignment="1">
      <alignment vertical="center"/>
    </xf>
    <xf numFmtId="0" fontId="35" fillId="3" borderId="0" xfId="0" applyFont="1" applyFill="1"/>
    <xf numFmtId="1" fontId="5" fillId="0" borderId="1" xfId="0" applyNumberFormat="1" applyFont="1" applyFill="1" applyBorder="1" applyAlignment="1">
      <alignment horizontal="right" vertical="center" indent="2"/>
    </xf>
    <xf numFmtId="1" fontId="3" fillId="0" borderId="1" xfId="0" applyNumberFormat="1" applyFont="1" applyFill="1" applyBorder="1" applyAlignment="1">
      <alignment horizontal="right" vertical="center" indent="2"/>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3" fillId="3" borderId="13" xfId="0" applyFont="1" applyFill="1" applyBorder="1" applyAlignment="1">
      <alignment horizontal="center" vertical="center"/>
    </xf>
    <xf numFmtId="3" fontId="15" fillId="3" borderId="0" xfId="0" applyNumberFormat="1" applyFont="1" applyFill="1" applyBorder="1" applyAlignment="1">
      <alignment horizontal="right" indent="1"/>
    </xf>
    <xf numFmtId="164" fontId="15" fillId="3" borderId="0" xfId="0" applyNumberFormat="1" applyFont="1" applyFill="1" applyBorder="1" applyAlignment="1">
      <alignment horizontal="right" indent="1"/>
    </xf>
    <xf numFmtId="1" fontId="15" fillId="3" borderId="0" xfId="0" applyNumberFormat="1" applyFont="1" applyFill="1" applyBorder="1" applyAlignment="1">
      <alignment horizontal="right" indent="1"/>
    </xf>
    <xf numFmtId="0" fontId="9" fillId="3" borderId="0" xfId="0" applyFont="1" applyFill="1" applyAlignment="1">
      <alignment horizontal="left"/>
    </xf>
    <xf numFmtId="0" fontId="3" fillId="3" borderId="0" xfId="0" applyFont="1" applyFill="1" applyAlignment="1">
      <alignment horizontal="left" wrapText="1"/>
    </xf>
    <xf numFmtId="0" fontId="3" fillId="3" borderId="0" xfId="0" quotePrefix="1" applyFont="1" applyFill="1" applyAlignment="1">
      <alignment horizontal="left" wrapText="1"/>
    </xf>
    <xf numFmtId="0" fontId="9" fillId="3" borderId="0" xfId="0" applyFont="1" applyFill="1"/>
    <xf numFmtId="1" fontId="3" fillId="3" borderId="0" xfId="0" applyNumberFormat="1" applyFont="1" applyFill="1"/>
    <xf numFmtId="0" fontId="3" fillId="3" borderId="0" xfId="0" applyFont="1" applyFill="1" applyAlignment="1">
      <alignment horizontal="left"/>
    </xf>
    <xf numFmtId="0" fontId="13" fillId="3" borderId="0" xfId="0" applyFont="1" applyFill="1" applyAlignment="1">
      <alignment vertical="center"/>
    </xf>
    <xf numFmtId="0" fontId="7" fillId="3" borderId="0" xfId="0" applyFont="1" applyFill="1"/>
    <xf numFmtId="3" fontId="36" fillId="3" borderId="0" xfId="0" applyNumberFormat="1" applyFont="1" applyFill="1" applyAlignment="1">
      <alignment horizontal="left" wrapText="1"/>
    </xf>
    <xf numFmtId="3" fontId="8" fillId="3" borderId="0" xfId="0" applyNumberFormat="1" applyFont="1" applyFill="1" applyAlignment="1">
      <alignment horizontal="right" wrapText="1"/>
    </xf>
    <xf numFmtId="3" fontId="37" fillId="3" borderId="0" xfId="0" applyNumberFormat="1" applyFont="1" applyFill="1" applyAlignment="1">
      <alignment horizontal="right" wrapText="1"/>
    </xf>
    <xf numFmtId="0" fontId="9" fillId="3" borderId="0" xfId="0" applyFont="1" applyFill="1" applyAlignment="1">
      <alignment horizontal="left" wrapText="1"/>
    </xf>
    <xf numFmtId="0" fontId="38" fillId="3" borderId="0" xfId="0" applyFont="1" applyFill="1" applyAlignment="1">
      <alignment horizontal="left" wrapText="1"/>
    </xf>
    <xf numFmtId="0" fontId="38" fillId="3" borderId="0" xfId="0" applyFont="1" applyFill="1"/>
    <xf numFmtId="0" fontId="3" fillId="3" borderId="0" xfId="0" applyFont="1" applyFill="1" applyAlignment="1">
      <alignment wrapText="1"/>
    </xf>
    <xf numFmtId="0" fontId="38" fillId="3" borderId="0" xfId="0" applyFont="1" applyFill="1" applyAlignment="1">
      <alignment wrapText="1"/>
    </xf>
    <xf numFmtId="0" fontId="9" fillId="3" borderId="0" xfId="0" applyFont="1" applyFill="1" applyBorder="1" applyAlignment="1">
      <alignment horizontal="left"/>
    </xf>
    <xf numFmtId="0" fontId="3" fillId="3" borderId="0" xfId="0" applyNumberFormat="1" applyFont="1" applyFill="1" applyAlignment="1">
      <alignment horizontal="left"/>
    </xf>
    <xf numFmtId="0" fontId="6" fillId="3" borderId="0" xfId="0" applyFont="1" applyFill="1" applyAlignment="1"/>
    <xf numFmtId="0" fontId="38" fillId="3" borderId="0" xfId="0" applyFont="1" applyFill="1" applyAlignment="1">
      <alignment horizontal="left"/>
    </xf>
    <xf numFmtId="0" fontId="3" fillId="0" borderId="0" xfId="0" applyFont="1" applyAlignment="1">
      <alignment horizontal="left"/>
    </xf>
    <xf numFmtId="0" fontId="39" fillId="3" borderId="0" xfId="0" applyFont="1" applyFill="1"/>
    <xf numFmtId="164" fontId="3" fillId="3" borderId="0" xfId="0" applyNumberFormat="1" applyFont="1" applyFill="1" applyBorder="1" applyAlignment="1">
      <alignment horizontal="right" vertical="center"/>
    </xf>
    <xf numFmtId="164" fontId="3" fillId="3" borderId="0" xfId="0" applyNumberFormat="1" applyFont="1" applyFill="1" applyBorder="1"/>
    <xf numFmtId="164" fontId="6" fillId="3" borderId="0" xfId="0" applyNumberFormat="1" applyFont="1" applyFill="1" applyBorder="1"/>
    <xf numFmtId="164" fontId="6" fillId="0" borderId="13" xfId="0" applyNumberFormat="1" applyFont="1" applyFill="1" applyBorder="1" applyAlignment="1">
      <alignment horizontal="right" vertical="center" indent="2"/>
    </xf>
    <xf numFmtId="0" fontId="3" fillId="3" borderId="0" xfId="0" applyFont="1" applyFill="1" applyAlignment="1">
      <alignment horizontal="left" wrapText="1"/>
    </xf>
    <xf numFmtId="0" fontId="9" fillId="3" borderId="0" xfId="0" applyFont="1" applyFill="1" applyAlignment="1">
      <alignment horizontal="left"/>
    </xf>
    <xf numFmtId="0" fontId="3" fillId="3" borderId="5" xfId="0" applyFont="1" applyFill="1" applyBorder="1" applyAlignment="1"/>
    <xf numFmtId="1" fontId="6" fillId="3" borderId="5" xfId="0" applyNumberFormat="1" applyFont="1" applyFill="1" applyBorder="1" applyAlignment="1">
      <alignment horizontal="right" indent="3"/>
    </xf>
    <xf numFmtId="1" fontId="6" fillId="4" borderId="5" xfId="0" applyNumberFormat="1" applyFont="1" applyFill="1" applyBorder="1" applyAlignment="1">
      <alignment horizontal="right" indent="3"/>
    </xf>
    <xf numFmtId="1" fontId="6" fillId="3" borderId="13" xfId="0" applyNumberFormat="1" applyFont="1" applyFill="1" applyBorder="1" applyAlignment="1">
      <alignment horizontal="right" indent="3"/>
    </xf>
    <xf numFmtId="1" fontId="6" fillId="4" borderId="13" xfId="0" applyNumberFormat="1" applyFont="1" applyFill="1" applyBorder="1" applyAlignment="1">
      <alignment horizontal="right" indent="3"/>
    </xf>
    <xf numFmtId="1" fontId="6" fillId="3" borderId="6" xfId="0" applyNumberFormat="1" applyFont="1" applyFill="1" applyBorder="1" applyAlignment="1">
      <alignment horizontal="right" indent="3"/>
    </xf>
    <xf numFmtId="1" fontId="6" fillId="4" borderId="6" xfId="0" applyNumberFormat="1" applyFont="1" applyFill="1" applyBorder="1" applyAlignment="1">
      <alignment horizontal="right" indent="3"/>
    </xf>
    <xf numFmtId="1" fontId="5" fillId="3" borderId="1" xfId="0" applyNumberFormat="1" applyFont="1" applyFill="1" applyBorder="1" applyAlignment="1">
      <alignment horizontal="right" indent="3"/>
    </xf>
    <xf numFmtId="1" fontId="5" fillId="4" borderId="1" xfId="0" applyNumberFormat="1" applyFont="1" applyFill="1" applyBorder="1" applyAlignment="1">
      <alignment horizontal="right" indent="3"/>
    </xf>
    <xf numFmtId="1" fontId="3" fillId="0" borderId="5" xfId="0" applyNumberFormat="1" applyFont="1" applyBorder="1" applyAlignment="1">
      <alignment horizontal="right" vertical="center" indent="4"/>
    </xf>
    <xf numFmtId="1" fontId="3" fillId="0" borderId="13" xfId="0" applyNumberFormat="1" applyFont="1" applyBorder="1" applyAlignment="1">
      <alignment horizontal="right" vertical="center" indent="4"/>
    </xf>
    <xf numFmtId="1" fontId="3" fillId="0" borderId="6" xfId="0" applyNumberFormat="1" applyFont="1" applyBorder="1" applyAlignment="1">
      <alignment horizontal="right" vertical="center" indent="4"/>
    </xf>
    <xf numFmtId="1" fontId="8" fillId="3" borderId="1" xfId="0" applyNumberFormat="1" applyFont="1" applyFill="1" applyBorder="1" applyAlignment="1">
      <alignment horizontal="right" vertical="center" indent="4"/>
    </xf>
    <xf numFmtId="1" fontId="3" fillId="3" borderId="13" xfId="0" applyNumberFormat="1" applyFont="1" applyFill="1" applyBorder="1" applyAlignment="1">
      <alignment horizontal="right" vertical="center" indent="3"/>
    </xf>
    <xf numFmtId="1" fontId="5" fillId="3" borderId="1" xfId="0" applyNumberFormat="1" applyFont="1" applyFill="1" applyBorder="1" applyAlignment="1">
      <alignment horizontal="right" vertical="center" indent="3"/>
    </xf>
    <xf numFmtId="1" fontId="6" fillId="3" borderId="1" xfId="0" applyNumberFormat="1" applyFont="1" applyFill="1" applyBorder="1" applyAlignment="1">
      <alignment horizontal="right" vertical="center" indent="3"/>
    </xf>
    <xf numFmtId="1" fontId="6" fillId="3" borderId="6" xfId="0" applyNumberFormat="1" applyFont="1" applyFill="1" applyBorder="1" applyAlignment="1">
      <alignment horizontal="right" vertical="center" indent="2"/>
    </xf>
    <xf numFmtId="0" fontId="8" fillId="3" borderId="1" xfId="0" applyFont="1" applyFill="1" applyBorder="1" applyAlignment="1">
      <alignment horizontal="center" vertical="top" wrapText="1"/>
    </xf>
    <xf numFmtId="1" fontId="6" fillId="0" borderId="1" xfId="0" applyNumberFormat="1" applyFont="1" applyFill="1" applyBorder="1" applyAlignment="1">
      <alignment horizontal="right" vertical="center" indent="3"/>
    </xf>
    <xf numFmtId="0" fontId="8" fillId="3" borderId="6" xfId="0" applyFont="1" applyFill="1" applyBorder="1" applyAlignment="1">
      <alignment vertical="center"/>
    </xf>
    <xf numFmtId="0" fontId="26" fillId="0" borderId="0" xfId="0" applyFont="1" applyFill="1"/>
    <xf numFmtId="3" fontId="6" fillId="3" borderId="0" xfId="0" applyNumberFormat="1" applyFont="1" applyFill="1"/>
    <xf numFmtId="3" fontId="6" fillId="3" borderId="0" xfId="0" applyNumberFormat="1" applyFont="1" applyFill="1" applyAlignment="1">
      <alignment vertical="center"/>
    </xf>
    <xf numFmtId="0" fontId="41" fillId="0" borderId="0" xfId="0" applyFont="1"/>
    <xf numFmtId="0" fontId="8" fillId="3" borderId="3" xfId="0" applyFont="1" applyFill="1" applyBorder="1" applyAlignment="1">
      <alignment horizontal="center" vertical="center" wrapText="1"/>
    </xf>
    <xf numFmtId="0" fontId="6" fillId="3" borderId="19" xfId="0" applyFont="1" applyFill="1" applyBorder="1" applyAlignment="1">
      <alignment horizontal="left" vertical="top" wrapText="1"/>
    </xf>
    <xf numFmtId="0" fontId="6" fillId="3" borderId="0" xfId="0" applyFont="1" applyFill="1" applyAlignment="1">
      <alignment horizontal="left" vertical="top" wrapText="1"/>
    </xf>
    <xf numFmtId="0" fontId="6" fillId="3" borderId="15" xfId="0" applyFont="1" applyFill="1" applyBorder="1" applyAlignment="1">
      <alignment horizontal="left" vertical="top" wrapText="1"/>
    </xf>
    <xf numFmtId="49" fontId="6" fillId="3" borderId="19" xfId="0" applyNumberFormat="1" applyFont="1" applyFill="1" applyBorder="1" applyAlignment="1">
      <alignment horizontal="left" vertical="center" wrapText="1"/>
    </xf>
    <xf numFmtId="49" fontId="6" fillId="3" borderId="0" xfId="0" applyNumberFormat="1" applyFont="1" applyFill="1" applyAlignment="1">
      <alignment horizontal="left" vertical="center" wrapText="1"/>
    </xf>
    <xf numFmtId="49" fontId="6" fillId="3" borderId="15" xfId="0" applyNumberFormat="1" applyFont="1" applyFill="1" applyBorder="1" applyAlignment="1">
      <alignment horizontal="left" vertical="center" wrapText="1"/>
    </xf>
    <xf numFmtId="49" fontId="6" fillId="3" borderId="19" xfId="0" applyNumberFormat="1" applyFont="1" applyFill="1" applyBorder="1" applyAlignment="1">
      <alignment horizontal="left" vertical="top" wrapText="1"/>
    </xf>
    <xf numFmtId="49" fontId="6" fillId="3" borderId="0" xfId="0" applyNumberFormat="1" applyFont="1" applyFill="1" applyAlignment="1">
      <alignment horizontal="left" vertical="top" wrapText="1"/>
    </xf>
    <xf numFmtId="49" fontId="6" fillId="3" borderId="15" xfId="0" applyNumberFormat="1" applyFont="1" applyFill="1" applyBorder="1" applyAlignment="1">
      <alignment horizontal="left" vertical="top" wrapText="1"/>
    </xf>
    <xf numFmtId="49" fontId="7" fillId="3" borderId="19" xfId="0" applyNumberFormat="1" applyFont="1" applyFill="1" applyBorder="1" applyAlignment="1">
      <alignment horizontal="left" vertical="top" wrapText="1"/>
    </xf>
    <xf numFmtId="49" fontId="7" fillId="3" borderId="0" xfId="0" applyNumberFormat="1" applyFont="1" applyFill="1" applyAlignment="1">
      <alignment horizontal="left" vertical="top" wrapText="1"/>
    </xf>
    <xf numFmtId="49" fontId="7" fillId="3" borderId="15" xfId="0" applyNumberFormat="1" applyFont="1" applyFill="1" applyBorder="1" applyAlignment="1">
      <alignment horizontal="left" vertical="top" wrapText="1"/>
    </xf>
    <xf numFmtId="49" fontId="6" fillId="3" borderId="19" xfId="0" applyNumberFormat="1" applyFont="1" applyFill="1" applyBorder="1" applyAlignment="1">
      <alignment horizontal="left" vertical="top"/>
    </xf>
    <xf numFmtId="49" fontId="6" fillId="3" borderId="0" xfId="0" applyNumberFormat="1" applyFont="1" applyFill="1" applyAlignment="1">
      <alignment horizontal="left" vertical="top"/>
    </xf>
    <xf numFmtId="49" fontId="6" fillId="3" borderId="15" xfId="0" applyNumberFormat="1" applyFont="1" applyFill="1" applyBorder="1" applyAlignment="1">
      <alignment horizontal="left" vertical="top"/>
    </xf>
    <xf numFmtId="0" fontId="3" fillId="3" borderId="19" xfId="0" applyFont="1" applyFill="1" applyBorder="1" applyAlignment="1">
      <alignment horizontal="left" vertical="center" wrapText="1"/>
    </xf>
    <xf numFmtId="0" fontId="3" fillId="3" borderId="0" xfId="0" applyFont="1" applyFill="1" applyAlignment="1">
      <alignment horizontal="left" vertical="center" wrapText="1"/>
    </xf>
    <xf numFmtId="0" fontId="3" fillId="3" borderId="15" xfId="0" applyFont="1" applyFill="1" applyBorder="1" applyAlignment="1">
      <alignment horizontal="left" vertical="center" wrapText="1"/>
    </xf>
    <xf numFmtId="0" fontId="6" fillId="3" borderId="16" xfId="0" applyFont="1" applyFill="1" applyBorder="1" applyAlignment="1">
      <alignment horizontal="left" vertical="top"/>
    </xf>
    <xf numFmtId="0" fontId="6" fillId="3" borderId="7" xfId="0" applyFont="1" applyFill="1" applyBorder="1" applyAlignment="1">
      <alignment horizontal="left" vertical="top"/>
    </xf>
    <xf numFmtId="0" fontId="6" fillId="3" borderId="10" xfId="0" applyFont="1" applyFill="1" applyBorder="1" applyAlignment="1">
      <alignment horizontal="left" vertical="top"/>
    </xf>
    <xf numFmtId="0" fontId="3" fillId="3" borderId="0" xfId="0" applyFont="1" applyFill="1" applyAlignment="1">
      <alignment horizontal="left" wrapText="1"/>
    </xf>
    <xf numFmtId="0" fontId="5" fillId="2" borderId="1" xfId="0" applyFont="1" applyFill="1" applyBorder="1" applyAlignment="1">
      <alignment horizontal="left"/>
    </xf>
    <xf numFmtId="0" fontId="9" fillId="3" borderId="0" xfId="0" applyFont="1" applyFill="1" applyAlignment="1">
      <alignment horizontal="left"/>
    </xf>
    <xf numFmtId="0" fontId="3" fillId="3" borderId="0" xfId="0" quotePrefix="1" applyFont="1" applyFill="1" applyAlignment="1">
      <alignment horizontal="left"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5" fillId="2" borderId="13" xfId="0" applyFont="1" applyFill="1" applyBorder="1" applyAlignment="1">
      <alignment horizontal="left" vertical="center"/>
    </xf>
    <xf numFmtId="0" fontId="5" fillId="2" borderId="2" xfId="0" applyFont="1" applyFill="1" applyBorder="1" applyAlignment="1">
      <alignment horizontal="left"/>
    </xf>
    <xf numFmtId="0" fontId="5" fillId="2" borderId="3" xfId="0" applyFont="1" applyFill="1" applyBorder="1" applyAlignment="1">
      <alignment horizontal="left"/>
    </xf>
    <xf numFmtId="0" fontId="5" fillId="2" borderId="4" xfId="0" applyFont="1" applyFill="1" applyBorder="1" applyAlignment="1">
      <alignment horizontal="left"/>
    </xf>
    <xf numFmtId="0" fontId="8" fillId="2" borderId="2" xfId="0" applyFont="1" applyFill="1" applyBorder="1" applyAlignment="1">
      <alignment horizontal="left"/>
    </xf>
    <xf numFmtId="0" fontId="8" fillId="2" borderId="3" xfId="0" applyFont="1" applyFill="1" applyBorder="1" applyAlignment="1">
      <alignment horizontal="left"/>
    </xf>
    <xf numFmtId="0" fontId="8" fillId="2" borderId="4" xfId="0" applyFont="1" applyFill="1" applyBorder="1" applyAlignment="1">
      <alignment horizontal="left"/>
    </xf>
    <xf numFmtId="0" fontId="38" fillId="3" borderId="0" xfId="0" applyFont="1" applyFill="1" applyAlignment="1">
      <alignment horizontal="left" wrapText="1"/>
    </xf>
    <xf numFmtId="0" fontId="6" fillId="3" borderId="2" xfId="0" applyFont="1" applyFill="1" applyBorder="1" applyAlignment="1">
      <alignment horizontal="left" vertical="center"/>
    </xf>
    <xf numFmtId="0" fontId="6" fillId="3" borderId="11" xfId="0" applyFont="1" applyFill="1" applyBorder="1" applyAlignment="1">
      <alignment horizontal="left" vertical="center"/>
    </xf>
    <xf numFmtId="0" fontId="6" fillId="3" borderId="16" xfId="0" applyFont="1" applyFill="1" applyBorder="1" applyAlignment="1">
      <alignment horizontal="left" vertical="center"/>
    </xf>
    <xf numFmtId="0" fontId="3" fillId="3" borderId="11" xfId="0" applyFont="1" applyFill="1" applyBorder="1" applyAlignment="1">
      <alignment horizontal="left" vertical="center"/>
    </xf>
    <xf numFmtId="0" fontId="3" fillId="3" borderId="14" xfId="0" applyFont="1" applyFill="1" applyBorder="1" applyAlignment="1">
      <alignment horizontal="left" vertical="center"/>
    </xf>
    <xf numFmtId="0" fontId="3" fillId="3" borderId="16" xfId="0" applyFont="1" applyFill="1" applyBorder="1" applyAlignment="1">
      <alignment horizontal="left" vertical="center"/>
    </xf>
    <xf numFmtId="0" fontId="3" fillId="3" borderId="11" xfId="0" applyFont="1" applyFill="1" applyBorder="1" applyAlignment="1">
      <alignment horizontal="left" vertical="center" wrapText="1"/>
    </xf>
    <xf numFmtId="0" fontId="3" fillId="3" borderId="14" xfId="0" applyFont="1" applyFill="1" applyBorder="1" applyAlignment="1">
      <alignment horizontal="left" vertical="center" wrapText="1"/>
    </xf>
    <xf numFmtId="0" fontId="3" fillId="3" borderId="16" xfId="0" applyFont="1" applyFill="1" applyBorder="1" applyAlignment="1">
      <alignment horizontal="left" vertical="center" wrapText="1"/>
    </xf>
    <xf numFmtId="0" fontId="5" fillId="3" borderId="2" xfId="0" applyFont="1" applyFill="1" applyBorder="1" applyAlignment="1">
      <alignment horizontal="left"/>
    </xf>
    <xf numFmtId="0" fontId="5" fillId="3" borderId="3" xfId="0" applyFont="1" applyFill="1" applyBorder="1" applyAlignment="1">
      <alignment horizontal="left"/>
    </xf>
    <xf numFmtId="0" fontId="3" fillId="0" borderId="0" xfId="0" applyFont="1" applyAlignment="1">
      <alignment horizontal="left"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5" fillId="3" borderId="0" xfId="0" applyFont="1" applyFill="1" applyAlignment="1">
      <alignment horizontal="left" wrapText="1"/>
    </xf>
    <xf numFmtId="0" fontId="3" fillId="3" borderId="0" xfId="0" applyFont="1" applyFill="1" applyAlignment="1">
      <alignment wrapText="1"/>
    </xf>
    <xf numFmtId="0" fontId="6" fillId="3" borderId="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3" fillId="3" borderId="13" xfId="0" applyFont="1" applyFill="1" applyBorder="1" applyAlignment="1">
      <alignment horizontal="center" vertical="center"/>
    </xf>
    <xf numFmtId="0" fontId="6" fillId="3" borderId="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8" fillId="3" borderId="1" xfId="0" applyFont="1" applyFill="1" applyBorder="1" applyAlignment="1">
      <alignment horizontal="left" vertical="center"/>
    </xf>
    <xf numFmtId="0" fontId="3" fillId="3" borderId="1" xfId="0" applyFont="1" applyFill="1" applyBorder="1" applyAlignment="1">
      <alignment horizontal="left"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4" xfId="0" applyFont="1" applyFill="1" applyBorder="1" applyAlignment="1">
      <alignment horizontal="center" vertical="center"/>
    </xf>
    <xf numFmtId="0" fontId="3" fillId="0" borderId="0" xfId="0" applyFont="1" applyFill="1" applyAlignment="1">
      <alignment horizontal="left" wrapText="1"/>
    </xf>
    <xf numFmtId="0" fontId="8" fillId="3" borderId="0" xfId="0" applyFont="1" applyFill="1" applyAlignment="1">
      <alignment horizontal="left" wrapText="1"/>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xf numFmtId="0" fontId="6" fillId="3" borderId="1" xfId="0" applyFont="1" applyFill="1" applyBorder="1" applyAlignment="1">
      <alignment horizontal="center" vertical="center"/>
    </xf>
    <xf numFmtId="0" fontId="6" fillId="3" borderId="6" xfId="0" applyFont="1" applyFill="1" applyBorder="1" applyAlignment="1">
      <alignment horizontal="center" vertical="center" wrapText="1"/>
    </xf>
    <xf numFmtId="0" fontId="3" fillId="3" borderId="2" xfId="0" applyFont="1" applyFill="1" applyBorder="1" applyAlignment="1">
      <alignment horizontal="left" vertical="center"/>
    </xf>
    <xf numFmtId="0" fontId="3" fillId="3" borderId="4" xfId="0" applyFont="1" applyFill="1" applyBorder="1" applyAlignment="1">
      <alignment horizontal="left" vertical="center"/>
    </xf>
    <xf numFmtId="0" fontId="9" fillId="3" borderId="0" xfId="0" applyFont="1" applyFill="1" applyBorder="1" applyAlignment="1">
      <alignment horizontal="left"/>
    </xf>
    <xf numFmtId="0" fontId="9" fillId="3" borderId="18" xfId="0" applyFont="1" applyFill="1" applyBorder="1" applyAlignment="1">
      <alignment horizontal="left"/>
    </xf>
    <xf numFmtId="0" fontId="23" fillId="3" borderId="0" xfId="0" applyFont="1" applyFill="1" applyAlignment="1">
      <alignment horizontal="left"/>
    </xf>
    <xf numFmtId="0" fontId="24" fillId="3" borderId="0" xfId="0" applyFont="1" applyFill="1" applyAlignment="1">
      <alignment horizontal="left" vertical="center" wrapText="1"/>
    </xf>
    <xf numFmtId="0" fontId="24" fillId="0" borderId="0" xfId="0" applyFont="1" applyAlignment="1">
      <alignment horizontal="left" wrapText="1"/>
    </xf>
    <xf numFmtId="0" fontId="23" fillId="3" borderId="18" xfId="0" applyFont="1" applyFill="1" applyBorder="1" applyAlignment="1">
      <alignment horizontal="left"/>
    </xf>
    <xf numFmtId="0" fontId="24" fillId="3" borderId="0" xfId="0" applyFont="1" applyFill="1" applyAlignment="1">
      <alignment wrapText="1"/>
    </xf>
    <xf numFmtId="0" fontId="24" fillId="3" borderId="0" xfId="0" applyFont="1" applyFill="1" applyAlignment="1">
      <alignment horizontal="left" wrapText="1"/>
    </xf>
    <xf numFmtId="0" fontId="24" fillId="0" borderId="0" xfId="0" applyFont="1" applyAlignment="1">
      <alignment wrapText="1"/>
    </xf>
    <xf numFmtId="0" fontId="24" fillId="3" borderId="0" xfId="0" applyFont="1" applyFill="1" applyAlignment="1">
      <alignment horizontal="left" vertical="top" wrapText="1"/>
    </xf>
  </cellXfs>
  <cellStyles count="5">
    <cellStyle name="Lien hypertexte" xfId="4" builtinId="8"/>
    <cellStyle name="Normal" xfId="0" builtinId="0"/>
    <cellStyle name="Normal 2" xfId="2" xr:uid="{AB872D58-3896-438E-AE24-14CBDAD34E18}"/>
    <cellStyle name="Normal 3" xfId="1" xr:uid="{77DFE2CF-9A7F-4DF6-A238-78D068A79358}"/>
    <cellStyle name="Normal 4" xfId="3" xr:uid="{5589FD8A-5B6A-4AAA-B023-B2FF630B36EE}"/>
  </cellStyles>
  <dxfs count="0"/>
  <tableStyles count="0" defaultTableStyle="TableStyleMedium2" defaultPivotStyle="PivotStyleLight16"/>
  <colors>
    <mruColors>
      <color rgb="FF376092"/>
      <color rgb="FF2CA297"/>
      <color rgb="FFC3992A"/>
      <color rgb="FF6E445A"/>
      <color rgb="FF009081"/>
      <color rgb="FF37635F"/>
      <color rgb="FFAEA397"/>
      <color rgb="FFCE614A"/>
      <color rgb="FF34BAB5"/>
      <color rgb="FFD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335846317082704E-2"/>
          <c:y val="4.542166226376753E-2"/>
          <c:w val="0.90228472105880386"/>
          <c:h val="0.76683479285105349"/>
        </c:manualLayout>
      </c:layout>
      <c:lineChart>
        <c:grouping val="standard"/>
        <c:varyColors val="0"/>
        <c:ser>
          <c:idx val="0"/>
          <c:order val="0"/>
          <c:tx>
            <c:strRef>
              <c:f>'Figure 2'!$B$9</c:f>
              <c:strCache>
                <c:ptCount val="1"/>
                <c:pt idx="0">
                  <c:v>Ensemble fonction publique (hors enseignants)</c:v>
                </c:pt>
              </c:strCache>
            </c:strRef>
          </c:tx>
          <c:spPr>
            <a:ln w="34925" cap="rnd">
              <a:solidFill>
                <a:schemeClr val="bg1">
                  <a:lumMod val="65000"/>
                </a:schemeClr>
              </a:solidFill>
              <a:round/>
            </a:ln>
            <a:effectLst/>
          </c:spPr>
          <c:marker>
            <c:symbol val="none"/>
          </c:marker>
          <c:cat>
            <c:strRef>
              <c:f>'Figure 2'!$C$5:$O$5</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2'!$C$9:$O$9</c:f>
              <c:numCache>
                <c:formatCode>#,##0</c:formatCode>
                <c:ptCount val="13"/>
                <c:pt idx="0">
                  <c:v>1631.96</c:v>
                </c:pt>
                <c:pt idx="1">
                  <c:v>1593.51</c:v>
                </c:pt>
                <c:pt idx="2">
                  <c:v>1639.11</c:v>
                </c:pt>
                <c:pt idx="3">
                  <c:v>1651.83</c:v>
                </c:pt>
                <c:pt idx="4">
                  <c:v>1641.46</c:v>
                </c:pt>
                <c:pt idx="5">
                  <c:v>1641.86</c:v>
                </c:pt>
                <c:pt idx="6">
                  <c:v>1612.43</c:v>
                </c:pt>
                <c:pt idx="8">
                  <c:v>1616.16</c:v>
                </c:pt>
                <c:pt idx="9">
                  <c:v>1609.0229999999999</c:v>
                </c:pt>
                <c:pt idx="10">
                  <c:v>1636.664</c:v>
                </c:pt>
                <c:pt idx="11">
                  <c:v>1639.175</c:v>
                </c:pt>
                <c:pt idx="12">
                  <c:v>1623.116</c:v>
                </c:pt>
              </c:numCache>
            </c:numRef>
          </c:val>
          <c:smooth val="0"/>
          <c:extLst>
            <c:ext xmlns:c16="http://schemas.microsoft.com/office/drawing/2014/chart" uri="{C3380CC4-5D6E-409C-BE32-E72D297353CC}">
              <c16:uniqueId val="{00000000-E103-4818-8BDA-7B01151B47D4}"/>
            </c:ext>
          </c:extLst>
        </c:ser>
        <c:ser>
          <c:idx val="1"/>
          <c:order val="1"/>
          <c:tx>
            <c:strRef>
              <c:f>'Figure 2'!$B$10</c:f>
              <c:strCache>
                <c:ptCount val="1"/>
                <c:pt idx="0">
                  <c:v>Salariés du privé</c:v>
                </c:pt>
              </c:strCache>
            </c:strRef>
          </c:tx>
          <c:spPr>
            <a:ln w="19050" cap="rnd">
              <a:solidFill>
                <a:srgbClr val="D8C634"/>
              </a:solidFill>
              <a:round/>
            </a:ln>
            <a:effectLst/>
          </c:spPr>
          <c:marker>
            <c:symbol val="none"/>
          </c:marker>
          <c:cat>
            <c:strRef>
              <c:f>'Figure 2'!$C$5:$O$5</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2'!$C$10:$O$10</c:f>
              <c:numCache>
                <c:formatCode>#,##0</c:formatCode>
                <c:ptCount val="13"/>
                <c:pt idx="0">
                  <c:v>1699.06</c:v>
                </c:pt>
                <c:pt idx="1">
                  <c:v>1690.24</c:v>
                </c:pt>
                <c:pt idx="2">
                  <c:v>1728.43</c:v>
                </c:pt>
                <c:pt idx="3">
                  <c:v>1722.67</c:v>
                </c:pt>
                <c:pt idx="4">
                  <c:v>1712.16</c:v>
                </c:pt>
                <c:pt idx="5">
                  <c:v>1713.75</c:v>
                </c:pt>
                <c:pt idx="6">
                  <c:v>1610.96</c:v>
                </c:pt>
                <c:pt idx="8">
                  <c:v>1660.655</c:v>
                </c:pt>
                <c:pt idx="9">
                  <c:v>1698.6210000000001</c:v>
                </c:pt>
                <c:pt idx="10">
                  <c:v>1697.6189999999999</c:v>
                </c:pt>
                <c:pt idx="11">
                  <c:v>1683.26</c:v>
                </c:pt>
                <c:pt idx="12">
                  <c:v>1680.2339999999999</c:v>
                </c:pt>
              </c:numCache>
            </c:numRef>
          </c:val>
          <c:smooth val="0"/>
          <c:extLst>
            <c:ext xmlns:c16="http://schemas.microsoft.com/office/drawing/2014/chart" uri="{C3380CC4-5D6E-409C-BE32-E72D297353CC}">
              <c16:uniqueId val="{00000001-E103-4818-8BDA-7B01151B47D4}"/>
            </c:ext>
          </c:extLst>
        </c:ser>
        <c:dLbls>
          <c:showLegendKey val="0"/>
          <c:showVal val="0"/>
          <c:showCatName val="0"/>
          <c:showSerName val="0"/>
          <c:showPercent val="0"/>
          <c:showBubbleSize val="0"/>
        </c:dLbls>
        <c:smooth val="0"/>
        <c:axId val="1528381807"/>
        <c:axId val="1528383887"/>
      </c:lineChart>
      <c:catAx>
        <c:axId val="152838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28383887"/>
        <c:crosses val="autoZero"/>
        <c:auto val="1"/>
        <c:lblAlgn val="ctr"/>
        <c:lblOffset val="100"/>
        <c:noMultiLvlLbl val="0"/>
      </c:catAx>
      <c:valAx>
        <c:axId val="1528383887"/>
        <c:scaling>
          <c:orientation val="minMax"/>
          <c:max val="1800"/>
          <c:min val="15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28381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738094504649017E-2"/>
          <c:y val="4.5309454715246202E-2"/>
          <c:w val="0.90234964815444585"/>
          <c:h val="0.74176155253320608"/>
        </c:manualLayout>
      </c:layout>
      <c:lineChart>
        <c:grouping val="standard"/>
        <c:varyColors val="0"/>
        <c:ser>
          <c:idx val="0"/>
          <c:order val="0"/>
          <c:tx>
            <c:strRef>
              <c:f>'Figure 2'!$B$6</c:f>
              <c:strCache>
                <c:ptCount val="1"/>
                <c:pt idx="0">
                  <c:v>FPE (hors enseignants)</c:v>
                </c:pt>
              </c:strCache>
            </c:strRef>
          </c:tx>
          <c:spPr>
            <a:ln w="19050" cap="rnd">
              <a:solidFill>
                <a:srgbClr val="6E445A"/>
              </a:solidFill>
              <a:round/>
            </a:ln>
            <a:effectLst/>
          </c:spPr>
          <c:marker>
            <c:symbol val="none"/>
          </c:marker>
          <c:cat>
            <c:strRef>
              <c:f>'Figure 2'!$C$5:$O$5</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2'!$C$6:$O$6</c:f>
              <c:numCache>
                <c:formatCode>#,##0</c:formatCode>
                <c:ptCount val="13"/>
                <c:pt idx="0">
                  <c:v>1713.02</c:v>
                </c:pt>
                <c:pt idx="1">
                  <c:v>1675.08</c:v>
                </c:pt>
                <c:pt idx="2">
                  <c:v>1744.91</c:v>
                </c:pt>
                <c:pt idx="3">
                  <c:v>1756.25</c:v>
                </c:pt>
                <c:pt idx="4">
                  <c:v>1724.41</c:v>
                </c:pt>
                <c:pt idx="5">
                  <c:v>1740.08</c:v>
                </c:pt>
                <c:pt idx="6">
                  <c:v>1664.38</c:v>
                </c:pt>
                <c:pt idx="8">
                  <c:v>1667.4580000000001</c:v>
                </c:pt>
                <c:pt idx="9">
                  <c:v>1679.9280000000001</c:v>
                </c:pt>
                <c:pt idx="10">
                  <c:v>1694.6869999999999</c:v>
                </c:pt>
                <c:pt idx="11">
                  <c:v>1704.9490000000001</c:v>
                </c:pt>
                <c:pt idx="12">
                  <c:v>1659.83</c:v>
                </c:pt>
              </c:numCache>
            </c:numRef>
          </c:val>
          <c:smooth val="0"/>
          <c:extLst>
            <c:ext xmlns:c16="http://schemas.microsoft.com/office/drawing/2014/chart" uri="{C3380CC4-5D6E-409C-BE32-E72D297353CC}">
              <c16:uniqueId val="{00000000-7AD5-4334-88BE-B5C9B6276F70}"/>
            </c:ext>
          </c:extLst>
        </c:ser>
        <c:ser>
          <c:idx val="1"/>
          <c:order val="1"/>
          <c:tx>
            <c:strRef>
              <c:f>'Figure 2'!$B$7</c:f>
              <c:strCache>
                <c:ptCount val="1"/>
                <c:pt idx="0">
                  <c:v>FPT</c:v>
                </c:pt>
              </c:strCache>
            </c:strRef>
          </c:tx>
          <c:spPr>
            <a:ln w="19050" cap="rnd">
              <a:solidFill>
                <a:srgbClr val="009081"/>
              </a:solidFill>
              <a:round/>
            </a:ln>
            <a:effectLst/>
          </c:spPr>
          <c:marker>
            <c:symbol val="none"/>
          </c:marker>
          <c:cat>
            <c:strRef>
              <c:f>'Figure 2'!$C$5:$O$5</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2'!$C$7:$O$7</c:f>
              <c:numCache>
                <c:formatCode>#,##0</c:formatCode>
                <c:ptCount val="13"/>
                <c:pt idx="0">
                  <c:v>1581.04</c:v>
                </c:pt>
                <c:pt idx="1">
                  <c:v>1547.89</c:v>
                </c:pt>
                <c:pt idx="2">
                  <c:v>1572.06</c:v>
                </c:pt>
                <c:pt idx="3">
                  <c:v>1599.68</c:v>
                </c:pt>
                <c:pt idx="4">
                  <c:v>1597.96</c:v>
                </c:pt>
                <c:pt idx="5">
                  <c:v>1587.43</c:v>
                </c:pt>
                <c:pt idx="6">
                  <c:v>1535.67</c:v>
                </c:pt>
                <c:pt idx="8">
                  <c:v>1581.2139999999999</c:v>
                </c:pt>
                <c:pt idx="9">
                  <c:v>1564.691</c:v>
                </c:pt>
                <c:pt idx="10">
                  <c:v>1600.1959999999999</c:v>
                </c:pt>
                <c:pt idx="11">
                  <c:v>1598.213</c:v>
                </c:pt>
                <c:pt idx="12">
                  <c:v>1589.7280000000001</c:v>
                </c:pt>
              </c:numCache>
            </c:numRef>
          </c:val>
          <c:smooth val="0"/>
          <c:extLst>
            <c:ext xmlns:c16="http://schemas.microsoft.com/office/drawing/2014/chart" uri="{C3380CC4-5D6E-409C-BE32-E72D297353CC}">
              <c16:uniqueId val="{00000001-7AD5-4334-88BE-B5C9B6276F70}"/>
            </c:ext>
          </c:extLst>
        </c:ser>
        <c:ser>
          <c:idx val="2"/>
          <c:order val="2"/>
          <c:tx>
            <c:strRef>
              <c:f>'Figure 2'!$B$8</c:f>
              <c:strCache>
                <c:ptCount val="1"/>
                <c:pt idx="0">
                  <c:v>FPH</c:v>
                </c:pt>
              </c:strCache>
            </c:strRef>
          </c:tx>
          <c:spPr>
            <a:ln w="19050" cap="rnd">
              <a:solidFill>
                <a:srgbClr val="C3992A"/>
              </a:solidFill>
              <a:round/>
            </a:ln>
            <a:effectLst/>
          </c:spPr>
          <c:marker>
            <c:symbol val="none"/>
          </c:marker>
          <c:cat>
            <c:strRef>
              <c:f>'Figure 2'!$C$5:$O$5</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2'!$C$8:$O$8</c:f>
              <c:numCache>
                <c:formatCode>#,##0</c:formatCode>
                <c:ptCount val="13"/>
                <c:pt idx="0">
                  <c:v>1606.42</c:v>
                </c:pt>
                <c:pt idx="1">
                  <c:v>1555.31</c:v>
                </c:pt>
                <c:pt idx="2">
                  <c:v>1605.9</c:v>
                </c:pt>
                <c:pt idx="3">
                  <c:v>1599.32</c:v>
                </c:pt>
                <c:pt idx="4">
                  <c:v>1598.59</c:v>
                </c:pt>
                <c:pt idx="5">
                  <c:v>1595.66</c:v>
                </c:pt>
                <c:pt idx="6">
                  <c:v>1667.59</c:v>
                </c:pt>
                <c:pt idx="8">
                  <c:v>1603.9680000000001</c:v>
                </c:pt>
                <c:pt idx="9">
                  <c:v>1588.644</c:v>
                </c:pt>
                <c:pt idx="10">
                  <c:v>1621.5309999999999</c:v>
                </c:pt>
                <c:pt idx="11">
                  <c:v>1617.943</c:v>
                </c:pt>
                <c:pt idx="12">
                  <c:v>1626.4559999999999</c:v>
                </c:pt>
              </c:numCache>
            </c:numRef>
          </c:val>
          <c:smooth val="0"/>
          <c:extLst>
            <c:ext xmlns:c16="http://schemas.microsoft.com/office/drawing/2014/chart" uri="{C3380CC4-5D6E-409C-BE32-E72D297353CC}">
              <c16:uniqueId val="{00000002-7AD5-4334-88BE-B5C9B6276F70}"/>
            </c:ext>
          </c:extLst>
        </c:ser>
        <c:dLbls>
          <c:showLegendKey val="0"/>
          <c:showVal val="0"/>
          <c:showCatName val="0"/>
          <c:showSerName val="0"/>
          <c:showPercent val="0"/>
          <c:showBubbleSize val="0"/>
        </c:dLbls>
        <c:smooth val="0"/>
        <c:axId val="1528381807"/>
        <c:axId val="1528383887"/>
      </c:lineChart>
      <c:catAx>
        <c:axId val="152838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28383887"/>
        <c:crosses val="autoZero"/>
        <c:auto val="1"/>
        <c:lblAlgn val="ctr"/>
        <c:lblOffset val="100"/>
        <c:noMultiLvlLbl val="0"/>
      </c:catAx>
      <c:valAx>
        <c:axId val="1528383887"/>
        <c:scaling>
          <c:orientation val="minMax"/>
          <c:min val="15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28381807"/>
        <c:crosses val="autoZero"/>
        <c:crossBetween val="between"/>
      </c:valAx>
      <c:spPr>
        <a:noFill/>
        <a:ln>
          <a:noFill/>
        </a:ln>
        <a:effectLst/>
      </c:spPr>
    </c:plotArea>
    <c:legend>
      <c:legendPos val="b"/>
      <c:layout>
        <c:manualLayout>
          <c:xMode val="edge"/>
          <c:yMode val="edge"/>
          <c:x val="0.14945241325386915"/>
          <c:y val="0.88789978525411595"/>
          <c:w val="0.75583258245565277"/>
          <c:h val="6.95092345888828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392792403540892E-2"/>
          <c:y val="7.9866902470842993E-2"/>
          <c:w val="0.90386494491112479"/>
          <c:h val="0.74676252558291312"/>
        </c:manualLayout>
      </c:layout>
      <c:lineChart>
        <c:grouping val="standard"/>
        <c:varyColors val="0"/>
        <c:ser>
          <c:idx val="0"/>
          <c:order val="0"/>
          <c:tx>
            <c:strRef>
              <c:f>'Figure 8'!$C$5</c:f>
              <c:strCache>
                <c:ptCount val="1"/>
                <c:pt idx="0">
                  <c:v>FPE</c:v>
                </c:pt>
              </c:strCache>
            </c:strRef>
          </c:tx>
          <c:spPr>
            <a:ln w="19050" cap="rnd">
              <a:solidFill>
                <a:srgbClr val="6E445A"/>
              </a:solidFill>
              <a:round/>
            </a:ln>
            <a:effectLst/>
          </c:spPr>
          <c:marker>
            <c:symbol val="none"/>
          </c:marker>
          <c:cat>
            <c:strRef>
              <c:f>'Figure 8'!$B$6:$B$18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8'!$C$6:$C$18</c:f>
              <c:numCache>
                <c:formatCode>0</c:formatCode>
                <c:ptCount val="13"/>
                <c:pt idx="0">
                  <c:v>20.89</c:v>
                </c:pt>
                <c:pt idx="1">
                  <c:v>23.81</c:v>
                </c:pt>
                <c:pt idx="2">
                  <c:v>19.690000000000001</c:v>
                </c:pt>
                <c:pt idx="3">
                  <c:v>21.82</c:v>
                </c:pt>
                <c:pt idx="4">
                  <c:v>25.28</c:v>
                </c:pt>
                <c:pt idx="5">
                  <c:v>24.52</c:v>
                </c:pt>
                <c:pt idx="6">
                  <c:v>26.81</c:v>
                </c:pt>
                <c:pt idx="8">
                  <c:v>24.76</c:v>
                </c:pt>
                <c:pt idx="9">
                  <c:v>21.5</c:v>
                </c:pt>
                <c:pt idx="10">
                  <c:v>23.18</c:v>
                </c:pt>
                <c:pt idx="11">
                  <c:v>19.95</c:v>
                </c:pt>
                <c:pt idx="12">
                  <c:v>22.08</c:v>
                </c:pt>
              </c:numCache>
            </c:numRef>
          </c:val>
          <c:smooth val="0"/>
          <c:extLst>
            <c:ext xmlns:c16="http://schemas.microsoft.com/office/drawing/2014/chart" uri="{C3380CC4-5D6E-409C-BE32-E72D297353CC}">
              <c16:uniqueId val="{00000000-4960-413D-98A4-09DF379F01F7}"/>
            </c:ext>
          </c:extLst>
        </c:ser>
        <c:ser>
          <c:idx val="1"/>
          <c:order val="1"/>
          <c:tx>
            <c:strRef>
              <c:f>'Figure 8'!$D$5</c:f>
              <c:strCache>
                <c:ptCount val="1"/>
                <c:pt idx="0">
                  <c:v>FPT</c:v>
                </c:pt>
              </c:strCache>
            </c:strRef>
          </c:tx>
          <c:spPr>
            <a:ln w="19050" cap="rnd">
              <a:solidFill>
                <a:srgbClr val="009081"/>
              </a:solidFill>
              <a:round/>
            </a:ln>
            <a:effectLst/>
          </c:spPr>
          <c:marker>
            <c:symbol val="none"/>
          </c:marker>
          <c:cat>
            <c:strRef>
              <c:f>'Figure 8'!$B$6:$B$18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8'!$D$6:$D$18</c:f>
              <c:numCache>
                <c:formatCode>0</c:formatCode>
                <c:ptCount val="13"/>
                <c:pt idx="0">
                  <c:v>35.5</c:v>
                </c:pt>
                <c:pt idx="1">
                  <c:v>34.47</c:v>
                </c:pt>
                <c:pt idx="2">
                  <c:v>35.4</c:v>
                </c:pt>
                <c:pt idx="3">
                  <c:v>33.46</c:v>
                </c:pt>
                <c:pt idx="4">
                  <c:v>34.159999999999997</c:v>
                </c:pt>
                <c:pt idx="5">
                  <c:v>33.659999999999997</c:v>
                </c:pt>
                <c:pt idx="6">
                  <c:v>31.3</c:v>
                </c:pt>
                <c:pt idx="8">
                  <c:v>30.62</c:v>
                </c:pt>
                <c:pt idx="9">
                  <c:v>27.38</c:v>
                </c:pt>
                <c:pt idx="10">
                  <c:v>26.34</c:v>
                </c:pt>
                <c:pt idx="11">
                  <c:v>25.57</c:v>
                </c:pt>
                <c:pt idx="12">
                  <c:v>27.14</c:v>
                </c:pt>
              </c:numCache>
            </c:numRef>
          </c:val>
          <c:smooth val="0"/>
          <c:extLst>
            <c:ext xmlns:c16="http://schemas.microsoft.com/office/drawing/2014/chart" uri="{C3380CC4-5D6E-409C-BE32-E72D297353CC}">
              <c16:uniqueId val="{00000001-4960-413D-98A4-09DF379F01F7}"/>
            </c:ext>
          </c:extLst>
        </c:ser>
        <c:ser>
          <c:idx val="2"/>
          <c:order val="2"/>
          <c:tx>
            <c:strRef>
              <c:f>'Figure 8'!$E$5</c:f>
              <c:strCache>
                <c:ptCount val="1"/>
                <c:pt idx="0">
                  <c:v>FPH</c:v>
                </c:pt>
              </c:strCache>
            </c:strRef>
          </c:tx>
          <c:spPr>
            <a:ln w="19050" cap="rnd">
              <a:solidFill>
                <a:srgbClr val="C3992A"/>
              </a:solidFill>
              <a:round/>
            </a:ln>
            <a:effectLst/>
          </c:spPr>
          <c:marker>
            <c:symbol val="none"/>
          </c:marker>
          <c:cat>
            <c:strRef>
              <c:f>'Figure 8'!$B$6:$B$18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8'!$E$6:$E$18</c:f>
              <c:numCache>
                <c:formatCode>0</c:formatCode>
                <c:ptCount val="13"/>
                <c:pt idx="0">
                  <c:v>16.920000000000002</c:v>
                </c:pt>
                <c:pt idx="1">
                  <c:v>11.8</c:v>
                </c:pt>
                <c:pt idx="2">
                  <c:v>12.28</c:v>
                </c:pt>
                <c:pt idx="3">
                  <c:v>11.91</c:v>
                </c:pt>
                <c:pt idx="4">
                  <c:v>10.72</c:v>
                </c:pt>
                <c:pt idx="5">
                  <c:v>13.99</c:v>
                </c:pt>
                <c:pt idx="6">
                  <c:v>11.36</c:v>
                </c:pt>
                <c:pt idx="8">
                  <c:v>10.74</c:v>
                </c:pt>
                <c:pt idx="9">
                  <c:v>10.17</c:v>
                </c:pt>
                <c:pt idx="10">
                  <c:v>9.69</c:v>
                </c:pt>
                <c:pt idx="11">
                  <c:v>9.76</c:v>
                </c:pt>
                <c:pt idx="12">
                  <c:v>10.42</c:v>
                </c:pt>
              </c:numCache>
            </c:numRef>
          </c:val>
          <c:smooth val="0"/>
          <c:extLst>
            <c:ext xmlns:c16="http://schemas.microsoft.com/office/drawing/2014/chart" uri="{C3380CC4-5D6E-409C-BE32-E72D297353CC}">
              <c16:uniqueId val="{00000002-4960-413D-98A4-09DF379F01F7}"/>
            </c:ext>
          </c:extLst>
        </c:ser>
        <c:dLbls>
          <c:showLegendKey val="0"/>
          <c:showVal val="0"/>
          <c:showCatName val="0"/>
          <c:showSerName val="0"/>
          <c:showPercent val="0"/>
          <c:showBubbleSize val="0"/>
        </c:dLbls>
        <c:smooth val="0"/>
        <c:axId val="1163705999"/>
        <c:axId val="1163701423"/>
      </c:lineChart>
      <c:catAx>
        <c:axId val="116370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3701423"/>
        <c:crosses val="autoZero"/>
        <c:auto val="1"/>
        <c:lblAlgn val="ctr"/>
        <c:lblOffset val="100"/>
        <c:noMultiLvlLbl val="0"/>
      </c:catAx>
      <c:valAx>
        <c:axId val="1163701423"/>
        <c:scaling>
          <c:orientation val="minMax"/>
          <c:max val="45"/>
          <c:min val="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63705999"/>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3"/>
          <c:tx>
            <c:strRef>
              <c:f>'Figure 8'!$F$5</c:f>
              <c:strCache>
                <c:ptCount val="1"/>
                <c:pt idx="0">
                  <c:v>Ensemble fonction publique</c:v>
                </c:pt>
              </c:strCache>
            </c:strRef>
          </c:tx>
          <c:spPr>
            <a:ln w="34925" cap="rnd">
              <a:solidFill>
                <a:schemeClr val="bg1">
                  <a:lumMod val="65000"/>
                </a:schemeClr>
              </a:solidFill>
              <a:round/>
            </a:ln>
            <a:effectLst/>
          </c:spPr>
          <c:marker>
            <c:symbol val="none"/>
          </c:marker>
          <c:cat>
            <c:strRef>
              <c:f>'Figure 8'!$B$6:$B$18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8'!$F$6:$F$18</c:f>
              <c:numCache>
                <c:formatCode>0</c:formatCode>
                <c:ptCount val="13"/>
                <c:pt idx="0">
                  <c:v>26.31</c:v>
                </c:pt>
                <c:pt idx="1">
                  <c:v>26.05</c:v>
                </c:pt>
                <c:pt idx="2">
                  <c:v>25.13</c:v>
                </c:pt>
                <c:pt idx="3">
                  <c:v>24.66</c:v>
                </c:pt>
                <c:pt idx="4">
                  <c:v>26.12</c:v>
                </c:pt>
                <c:pt idx="5">
                  <c:v>26.12</c:v>
                </c:pt>
                <c:pt idx="6">
                  <c:v>25.87</c:v>
                </c:pt>
                <c:pt idx="8">
                  <c:v>24.12</c:v>
                </c:pt>
                <c:pt idx="9">
                  <c:v>21.37</c:v>
                </c:pt>
                <c:pt idx="10">
                  <c:v>21.46</c:v>
                </c:pt>
                <c:pt idx="11">
                  <c:v>19.8</c:v>
                </c:pt>
                <c:pt idx="12">
                  <c:v>21.22</c:v>
                </c:pt>
              </c:numCache>
            </c:numRef>
          </c:val>
          <c:smooth val="0"/>
          <c:extLst>
            <c:ext xmlns:c16="http://schemas.microsoft.com/office/drawing/2014/chart" uri="{C3380CC4-5D6E-409C-BE32-E72D297353CC}">
              <c16:uniqueId val="{00000003-52DD-4B20-B77F-6AB5F2DAC83D}"/>
            </c:ext>
          </c:extLst>
        </c:ser>
        <c:ser>
          <c:idx val="4"/>
          <c:order val="4"/>
          <c:tx>
            <c:strRef>
              <c:f>'Figure 8'!$G$5</c:f>
              <c:strCache>
                <c:ptCount val="1"/>
                <c:pt idx="0">
                  <c:v>Salariés du privé</c:v>
                </c:pt>
              </c:strCache>
            </c:strRef>
          </c:tx>
          <c:spPr>
            <a:ln w="19050" cap="flat" cmpd="sng" algn="ctr">
              <a:solidFill>
                <a:srgbClr val="D8C634"/>
              </a:solidFill>
              <a:prstDash val="solid"/>
              <a:round/>
            </a:ln>
            <a:effectLst/>
          </c:spPr>
          <c:marker>
            <c:symbol val="none"/>
          </c:marker>
          <c:cat>
            <c:strRef>
              <c:f>'Figure 8'!$B$6:$B$18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8'!$G$6:$G$18</c:f>
              <c:numCache>
                <c:formatCode>0</c:formatCode>
                <c:ptCount val="13"/>
                <c:pt idx="0">
                  <c:v>37.75</c:v>
                </c:pt>
                <c:pt idx="1">
                  <c:v>39.21</c:v>
                </c:pt>
                <c:pt idx="2">
                  <c:v>37.76</c:v>
                </c:pt>
                <c:pt idx="3">
                  <c:v>35.299999999999997</c:v>
                </c:pt>
                <c:pt idx="4">
                  <c:v>33.74</c:v>
                </c:pt>
                <c:pt idx="5">
                  <c:v>31.01</c:v>
                </c:pt>
                <c:pt idx="6">
                  <c:v>34.21</c:v>
                </c:pt>
                <c:pt idx="8">
                  <c:v>29.53</c:v>
                </c:pt>
                <c:pt idx="9">
                  <c:v>26.17</c:v>
                </c:pt>
                <c:pt idx="10">
                  <c:v>25</c:v>
                </c:pt>
                <c:pt idx="11">
                  <c:v>23.97</c:v>
                </c:pt>
                <c:pt idx="12">
                  <c:v>23.79</c:v>
                </c:pt>
              </c:numCache>
            </c:numRef>
          </c:val>
          <c:smooth val="0"/>
          <c:extLst>
            <c:ext xmlns:c16="http://schemas.microsoft.com/office/drawing/2014/chart" uri="{C3380CC4-5D6E-409C-BE32-E72D297353CC}">
              <c16:uniqueId val="{00000004-52DD-4B20-B77F-6AB5F2DAC83D}"/>
            </c:ext>
          </c:extLst>
        </c:ser>
        <c:dLbls>
          <c:showLegendKey val="0"/>
          <c:showVal val="0"/>
          <c:showCatName val="0"/>
          <c:showSerName val="0"/>
          <c:showPercent val="0"/>
          <c:showBubbleSize val="0"/>
        </c:dLbls>
        <c:smooth val="0"/>
        <c:axId val="1379138607"/>
        <c:axId val="1379151919"/>
        <c:extLst>
          <c:ext xmlns:c15="http://schemas.microsoft.com/office/drawing/2012/chart" uri="{02D57815-91ED-43cb-92C2-25804820EDAC}">
            <c15:filteredLineSeries>
              <c15:ser>
                <c:idx val="0"/>
                <c:order val="0"/>
                <c:tx>
                  <c:strRef>
                    <c:extLst>
                      <c:ext uri="{02D57815-91ED-43cb-92C2-25804820EDAC}">
                        <c15:formulaRef>
                          <c15:sqref>'Figure 8'!$C$5</c15:sqref>
                        </c15:formulaRef>
                      </c:ext>
                    </c:extLst>
                    <c:strCache>
                      <c:ptCount val="1"/>
                      <c:pt idx="0">
                        <c:v>FPE</c:v>
                      </c:pt>
                    </c:strCache>
                  </c:strRef>
                </c:tx>
                <c:spPr>
                  <a:ln w="28575" cap="rnd">
                    <a:solidFill>
                      <a:schemeClr val="accent1"/>
                    </a:solidFill>
                    <a:round/>
                  </a:ln>
                  <a:effectLst/>
                </c:spPr>
                <c:marker>
                  <c:symbol val="none"/>
                </c:marker>
                <c:cat>
                  <c:strRef>
                    <c:extLst>
                      <c:ext uri="{02D57815-91ED-43cb-92C2-25804820EDAC}">
                        <c15:formulaRef>
                          <c15:sqref>'Figure 8'!$B$6:$B$18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c:ext uri="{02D57815-91ED-43cb-92C2-25804820EDAC}">
                        <c15:formulaRef>
                          <c15:sqref>'Figure 8'!$C$6:$C$18</c15:sqref>
                        </c15:formulaRef>
                      </c:ext>
                    </c:extLst>
                    <c:numCache>
                      <c:formatCode>0</c:formatCode>
                      <c:ptCount val="13"/>
                      <c:pt idx="0">
                        <c:v>20.89</c:v>
                      </c:pt>
                      <c:pt idx="1">
                        <c:v>23.81</c:v>
                      </c:pt>
                      <c:pt idx="2">
                        <c:v>19.690000000000001</c:v>
                      </c:pt>
                      <c:pt idx="3">
                        <c:v>21.82</c:v>
                      </c:pt>
                      <c:pt idx="4">
                        <c:v>25.28</c:v>
                      </c:pt>
                      <c:pt idx="5">
                        <c:v>24.52</c:v>
                      </c:pt>
                      <c:pt idx="6">
                        <c:v>26.81</c:v>
                      </c:pt>
                      <c:pt idx="8">
                        <c:v>24.76</c:v>
                      </c:pt>
                      <c:pt idx="9">
                        <c:v>21.5</c:v>
                      </c:pt>
                      <c:pt idx="10">
                        <c:v>23.18</c:v>
                      </c:pt>
                      <c:pt idx="11">
                        <c:v>19.95</c:v>
                      </c:pt>
                      <c:pt idx="12">
                        <c:v>22.08</c:v>
                      </c:pt>
                    </c:numCache>
                  </c:numRef>
                </c:val>
                <c:smooth val="0"/>
                <c:extLst>
                  <c:ext xmlns:c16="http://schemas.microsoft.com/office/drawing/2014/chart" uri="{C3380CC4-5D6E-409C-BE32-E72D297353CC}">
                    <c16:uniqueId val="{00000000-52DD-4B20-B77F-6AB5F2DAC83D}"/>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'Figure 8'!$D$5</c15:sqref>
                        </c15:formulaRef>
                      </c:ext>
                    </c:extLst>
                    <c:strCache>
                      <c:ptCount val="1"/>
                      <c:pt idx="0">
                        <c:v>FPT</c:v>
                      </c:pt>
                    </c:strCache>
                  </c:strRef>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'Figure 8'!$B$6:$B$18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8'!$D$6:$D$18</c15:sqref>
                        </c15:formulaRef>
                      </c:ext>
                    </c:extLst>
                    <c:numCache>
                      <c:formatCode>0</c:formatCode>
                      <c:ptCount val="13"/>
                      <c:pt idx="0">
                        <c:v>35.5</c:v>
                      </c:pt>
                      <c:pt idx="1">
                        <c:v>34.47</c:v>
                      </c:pt>
                      <c:pt idx="2">
                        <c:v>35.4</c:v>
                      </c:pt>
                      <c:pt idx="3">
                        <c:v>33.46</c:v>
                      </c:pt>
                      <c:pt idx="4">
                        <c:v>34.159999999999997</c:v>
                      </c:pt>
                      <c:pt idx="5">
                        <c:v>33.659999999999997</c:v>
                      </c:pt>
                      <c:pt idx="6">
                        <c:v>31.3</c:v>
                      </c:pt>
                      <c:pt idx="8">
                        <c:v>30.62</c:v>
                      </c:pt>
                      <c:pt idx="9">
                        <c:v>27.38</c:v>
                      </c:pt>
                      <c:pt idx="10">
                        <c:v>26.34</c:v>
                      </c:pt>
                      <c:pt idx="11">
                        <c:v>25.57</c:v>
                      </c:pt>
                      <c:pt idx="12">
                        <c:v>27.14</c:v>
                      </c:pt>
                    </c:numCache>
                  </c:numRef>
                </c:val>
                <c:smooth val="0"/>
                <c:extLst xmlns:c15="http://schemas.microsoft.com/office/drawing/2012/chart">
                  <c:ext xmlns:c16="http://schemas.microsoft.com/office/drawing/2014/chart" uri="{C3380CC4-5D6E-409C-BE32-E72D297353CC}">
                    <c16:uniqueId val="{00000001-52DD-4B20-B77F-6AB5F2DAC83D}"/>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'Figure 8'!$E$5</c15:sqref>
                        </c15:formulaRef>
                      </c:ext>
                    </c:extLst>
                    <c:strCache>
                      <c:ptCount val="1"/>
                      <c:pt idx="0">
                        <c:v>FPH</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'Figure 8'!$B$6:$B$18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8'!$E$6:$E$18</c15:sqref>
                        </c15:formulaRef>
                      </c:ext>
                    </c:extLst>
                    <c:numCache>
                      <c:formatCode>0</c:formatCode>
                      <c:ptCount val="13"/>
                      <c:pt idx="0">
                        <c:v>16.920000000000002</c:v>
                      </c:pt>
                      <c:pt idx="1">
                        <c:v>11.8</c:v>
                      </c:pt>
                      <c:pt idx="2">
                        <c:v>12.28</c:v>
                      </c:pt>
                      <c:pt idx="3">
                        <c:v>11.91</c:v>
                      </c:pt>
                      <c:pt idx="4">
                        <c:v>10.72</c:v>
                      </c:pt>
                      <c:pt idx="5">
                        <c:v>13.99</c:v>
                      </c:pt>
                      <c:pt idx="6">
                        <c:v>11.36</c:v>
                      </c:pt>
                      <c:pt idx="8">
                        <c:v>10.74</c:v>
                      </c:pt>
                      <c:pt idx="9">
                        <c:v>10.17</c:v>
                      </c:pt>
                      <c:pt idx="10">
                        <c:v>9.69</c:v>
                      </c:pt>
                      <c:pt idx="11">
                        <c:v>9.76</c:v>
                      </c:pt>
                      <c:pt idx="12">
                        <c:v>10.42</c:v>
                      </c:pt>
                    </c:numCache>
                  </c:numRef>
                </c:val>
                <c:smooth val="0"/>
                <c:extLst xmlns:c15="http://schemas.microsoft.com/office/drawing/2012/chart">
                  <c:ext xmlns:c16="http://schemas.microsoft.com/office/drawing/2014/chart" uri="{C3380CC4-5D6E-409C-BE32-E72D297353CC}">
                    <c16:uniqueId val="{00000002-52DD-4B20-B77F-6AB5F2DAC83D}"/>
                  </c:ext>
                </c:extLst>
              </c15:ser>
            </c15:filteredLineSeries>
          </c:ext>
        </c:extLst>
      </c:lineChart>
      <c:catAx>
        <c:axId val="137913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79151919"/>
        <c:crosses val="autoZero"/>
        <c:auto val="1"/>
        <c:lblAlgn val="ctr"/>
        <c:lblOffset val="100"/>
        <c:noMultiLvlLbl val="0"/>
      </c:catAx>
      <c:valAx>
        <c:axId val="1379151919"/>
        <c:scaling>
          <c:orientation val="minMax"/>
          <c:max val="45"/>
          <c:min val="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79138607"/>
        <c:crosses val="autoZero"/>
        <c:crossBetween val="between"/>
      </c:valAx>
      <c:spPr>
        <a:noFill/>
        <a:ln>
          <a:noFill/>
        </a:ln>
        <a:effectLst/>
      </c:spPr>
    </c:plotArea>
    <c:legend>
      <c:legendPos val="b"/>
      <c:layout>
        <c:manualLayout>
          <c:xMode val="edge"/>
          <c:yMode val="edge"/>
          <c:x val="8.2250469212543725E-2"/>
          <c:y val="0.84117535896248263"/>
          <c:w val="0.8077017613937939"/>
          <c:h val="0.130589346919870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'Figure 9'!$B$7</c:f>
              <c:strCache>
                <c:ptCount val="1"/>
                <c:pt idx="0">
                  <c:v>FPE</c:v>
                </c:pt>
              </c:strCache>
            </c:strRef>
          </c:tx>
          <c:spPr>
            <a:solidFill>
              <a:srgbClr val="6E445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9'!$C$6:$G$6</c:f>
              <c:strCache>
                <c:ptCount val="5"/>
                <c:pt idx="0">
                  <c:v>Horaires alternants1</c:v>
                </c:pt>
                <c:pt idx="1">
                  <c:v>Le samedi</c:v>
                </c:pt>
                <c:pt idx="2">
                  <c:v>Le dimanche</c:v>
                </c:pt>
                <c:pt idx="3">
                  <c:v>Le soir</c:v>
                </c:pt>
                <c:pt idx="4">
                  <c:v>La nuit</c:v>
                </c:pt>
              </c:strCache>
            </c:strRef>
          </c:cat>
          <c:val>
            <c:numRef>
              <c:f>'Figure 9'!$C$7:$G$7</c:f>
              <c:numCache>
                <c:formatCode>0</c:formatCode>
                <c:ptCount val="5"/>
                <c:pt idx="0">
                  <c:v>1.6</c:v>
                </c:pt>
                <c:pt idx="1">
                  <c:v>44.34</c:v>
                </c:pt>
                <c:pt idx="2">
                  <c:v>35.96</c:v>
                </c:pt>
                <c:pt idx="3">
                  <c:v>42.31</c:v>
                </c:pt>
                <c:pt idx="4">
                  <c:v>13.45</c:v>
                </c:pt>
              </c:numCache>
            </c:numRef>
          </c:val>
          <c:extLst>
            <c:ext xmlns:c16="http://schemas.microsoft.com/office/drawing/2014/chart" uri="{C3380CC4-5D6E-409C-BE32-E72D297353CC}">
              <c16:uniqueId val="{00000000-1467-44E3-A541-C81308A99C8E}"/>
            </c:ext>
          </c:extLst>
        </c:ser>
        <c:ser>
          <c:idx val="1"/>
          <c:order val="1"/>
          <c:tx>
            <c:strRef>
              <c:f>'Figure 9'!$B$8</c:f>
              <c:strCache>
                <c:ptCount val="1"/>
                <c:pt idx="0">
                  <c:v>FPT</c:v>
                </c:pt>
              </c:strCache>
            </c:strRef>
          </c:tx>
          <c:spPr>
            <a:solidFill>
              <a:srgbClr val="009081"/>
            </a:solidFill>
            <a:ln>
              <a:solidFill>
                <a:srgbClr val="00908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9'!$C$6:$G$6</c:f>
              <c:strCache>
                <c:ptCount val="5"/>
                <c:pt idx="0">
                  <c:v>Horaires alternants1</c:v>
                </c:pt>
                <c:pt idx="1">
                  <c:v>Le samedi</c:v>
                </c:pt>
                <c:pt idx="2">
                  <c:v>Le dimanche</c:v>
                </c:pt>
                <c:pt idx="3">
                  <c:v>Le soir</c:v>
                </c:pt>
                <c:pt idx="4">
                  <c:v>La nuit</c:v>
                </c:pt>
              </c:strCache>
            </c:strRef>
          </c:cat>
          <c:val>
            <c:numRef>
              <c:f>'Figure 9'!$C$8:$G$8</c:f>
              <c:numCache>
                <c:formatCode>0</c:formatCode>
                <c:ptCount val="5"/>
                <c:pt idx="0">
                  <c:v>2.76</c:v>
                </c:pt>
                <c:pt idx="1">
                  <c:v>25.42</c:v>
                </c:pt>
                <c:pt idx="2">
                  <c:v>15.14</c:v>
                </c:pt>
                <c:pt idx="3">
                  <c:v>17.559999999999999</c:v>
                </c:pt>
                <c:pt idx="4">
                  <c:v>6.45</c:v>
                </c:pt>
              </c:numCache>
            </c:numRef>
          </c:val>
          <c:extLst>
            <c:ext xmlns:c16="http://schemas.microsoft.com/office/drawing/2014/chart" uri="{C3380CC4-5D6E-409C-BE32-E72D297353CC}">
              <c16:uniqueId val="{00000001-1467-44E3-A541-C81308A99C8E}"/>
            </c:ext>
          </c:extLst>
        </c:ser>
        <c:ser>
          <c:idx val="2"/>
          <c:order val="2"/>
          <c:tx>
            <c:strRef>
              <c:f>'Figure 9'!$B$9</c:f>
              <c:strCache>
                <c:ptCount val="1"/>
                <c:pt idx="0">
                  <c:v>FPH</c:v>
                </c:pt>
              </c:strCache>
            </c:strRef>
          </c:tx>
          <c:spPr>
            <a:solidFill>
              <a:srgbClr val="C3992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9'!$C$6:$G$6</c:f>
              <c:strCache>
                <c:ptCount val="5"/>
                <c:pt idx="0">
                  <c:v>Horaires alternants1</c:v>
                </c:pt>
                <c:pt idx="1">
                  <c:v>Le samedi</c:v>
                </c:pt>
                <c:pt idx="2">
                  <c:v>Le dimanche</c:v>
                </c:pt>
                <c:pt idx="3">
                  <c:v>Le soir</c:v>
                </c:pt>
                <c:pt idx="4">
                  <c:v>La nuit</c:v>
                </c:pt>
              </c:strCache>
            </c:strRef>
          </c:cat>
          <c:val>
            <c:numRef>
              <c:f>'Figure 9'!$C$9:$G$9</c:f>
              <c:numCache>
                <c:formatCode>0</c:formatCode>
                <c:ptCount val="5"/>
                <c:pt idx="0">
                  <c:v>12.37</c:v>
                </c:pt>
                <c:pt idx="1">
                  <c:v>58.14</c:v>
                </c:pt>
                <c:pt idx="2">
                  <c:v>55.73</c:v>
                </c:pt>
                <c:pt idx="3">
                  <c:v>46.41</c:v>
                </c:pt>
                <c:pt idx="4">
                  <c:v>26.25</c:v>
                </c:pt>
              </c:numCache>
            </c:numRef>
          </c:val>
          <c:extLst>
            <c:ext xmlns:c16="http://schemas.microsoft.com/office/drawing/2014/chart" uri="{C3380CC4-5D6E-409C-BE32-E72D297353CC}">
              <c16:uniqueId val="{00000002-1467-44E3-A541-C81308A99C8E}"/>
            </c:ext>
          </c:extLst>
        </c:ser>
        <c:ser>
          <c:idx val="3"/>
          <c:order val="3"/>
          <c:tx>
            <c:strRef>
              <c:f>'Figure 9'!$B$10</c:f>
              <c:strCache>
                <c:ptCount val="1"/>
                <c:pt idx="0">
                  <c:v>Ensemble fonction publique</c:v>
                </c:pt>
              </c:strCache>
            </c:strRef>
          </c:tx>
          <c:spPr>
            <a:solidFill>
              <a:schemeClr val="bg1">
                <a:lumMod val="65000"/>
              </a:schemeClr>
            </a:solidFill>
            <a:ln>
              <a:solidFill>
                <a:schemeClr val="bg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9'!$C$6:$G$6</c:f>
              <c:strCache>
                <c:ptCount val="5"/>
                <c:pt idx="0">
                  <c:v>Horaires alternants1</c:v>
                </c:pt>
                <c:pt idx="1">
                  <c:v>Le samedi</c:v>
                </c:pt>
                <c:pt idx="2">
                  <c:v>Le dimanche</c:v>
                </c:pt>
                <c:pt idx="3">
                  <c:v>Le soir</c:v>
                </c:pt>
                <c:pt idx="4">
                  <c:v>La nuit</c:v>
                </c:pt>
              </c:strCache>
            </c:strRef>
          </c:cat>
          <c:val>
            <c:numRef>
              <c:f>'Figure 9'!$C$10:$G$10</c:f>
              <c:numCache>
                <c:formatCode>0</c:formatCode>
                <c:ptCount val="5"/>
                <c:pt idx="0">
                  <c:v>4.07</c:v>
                </c:pt>
                <c:pt idx="1">
                  <c:v>40.67</c:v>
                </c:pt>
                <c:pt idx="2">
                  <c:v>32.81</c:v>
                </c:pt>
                <c:pt idx="3">
                  <c:v>34.81</c:v>
                </c:pt>
                <c:pt idx="4">
                  <c:v>13.58</c:v>
                </c:pt>
              </c:numCache>
            </c:numRef>
          </c:val>
          <c:extLst>
            <c:ext xmlns:c16="http://schemas.microsoft.com/office/drawing/2014/chart" uri="{C3380CC4-5D6E-409C-BE32-E72D297353CC}">
              <c16:uniqueId val="{00000003-1467-44E3-A541-C81308A99C8E}"/>
            </c:ext>
          </c:extLst>
        </c:ser>
        <c:ser>
          <c:idx val="4"/>
          <c:order val="4"/>
          <c:tx>
            <c:strRef>
              <c:f>'Figure 9'!$B$11</c:f>
              <c:strCache>
                <c:ptCount val="1"/>
                <c:pt idx="0">
                  <c:v>Salariés du privé</c:v>
                </c:pt>
              </c:strCache>
            </c:strRef>
          </c:tx>
          <c:spPr>
            <a:solidFill>
              <a:srgbClr val="DFD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9'!$C$6:$G$6</c:f>
              <c:strCache>
                <c:ptCount val="5"/>
                <c:pt idx="0">
                  <c:v>Horaires alternants1</c:v>
                </c:pt>
                <c:pt idx="1">
                  <c:v>Le samedi</c:v>
                </c:pt>
                <c:pt idx="2">
                  <c:v>Le dimanche</c:v>
                </c:pt>
                <c:pt idx="3">
                  <c:v>Le soir</c:v>
                </c:pt>
                <c:pt idx="4">
                  <c:v>La nuit</c:v>
                </c:pt>
              </c:strCache>
            </c:strRef>
          </c:cat>
          <c:val>
            <c:numRef>
              <c:f>'Figure 9'!$C$11:$G$11</c:f>
              <c:numCache>
                <c:formatCode>0</c:formatCode>
                <c:ptCount val="5"/>
                <c:pt idx="0">
                  <c:v>6.58</c:v>
                </c:pt>
                <c:pt idx="1">
                  <c:v>34.29</c:v>
                </c:pt>
                <c:pt idx="2">
                  <c:v>17.43</c:v>
                </c:pt>
                <c:pt idx="3">
                  <c:v>25.06</c:v>
                </c:pt>
                <c:pt idx="4">
                  <c:v>9.9700000000000006</c:v>
                </c:pt>
              </c:numCache>
            </c:numRef>
          </c:val>
          <c:extLst>
            <c:ext xmlns:c16="http://schemas.microsoft.com/office/drawing/2014/chart" uri="{C3380CC4-5D6E-409C-BE32-E72D297353CC}">
              <c16:uniqueId val="{00000004-1467-44E3-A541-C81308A99C8E}"/>
            </c:ext>
          </c:extLst>
        </c:ser>
        <c:dLbls>
          <c:dLblPos val="outEnd"/>
          <c:showLegendKey val="0"/>
          <c:showVal val="1"/>
          <c:showCatName val="0"/>
          <c:showSerName val="0"/>
          <c:showPercent val="0"/>
          <c:showBubbleSize val="0"/>
        </c:dLbls>
        <c:gapWidth val="219"/>
        <c:overlap val="-27"/>
        <c:axId val="1408140511"/>
        <c:axId val="1408141759"/>
      </c:barChart>
      <c:catAx>
        <c:axId val="140814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08141759"/>
        <c:crosses val="autoZero"/>
        <c:auto val="1"/>
        <c:lblAlgn val="ctr"/>
        <c:lblOffset val="100"/>
        <c:noMultiLvlLbl val="0"/>
      </c:catAx>
      <c:valAx>
        <c:axId val="1408141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08140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fr-FR" sz="1000" b="0">
                <a:solidFill>
                  <a:sysClr val="windowText" lastClr="000000"/>
                </a:solidFill>
              </a:rPr>
              <a:t>Fonction publique</a:t>
            </a: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4.1143505710434847E-2"/>
          <c:y val="0.14020887838458393"/>
          <c:w val="0.73470809392069247"/>
          <c:h val="0.73566983902293115"/>
        </c:manualLayout>
      </c:layout>
      <c:barChart>
        <c:barDir val="col"/>
        <c:grouping val="percentStacked"/>
        <c:varyColors val="0"/>
        <c:ser>
          <c:idx val="0"/>
          <c:order val="0"/>
          <c:tx>
            <c:strRef>
              <c:f>'Figure 13'!$C$6</c:f>
              <c:strCache>
                <c:ptCount val="1"/>
                <c:pt idx="0">
                  <c:v>Un jour¹</c:v>
                </c:pt>
              </c:strCache>
            </c:strRef>
          </c:tx>
          <c:spPr>
            <a:solidFill>
              <a:srgbClr val="34BA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 13'!$B$7:$B$11</c:f>
              <c:numCache>
                <c:formatCode>General</c:formatCode>
                <c:ptCount val="5"/>
                <c:pt idx="0">
                  <c:v>2021</c:v>
                </c:pt>
                <c:pt idx="1">
                  <c:v>2022</c:v>
                </c:pt>
                <c:pt idx="2">
                  <c:v>2023</c:v>
                </c:pt>
                <c:pt idx="3">
                  <c:v>2024</c:v>
                </c:pt>
                <c:pt idx="4">
                  <c:v>2025</c:v>
                </c:pt>
              </c:numCache>
            </c:numRef>
          </c:cat>
          <c:val>
            <c:numRef>
              <c:f>'Figure 13'!$C$7:$C$11</c:f>
              <c:numCache>
                <c:formatCode>0</c:formatCode>
                <c:ptCount val="5"/>
                <c:pt idx="0">
                  <c:v>32.68</c:v>
                </c:pt>
                <c:pt idx="1">
                  <c:v>49.67</c:v>
                </c:pt>
                <c:pt idx="2">
                  <c:v>60.58</c:v>
                </c:pt>
                <c:pt idx="3">
                  <c:v>57.25</c:v>
                </c:pt>
                <c:pt idx="4">
                  <c:v>60.19</c:v>
                </c:pt>
              </c:numCache>
            </c:numRef>
          </c:val>
          <c:extLst>
            <c:ext xmlns:c16="http://schemas.microsoft.com/office/drawing/2014/chart" uri="{C3380CC4-5D6E-409C-BE32-E72D297353CC}">
              <c16:uniqueId val="{00000000-8A37-46BA-BB04-3ADCB3193BB8}"/>
            </c:ext>
          </c:extLst>
        </c:ser>
        <c:ser>
          <c:idx val="1"/>
          <c:order val="1"/>
          <c:tx>
            <c:strRef>
              <c:f>'Figure 13'!$D$6</c:f>
              <c:strCache>
                <c:ptCount val="1"/>
                <c:pt idx="0">
                  <c:v>Deux jours </c:v>
                </c:pt>
              </c:strCache>
            </c:strRef>
          </c:tx>
          <c:spPr>
            <a:solidFill>
              <a:srgbClr val="37635F"/>
            </a:solidFill>
            <a:ln>
              <a:solidFill>
                <a:srgbClr val="37635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 13'!$B$7:$B$11</c:f>
              <c:numCache>
                <c:formatCode>General</c:formatCode>
                <c:ptCount val="5"/>
                <c:pt idx="0">
                  <c:v>2021</c:v>
                </c:pt>
                <c:pt idx="1">
                  <c:v>2022</c:v>
                </c:pt>
                <c:pt idx="2">
                  <c:v>2023</c:v>
                </c:pt>
                <c:pt idx="3">
                  <c:v>2024</c:v>
                </c:pt>
                <c:pt idx="4">
                  <c:v>2025</c:v>
                </c:pt>
              </c:numCache>
            </c:numRef>
          </c:cat>
          <c:val>
            <c:numRef>
              <c:f>'Figure 13'!$D$7:$D$11</c:f>
              <c:numCache>
                <c:formatCode>0</c:formatCode>
                <c:ptCount val="5"/>
                <c:pt idx="0">
                  <c:v>27.42</c:v>
                </c:pt>
                <c:pt idx="1">
                  <c:v>30.09</c:v>
                </c:pt>
                <c:pt idx="2">
                  <c:v>27.89</c:v>
                </c:pt>
                <c:pt idx="3">
                  <c:v>30.86</c:v>
                </c:pt>
                <c:pt idx="4">
                  <c:v>28.8</c:v>
                </c:pt>
              </c:numCache>
            </c:numRef>
          </c:val>
          <c:extLst>
            <c:ext xmlns:c16="http://schemas.microsoft.com/office/drawing/2014/chart" uri="{C3380CC4-5D6E-409C-BE32-E72D297353CC}">
              <c16:uniqueId val="{00000001-8A37-46BA-BB04-3ADCB3193BB8}"/>
            </c:ext>
          </c:extLst>
        </c:ser>
        <c:ser>
          <c:idx val="2"/>
          <c:order val="2"/>
          <c:tx>
            <c:strRef>
              <c:f>'Figure 13'!$E$6</c:f>
              <c:strCache>
                <c:ptCount val="1"/>
                <c:pt idx="0">
                  <c:v>Trois jours
ou plus</c:v>
                </c:pt>
              </c:strCache>
            </c:strRef>
          </c:tx>
          <c:spPr>
            <a:solidFill>
              <a:srgbClr val="CE614A"/>
            </a:solidFill>
            <a:ln>
              <a:solidFill>
                <a:srgbClr val="CE614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 13'!$B$7:$B$11</c:f>
              <c:numCache>
                <c:formatCode>General</c:formatCode>
                <c:ptCount val="5"/>
                <c:pt idx="0">
                  <c:v>2021</c:v>
                </c:pt>
                <c:pt idx="1">
                  <c:v>2022</c:v>
                </c:pt>
                <c:pt idx="2">
                  <c:v>2023</c:v>
                </c:pt>
                <c:pt idx="3">
                  <c:v>2024</c:v>
                </c:pt>
                <c:pt idx="4">
                  <c:v>2025</c:v>
                </c:pt>
              </c:numCache>
            </c:numRef>
          </c:cat>
          <c:val>
            <c:numRef>
              <c:f>'Figure 13'!$E$7:$E$11</c:f>
              <c:numCache>
                <c:formatCode>0</c:formatCode>
                <c:ptCount val="5"/>
                <c:pt idx="0">
                  <c:v>39.89</c:v>
                </c:pt>
                <c:pt idx="1">
                  <c:v>20.239999999999998</c:v>
                </c:pt>
                <c:pt idx="2">
                  <c:v>11.53</c:v>
                </c:pt>
                <c:pt idx="3">
                  <c:v>11.89</c:v>
                </c:pt>
                <c:pt idx="4">
                  <c:v>11.01</c:v>
                </c:pt>
              </c:numCache>
            </c:numRef>
          </c:val>
          <c:extLst>
            <c:ext xmlns:c16="http://schemas.microsoft.com/office/drawing/2014/chart" uri="{C3380CC4-5D6E-409C-BE32-E72D297353CC}">
              <c16:uniqueId val="{00000002-8A37-46BA-BB04-3ADCB3193BB8}"/>
            </c:ext>
          </c:extLst>
        </c:ser>
        <c:dLbls>
          <c:showLegendKey val="0"/>
          <c:showVal val="0"/>
          <c:showCatName val="0"/>
          <c:showSerName val="0"/>
          <c:showPercent val="0"/>
          <c:showBubbleSize val="0"/>
        </c:dLbls>
        <c:gapWidth val="150"/>
        <c:overlap val="100"/>
        <c:axId val="1500394671"/>
        <c:axId val="1500399247"/>
      </c:barChart>
      <c:catAx>
        <c:axId val="1500394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00399247"/>
        <c:crosses val="autoZero"/>
        <c:auto val="1"/>
        <c:lblAlgn val="ctr"/>
        <c:lblOffset val="100"/>
        <c:noMultiLvlLbl val="0"/>
      </c:catAx>
      <c:valAx>
        <c:axId val="150039924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00394671"/>
        <c:crosses val="autoZero"/>
        <c:crossBetween val="between"/>
      </c:valAx>
      <c:spPr>
        <a:noFill/>
        <a:ln>
          <a:noFill/>
        </a:ln>
        <a:effectLst/>
      </c:spPr>
    </c:plotArea>
    <c:legend>
      <c:legendPos val="r"/>
      <c:layout>
        <c:manualLayout>
          <c:xMode val="edge"/>
          <c:yMode val="edge"/>
          <c:x val="0.78877598070511457"/>
          <c:y val="0.13604689863205302"/>
          <c:w val="0.18419699226785843"/>
          <c:h val="0.7183023470380809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fr-FR"/>
              <a:t>Salariés du privé</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fr-FR"/>
        </a:p>
      </c:txPr>
    </c:title>
    <c:autoTitleDeleted val="0"/>
    <c:plotArea>
      <c:layout/>
      <c:barChart>
        <c:barDir val="col"/>
        <c:grouping val="percentStacked"/>
        <c:varyColors val="0"/>
        <c:ser>
          <c:idx val="0"/>
          <c:order val="0"/>
          <c:tx>
            <c:strRef>
              <c:f>'Figure 13'!$F$6</c:f>
              <c:strCache>
                <c:ptCount val="1"/>
                <c:pt idx="0">
                  <c:v>Un jour¹</c:v>
                </c:pt>
              </c:strCache>
            </c:strRef>
          </c:tx>
          <c:spPr>
            <a:solidFill>
              <a:srgbClr val="34BAB5"/>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 13'!$B$7:$B$11</c:f>
              <c:numCache>
                <c:formatCode>General</c:formatCode>
                <c:ptCount val="5"/>
                <c:pt idx="0">
                  <c:v>2021</c:v>
                </c:pt>
                <c:pt idx="1">
                  <c:v>2022</c:v>
                </c:pt>
                <c:pt idx="2">
                  <c:v>2023</c:v>
                </c:pt>
                <c:pt idx="3">
                  <c:v>2024</c:v>
                </c:pt>
                <c:pt idx="4">
                  <c:v>2025</c:v>
                </c:pt>
              </c:numCache>
            </c:numRef>
          </c:cat>
          <c:val>
            <c:numRef>
              <c:f>'Figure 13'!$F$7:$F$11</c:f>
              <c:numCache>
                <c:formatCode>0</c:formatCode>
                <c:ptCount val="5"/>
                <c:pt idx="0">
                  <c:v>23.5</c:v>
                </c:pt>
                <c:pt idx="1">
                  <c:v>33.71</c:v>
                </c:pt>
                <c:pt idx="2">
                  <c:v>40.56</c:v>
                </c:pt>
                <c:pt idx="3">
                  <c:v>41.45</c:v>
                </c:pt>
                <c:pt idx="4">
                  <c:v>42.35</c:v>
                </c:pt>
              </c:numCache>
            </c:numRef>
          </c:val>
          <c:extLst>
            <c:ext xmlns:c16="http://schemas.microsoft.com/office/drawing/2014/chart" uri="{C3380CC4-5D6E-409C-BE32-E72D297353CC}">
              <c16:uniqueId val="{00000000-F2A2-4FBC-9DC3-D7BA011EE125}"/>
            </c:ext>
          </c:extLst>
        </c:ser>
        <c:ser>
          <c:idx val="1"/>
          <c:order val="1"/>
          <c:tx>
            <c:strRef>
              <c:f>'Figure 13'!$G$6</c:f>
              <c:strCache>
                <c:ptCount val="1"/>
                <c:pt idx="0">
                  <c:v>Deux jours </c:v>
                </c:pt>
              </c:strCache>
            </c:strRef>
          </c:tx>
          <c:spPr>
            <a:solidFill>
              <a:srgbClr val="37635F"/>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 13'!$B$7:$B$11</c:f>
              <c:numCache>
                <c:formatCode>General</c:formatCode>
                <c:ptCount val="5"/>
                <c:pt idx="0">
                  <c:v>2021</c:v>
                </c:pt>
                <c:pt idx="1">
                  <c:v>2022</c:v>
                </c:pt>
                <c:pt idx="2">
                  <c:v>2023</c:v>
                </c:pt>
                <c:pt idx="3">
                  <c:v>2024</c:v>
                </c:pt>
                <c:pt idx="4">
                  <c:v>2025</c:v>
                </c:pt>
              </c:numCache>
            </c:numRef>
          </c:cat>
          <c:val>
            <c:numRef>
              <c:f>'Figure 13'!$G$7:$G$11</c:f>
              <c:numCache>
                <c:formatCode>0</c:formatCode>
                <c:ptCount val="5"/>
                <c:pt idx="0">
                  <c:v>24.13</c:v>
                </c:pt>
                <c:pt idx="1">
                  <c:v>35.840000000000003</c:v>
                </c:pt>
                <c:pt idx="2">
                  <c:v>35.36</c:v>
                </c:pt>
                <c:pt idx="3">
                  <c:v>34.450000000000003</c:v>
                </c:pt>
                <c:pt idx="4">
                  <c:v>35.85</c:v>
                </c:pt>
              </c:numCache>
            </c:numRef>
          </c:val>
          <c:extLst>
            <c:ext xmlns:c16="http://schemas.microsoft.com/office/drawing/2014/chart" uri="{C3380CC4-5D6E-409C-BE32-E72D297353CC}">
              <c16:uniqueId val="{00000001-F2A2-4FBC-9DC3-D7BA011EE125}"/>
            </c:ext>
          </c:extLst>
        </c:ser>
        <c:ser>
          <c:idx val="2"/>
          <c:order val="2"/>
          <c:tx>
            <c:strRef>
              <c:f>'Figure 13'!$H$6</c:f>
              <c:strCache>
                <c:ptCount val="1"/>
                <c:pt idx="0">
                  <c:v>Trois jours
ou plus</c:v>
                </c:pt>
              </c:strCache>
            </c:strRef>
          </c:tx>
          <c:spPr>
            <a:solidFill>
              <a:srgbClr val="CE614A"/>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 13'!$B$7:$B$11</c:f>
              <c:numCache>
                <c:formatCode>General</c:formatCode>
                <c:ptCount val="5"/>
                <c:pt idx="0">
                  <c:v>2021</c:v>
                </c:pt>
                <c:pt idx="1">
                  <c:v>2022</c:v>
                </c:pt>
                <c:pt idx="2">
                  <c:v>2023</c:v>
                </c:pt>
                <c:pt idx="3">
                  <c:v>2024</c:v>
                </c:pt>
                <c:pt idx="4">
                  <c:v>2025</c:v>
                </c:pt>
              </c:numCache>
            </c:numRef>
          </c:cat>
          <c:val>
            <c:numRef>
              <c:f>'Figure 13'!$H$7:$H$11</c:f>
              <c:numCache>
                <c:formatCode>0</c:formatCode>
                <c:ptCount val="5"/>
                <c:pt idx="0">
                  <c:v>52.37</c:v>
                </c:pt>
                <c:pt idx="1">
                  <c:v>30.45</c:v>
                </c:pt>
                <c:pt idx="2">
                  <c:v>24.07</c:v>
                </c:pt>
                <c:pt idx="3">
                  <c:v>24.1</c:v>
                </c:pt>
                <c:pt idx="4">
                  <c:v>21.76</c:v>
                </c:pt>
              </c:numCache>
            </c:numRef>
          </c:val>
          <c:extLst>
            <c:ext xmlns:c16="http://schemas.microsoft.com/office/drawing/2014/chart" uri="{C3380CC4-5D6E-409C-BE32-E72D297353CC}">
              <c16:uniqueId val="{00000002-F2A2-4FBC-9DC3-D7BA011EE125}"/>
            </c:ext>
          </c:extLst>
        </c:ser>
        <c:dLbls>
          <c:showLegendKey val="0"/>
          <c:showVal val="0"/>
          <c:showCatName val="0"/>
          <c:showSerName val="0"/>
          <c:showPercent val="0"/>
          <c:showBubbleSize val="0"/>
        </c:dLbls>
        <c:gapWidth val="150"/>
        <c:overlap val="100"/>
        <c:axId val="1500394671"/>
        <c:axId val="1500399247"/>
      </c:barChart>
      <c:catAx>
        <c:axId val="150039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fr-FR"/>
          </a:p>
        </c:txPr>
        <c:crossAx val="1500399247"/>
        <c:crosses val="autoZero"/>
        <c:auto val="1"/>
        <c:lblAlgn val="ctr"/>
        <c:lblOffset val="100"/>
        <c:noMultiLvlLbl val="0"/>
      </c:catAx>
      <c:valAx>
        <c:axId val="1500399247"/>
        <c:scaling>
          <c:orientation val="minMax"/>
        </c:scaling>
        <c:delete val="0"/>
        <c:axPos val="l"/>
        <c:majorGridlines>
          <c:spPr>
            <a:ln w="0" cap="flat" cmpd="sng" algn="ctr">
              <a:solidFill>
                <a:schemeClr val="tx1">
                  <a:lumMod val="15000"/>
                  <a:lumOff val="85000"/>
                </a:schemeClr>
              </a:solidFill>
              <a:round/>
            </a:ln>
            <a:effectLst/>
          </c:spPr>
        </c:majorGridlines>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fr-FR"/>
          </a:p>
        </c:txPr>
        <c:crossAx val="150039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fr-FR"/>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02269337180269E-2"/>
          <c:y val="5.2459016393442623E-2"/>
          <c:w val="0.92108689522143716"/>
          <c:h val="0.75049885977367581"/>
        </c:manualLayout>
      </c:layout>
      <c:lineChart>
        <c:grouping val="standard"/>
        <c:varyColors val="0"/>
        <c:ser>
          <c:idx val="4"/>
          <c:order val="4"/>
          <c:tx>
            <c:strRef>
              <c:f>'Figure 15'!$B$9</c:f>
              <c:strCache>
                <c:ptCount val="1"/>
                <c:pt idx="0">
                  <c:v>Ensemble fonction publique</c:v>
                </c:pt>
              </c:strCache>
            </c:strRef>
          </c:tx>
          <c:spPr>
            <a:ln w="31750" cap="rnd">
              <a:solidFill>
                <a:srgbClr val="AEA397"/>
              </a:solidFill>
              <a:round/>
            </a:ln>
            <a:effectLst/>
          </c:spPr>
          <c:marker>
            <c:symbol val="none"/>
          </c:marker>
          <c:cat>
            <c:strRef>
              <c:f>'Figure 15'!$C$4:$O$4</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15'!$C$9:$O$9</c:f>
              <c:numCache>
                <c:formatCode>0</c:formatCode>
                <c:ptCount val="13"/>
                <c:pt idx="0">
                  <c:v>3.77</c:v>
                </c:pt>
                <c:pt idx="1">
                  <c:v>3.77</c:v>
                </c:pt>
                <c:pt idx="2">
                  <c:v>4</c:v>
                </c:pt>
                <c:pt idx="3">
                  <c:v>3.87</c:v>
                </c:pt>
                <c:pt idx="4">
                  <c:v>3.81</c:v>
                </c:pt>
                <c:pt idx="5">
                  <c:v>3.97</c:v>
                </c:pt>
                <c:pt idx="6">
                  <c:v>4.59</c:v>
                </c:pt>
                <c:pt idx="8">
                  <c:v>5.44</c:v>
                </c:pt>
                <c:pt idx="9">
                  <c:v>6.5</c:v>
                </c:pt>
                <c:pt idx="10">
                  <c:v>5.27</c:v>
                </c:pt>
                <c:pt idx="11">
                  <c:v>4.9400000000000004</c:v>
                </c:pt>
                <c:pt idx="12">
                  <c:v>4.9000000000000004</c:v>
                </c:pt>
              </c:numCache>
            </c:numRef>
          </c:val>
          <c:smooth val="0"/>
          <c:extLst>
            <c:ext xmlns:c16="http://schemas.microsoft.com/office/drawing/2014/chart" uri="{C3380CC4-5D6E-409C-BE32-E72D297353CC}">
              <c16:uniqueId val="{00000000-BE22-4FA7-B84B-28009A3F1E9E}"/>
            </c:ext>
          </c:extLst>
        </c:ser>
        <c:ser>
          <c:idx val="5"/>
          <c:order val="5"/>
          <c:tx>
            <c:strRef>
              <c:f>'Figure 15'!$B$10</c:f>
              <c:strCache>
                <c:ptCount val="1"/>
                <c:pt idx="0">
                  <c:v>Salariés du privé</c:v>
                </c:pt>
              </c:strCache>
            </c:strRef>
          </c:tx>
          <c:spPr>
            <a:ln w="19050" cap="rnd">
              <a:solidFill>
                <a:srgbClr val="DFDA00"/>
              </a:solidFill>
              <a:round/>
            </a:ln>
            <a:effectLst/>
          </c:spPr>
          <c:marker>
            <c:symbol val="none"/>
          </c:marker>
          <c:cat>
            <c:strRef>
              <c:f>'Figure 15'!$C$4:$O$4</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15'!$C$10:$O$10</c:f>
              <c:numCache>
                <c:formatCode>0</c:formatCode>
                <c:ptCount val="13"/>
                <c:pt idx="0">
                  <c:v>3.65</c:v>
                </c:pt>
                <c:pt idx="1">
                  <c:v>3.59</c:v>
                </c:pt>
                <c:pt idx="2">
                  <c:v>3.68</c:v>
                </c:pt>
                <c:pt idx="3">
                  <c:v>3.64</c:v>
                </c:pt>
                <c:pt idx="4">
                  <c:v>3.77</c:v>
                </c:pt>
                <c:pt idx="5">
                  <c:v>3.67</c:v>
                </c:pt>
                <c:pt idx="6">
                  <c:v>4.3499999999999996</c:v>
                </c:pt>
                <c:pt idx="8">
                  <c:v>5.14</c:v>
                </c:pt>
                <c:pt idx="9">
                  <c:v>5.37</c:v>
                </c:pt>
                <c:pt idx="10">
                  <c:v>4.78</c:v>
                </c:pt>
                <c:pt idx="11">
                  <c:v>4.8</c:v>
                </c:pt>
                <c:pt idx="12">
                  <c:v>4.82</c:v>
                </c:pt>
              </c:numCache>
            </c:numRef>
          </c:val>
          <c:smooth val="0"/>
          <c:extLst>
            <c:ext xmlns:c16="http://schemas.microsoft.com/office/drawing/2014/chart" uri="{C3380CC4-5D6E-409C-BE32-E72D297353CC}">
              <c16:uniqueId val="{00000001-BE22-4FA7-B84B-28009A3F1E9E}"/>
            </c:ext>
          </c:extLst>
        </c:ser>
        <c:dLbls>
          <c:showLegendKey val="0"/>
          <c:showVal val="0"/>
          <c:showCatName val="0"/>
          <c:showSerName val="0"/>
          <c:showPercent val="0"/>
          <c:showBubbleSize val="0"/>
        </c:dLbls>
        <c:smooth val="0"/>
        <c:axId val="1700475007"/>
        <c:axId val="1363492911"/>
        <c:extLst>
          <c:ext xmlns:c15="http://schemas.microsoft.com/office/drawing/2012/chart" uri="{02D57815-91ED-43cb-92C2-25804820EDAC}">
            <c15:filteredLineSeries>
              <c15:ser>
                <c:idx val="0"/>
                <c:order val="0"/>
                <c:tx>
                  <c:strRef>
                    <c:extLst>
                      <c:ext uri="{02D57815-91ED-43cb-92C2-25804820EDAC}">
                        <c15:formulaRef>
                          <c15:sqref>'Figure 15'!$B$5</c15:sqref>
                        </c15:formulaRef>
                      </c:ext>
                    </c:extLst>
                    <c:strCache>
                      <c:ptCount val="1"/>
                      <c:pt idx="0">
                        <c:v>FPE (hors enseignants)</c:v>
                      </c:pt>
                    </c:strCache>
                  </c:strRef>
                </c:tx>
                <c:spPr>
                  <a:ln w="28575" cap="rnd">
                    <a:solidFill>
                      <a:schemeClr val="accent5"/>
                    </a:solidFill>
                    <a:round/>
                  </a:ln>
                  <a:effectLst/>
                </c:spPr>
                <c:marker>
                  <c:symbol val="plus"/>
                  <c:size val="5"/>
                  <c:spPr>
                    <a:solidFill>
                      <a:schemeClr val="accent5"/>
                    </a:solidFill>
                    <a:ln w="9525">
                      <a:solidFill>
                        <a:schemeClr val="accent5"/>
                      </a:solidFill>
                    </a:ln>
                    <a:effectLst/>
                  </c:spPr>
                </c:marker>
                <c:cat>
                  <c:strRef>
                    <c:extLst>
                      <c:ext uri="{02D57815-91ED-43cb-92C2-25804820EDAC}">
                        <c15:formulaRef>
                          <c15:sqref>'Figure 15'!$C$4:$O$4</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c:ext uri="{02D57815-91ED-43cb-92C2-25804820EDAC}">
                        <c15:formulaRef>
                          <c15:sqref>'Figure 15'!$C$5:$N$5</c15:sqref>
                        </c15:formulaRef>
                      </c:ext>
                    </c:extLst>
                    <c:numCache>
                      <c:formatCode>0</c:formatCode>
                      <c:ptCount val="12"/>
                      <c:pt idx="0">
                        <c:v>2.95</c:v>
                      </c:pt>
                      <c:pt idx="1">
                        <c:v>2.87</c:v>
                      </c:pt>
                      <c:pt idx="2">
                        <c:v>2.84</c:v>
                      </c:pt>
                      <c:pt idx="3">
                        <c:v>3.17</c:v>
                      </c:pt>
                      <c:pt idx="4">
                        <c:v>2.7</c:v>
                      </c:pt>
                      <c:pt idx="5">
                        <c:v>3.13</c:v>
                      </c:pt>
                      <c:pt idx="6">
                        <c:v>2.97</c:v>
                      </c:pt>
                      <c:pt idx="8">
                        <c:v>4.21</c:v>
                      </c:pt>
                      <c:pt idx="9">
                        <c:v>4.63</c:v>
                      </c:pt>
                      <c:pt idx="10">
                        <c:v>3.86</c:v>
                      </c:pt>
                      <c:pt idx="11">
                        <c:v>4.01</c:v>
                      </c:pt>
                    </c:numCache>
                  </c:numRef>
                </c:val>
                <c:smooth val="0"/>
                <c:extLst>
                  <c:ext xmlns:c16="http://schemas.microsoft.com/office/drawing/2014/chart" uri="{C3380CC4-5D6E-409C-BE32-E72D297353CC}">
                    <c16:uniqueId val="{00000002-BE22-4FA7-B84B-28009A3F1E9E}"/>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'Figure 15'!$B$6</c15:sqref>
                        </c15:formulaRef>
                      </c:ext>
                    </c:extLst>
                    <c:strCache>
                      <c:ptCount val="1"/>
                      <c:pt idx="0">
                        <c:v>Enseignants</c:v>
                      </c:pt>
                    </c:strCache>
                  </c:strRef>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'Figure 15'!$C$4:$O$4</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15'!$C$6:$N$6</c15:sqref>
                        </c15:formulaRef>
                      </c:ext>
                    </c:extLst>
                    <c:numCache>
                      <c:formatCode>0</c:formatCode>
                      <c:ptCount val="12"/>
                      <c:pt idx="0">
                        <c:v>3.11</c:v>
                      </c:pt>
                      <c:pt idx="1">
                        <c:v>3.04</c:v>
                      </c:pt>
                      <c:pt idx="2">
                        <c:v>3.09</c:v>
                      </c:pt>
                      <c:pt idx="3">
                        <c:v>2.44</c:v>
                      </c:pt>
                      <c:pt idx="4">
                        <c:v>2.62</c:v>
                      </c:pt>
                      <c:pt idx="5">
                        <c:v>2.54</c:v>
                      </c:pt>
                      <c:pt idx="6">
                        <c:v>3.27</c:v>
                      </c:pt>
                      <c:pt idx="8">
                        <c:v>3.67</c:v>
                      </c:pt>
                      <c:pt idx="9">
                        <c:v>5.58</c:v>
                      </c:pt>
                      <c:pt idx="10">
                        <c:v>4.1900000000000004</c:v>
                      </c:pt>
                      <c:pt idx="11">
                        <c:v>3.77</c:v>
                      </c:pt>
                    </c:numCache>
                  </c:numRef>
                </c:val>
                <c:smooth val="0"/>
                <c:extLst xmlns:c15="http://schemas.microsoft.com/office/drawing/2012/chart">
                  <c:ext xmlns:c16="http://schemas.microsoft.com/office/drawing/2014/chart" uri="{C3380CC4-5D6E-409C-BE32-E72D297353CC}">
                    <c16:uniqueId val="{00000003-BE22-4FA7-B84B-28009A3F1E9E}"/>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'Figure 15'!$B$8</c15:sqref>
                        </c15:formulaRef>
                      </c:ext>
                    </c:extLst>
                    <c:strCache>
                      <c:ptCount val="1"/>
                      <c:pt idx="0">
                        <c:v>FPH</c:v>
                      </c:pt>
                    </c:strCache>
                  </c:strRef>
                </c:tx>
                <c:spPr>
                  <a:ln w="28575" cap="rnd">
                    <a:solidFill>
                      <a:schemeClr val="tx2"/>
                    </a:solidFill>
                    <a:round/>
                  </a:ln>
                  <a:effectLst/>
                </c:spPr>
                <c:marker>
                  <c:symbol val="triangle"/>
                  <c:size val="5"/>
                  <c:spPr>
                    <a:solidFill>
                      <a:schemeClr val="tx2"/>
                    </a:solidFill>
                    <a:ln w="9525">
                      <a:solidFill>
                        <a:schemeClr val="accent1"/>
                      </a:solidFill>
                    </a:ln>
                    <a:effectLst/>
                  </c:spPr>
                </c:marker>
                <c:cat>
                  <c:strRef>
                    <c:extLst xmlns:c15="http://schemas.microsoft.com/office/drawing/2012/chart">
                      <c:ext xmlns:c15="http://schemas.microsoft.com/office/drawing/2012/chart" uri="{02D57815-91ED-43cb-92C2-25804820EDAC}">
                        <c15:formulaRef>
                          <c15:sqref>'Figure 15'!$C$4:$O$4</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15'!$C$8:$N$8</c15:sqref>
                        </c15:formulaRef>
                      </c:ext>
                    </c:extLst>
                    <c:numCache>
                      <c:formatCode>0</c:formatCode>
                      <c:ptCount val="12"/>
                      <c:pt idx="0">
                        <c:v>4.57</c:v>
                      </c:pt>
                      <c:pt idx="1">
                        <c:v>4.5199999999999996</c:v>
                      </c:pt>
                      <c:pt idx="2">
                        <c:v>4.84</c:v>
                      </c:pt>
                      <c:pt idx="3">
                        <c:v>4.74</c:v>
                      </c:pt>
                      <c:pt idx="4">
                        <c:v>4.99</c:v>
                      </c:pt>
                      <c:pt idx="5">
                        <c:v>4.76</c:v>
                      </c:pt>
                      <c:pt idx="6">
                        <c:v>5.94</c:v>
                      </c:pt>
                      <c:pt idx="8">
                        <c:v>6.84</c:v>
                      </c:pt>
                      <c:pt idx="9">
                        <c:v>7.76</c:v>
                      </c:pt>
                      <c:pt idx="10">
                        <c:v>6.03</c:v>
                      </c:pt>
                      <c:pt idx="11">
                        <c:v>5.78</c:v>
                      </c:pt>
                    </c:numCache>
                  </c:numRef>
                </c:val>
                <c:smooth val="0"/>
                <c:extLst xmlns:c15="http://schemas.microsoft.com/office/drawing/2012/chart">
                  <c:ext xmlns:c16="http://schemas.microsoft.com/office/drawing/2014/chart" uri="{C3380CC4-5D6E-409C-BE32-E72D297353CC}">
                    <c16:uniqueId val="{00000004-BE22-4FA7-B84B-28009A3F1E9E}"/>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'Figure 15'!$B$7</c15:sqref>
                        </c15:formulaRef>
                      </c:ext>
                    </c:extLst>
                    <c:strCache>
                      <c:ptCount val="1"/>
                      <c:pt idx="0">
                        <c:v>FPT</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extLst xmlns:c15="http://schemas.microsoft.com/office/drawing/2012/chart">
                      <c:ext xmlns:c15="http://schemas.microsoft.com/office/drawing/2012/chart" uri="{02D57815-91ED-43cb-92C2-25804820EDAC}">
                        <c15:formulaRef>
                          <c15:sqref>'Figure 15'!$C$4:$O$4</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15'!$C$7:$N$7</c15:sqref>
                        </c15:formulaRef>
                      </c:ext>
                    </c:extLst>
                    <c:numCache>
                      <c:formatCode>0</c:formatCode>
                      <c:ptCount val="12"/>
                      <c:pt idx="0">
                        <c:v>4.28</c:v>
                      </c:pt>
                      <c:pt idx="1">
                        <c:v>4.45</c:v>
                      </c:pt>
                      <c:pt idx="2">
                        <c:v>4.95</c:v>
                      </c:pt>
                      <c:pt idx="3">
                        <c:v>4.71</c:v>
                      </c:pt>
                      <c:pt idx="4">
                        <c:v>4.66</c:v>
                      </c:pt>
                      <c:pt idx="5">
                        <c:v>4.9800000000000004</c:v>
                      </c:pt>
                      <c:pt idx="6">
                        <c:v>5.88</c:v>
                      </c:pt>
                      <c:pt idx="8">
                        <c:v>6.68</c:v>
                      </c:pt>
                      <c:pt idx="9">
                        <c:v>7.74</c:v>
                      </c:pt>
                      <c:pt idx="10">
                        <c:v>6.56</c:v>
                      </c:pt>
                      <c:pt idx="11">
                        <c:v>5.87</c:v>
                      </c:pt>
                    </c:numCache>
                  </c:numRef>
                </c:val>
                <c:smooth val="0"/>
                <c:extLst xmlns:c15="http://schemas.microsoft.com/office/drawing/2012/chart">
                  <c:ext xmlns:c16="http://schemas.microsoft.com/office/drawing/2014/chart" uri="{C3380CC4-5D6E-409C-BE32-E72D297353CC}">
                    <c16:uniqueId val="{00000005-BE22-4FA7-B84B-28009A3F1E9E}"/>
                  </c:ext>
                </c:extLst>
              </c15:ser>
            </c15:filteredLineSeries>
          </c:ext>
        </c:extLst>
      </c:lineChart>
      <c:catAx>
        <c:axId val="170047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63492911"/>
        <c:crosses val="autoZero"/>
        <c:auto val="1"/>
        <c:lblAlgn val="ctr"/>
        <c:lblOffset val="100"/>
        <c:noMultiLvlLbl val="0"/>
      </c:catAx>
      <c:valAx>
        <c:axId val="1363492911"/>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00475007"/>
        <c:crosses val="autoZero"/>
        <c:crossBetween val="between"/>
      </c:valAx>
      <c:spPr>
        <a:noFill/>
        <a:ln>
          <a:noFill/>
        </a:ln>
        <a:effectLst/>
      </c:spPr>
    </c:plotArea>
    <c:legend>
      <c:legendPos val="b"/>
      <c:layout>
        <c:manualLayout>
          <c:xMode val="edge"/>
          <c:yMode val="edge"/>
          <c:x val="8.5539259609730481E-2"/>
          <c:y val="0.86489984670527587"/>
          <c:w val="0.83775132750146397"/>
          <c:h val="0.113908103261462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15'!$B$5</c:f>
              <c:strCache>
                <c:ptCount val="1"/>
                <c:pt idx="0">
                  <c:v>FPE (hors enseignants)</c:v>
                </c:pt>
              </c:strCache>
            </c:strRef>
          </c:tx>
          <c:spPr>
            <a:ln w="19050" cap="rnd">
              <a:solidFill>
                <a:srgbClr val="6E445A"/>
              </a:solidFill>
              <a:round/>
            </a:ln>
            <a:effectLst/>
          </c:spPr>
          <c:marker>
            <c:symbol val="none"/>
          </c:marker>
          <c:cat>
            <c:strRef>
              <c:f>'Figure 15'!$C$4:$O$4</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15'!$C$5:$O$5</c:f>
              <c:numCache>
                <c:formatCode>0</c:formatCode>
                <c:ptCount val="13"/>
                <c:pt idx="0">
                  <c:v>2.95</c:v>
                </c:pt>
                <c:pt idx="1">
                  <c:v>2.87</c:v>
                </c:pt>
                <c:pt idx="2">
                  <c:v>2.84</c:v>
                </c:pt>
                <c:pt idx="3">
                  <c:v>3.17</c:v>
                </c:pt>
                <c:pt idx="4">
                  <c:v>2.7</c:v>
                </c:pt>
                <c:pt idx="5">
                  <c:v>3.13</c:v>
                </c:pt>
                <c:pt idx="6">
                  <c:v>2.97</c:v>
                </c:pt>
                <c:pt idx="8">
                  <c:v>4.21</c:v>
                </c:pt>
                <c:pt idx="9">
                  <c:v>4.63</c:v>
                </c:pt>
                <c:pt idx="10">
                  <c:v>3.86</c:v>
                </c:pt>
                <c:pt idx="11">
                  <c:v>4.01</c:v>
                </c:pt>
                <c:pt idx="12">
                  <c:v>4.18</c:v>
                </c:pt>
              </c:numCache>
            </c:numRef>
          </c:val>
          <c:smooth val="0"/>
          <c:extLst>
            <c:ext xmlns:c16="http://schemas.microsoft.com/office/drawing/2014/chart" uri="{C3380CC4-5D6E-409C-BE32-E72D297353CC}">
              <c16:uniqueId val="{00000000-60D9-41A2-B5CE-66B47EFF74FF}"/>
            </c:ext>
          </c:extLst>
        </c:ser>
        <c:ser>
          <c:idx val="1"/>
          <c:order val="1"/>
          <c:tx>
            <c:strRef>
              <c:f>'Figure 15'!$B$6</c:f>
              <c:strCache>
                <c:ptCount val="1"/>
                <c:pt idx="0">
                  <c:v>Enseignants</c:v>
                </c:pt>
              </c:strCache>
            </c:strRef>
          </c:tx>
          <c:spPr>
            <a:ln w="19050" cap="rnd">
              <a:solidFill>
                <a:srgbClr val="376092"/>
              </a:solidFill>
              <a:prstDash val="sysDash"/>
              <a:round/>
            </a:ln>
            <a:effectLst/>
          </c:spPr>
          <c:marker>
            <c:symbol val="none"/>
          </c:marker>
          <c:cat>
            <c:strRef>
              <c:f>'Figure 15'!$C$4:$O$4</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15'!$C$6:$O$6</c:f>
              <c:numCache>
                <c:formatCode>0</c:formatCode>
                <c:ptCount val="13"/>
                <c:pt idx="0">
                  <c:v>3.11</c:v>
                </c:pt>
                <c:pt idx="1">
                  <c:v>3.04</c:v>
                </c:pt>
                <c:pt idx="2">
                  <c:v>3.09</c:v>
                </c:pt>
                <c:pt idx="3">
                  <c:v>2.44</c:v>
                </c:pt>
                <c:pt idx="4">
                  <c:v>2.62</c:v>
                </c:pt>
                <c:pt idx="5">
                  <c:v>2.54</c:v>
                </c:pt>
                <c:pt idx="6">
                  <c:v>3.27</c:v>
                </c:pt>
                <c:pt idx="8">
                  <c:v>3.67</c:v>
                </c:pt>
                <c:pt idx="9">
                  <c:v>5.58</c:v>
                </c:pt>
                <c:pt idx="10">
                  <c:v>4.1900000000000004</c:v>
                </c:pt>
                <c:pt idx="11">
                  <c:v>3.77</c:v>
                </c:pt>
                <c:pt idx="12">
                  <c:v>3.74</c:v>
                </c:pt>
              </c:numCache>
            </c:numRef>
          </c:val>
          <c:smooth val="0"/>
          <c:extLst>
            <c:ext xmlns:c16="http://schemas.microsoft.com/office/drawing/2014/chart" uri="{C3380CC4-5D6E-409C-BE32-E72D297353CC}">
              <c16:uniqueId val="{00000001-60D9-41A2-B5CE-66B47EFF74FF}"/>
            </c:ext>
          </c:extLst>
        </c:ser>
        <c:ser>
          <c:idx val="2"/>
          <c:order val="2"/>
          <c:tx>
            <c:strRef>
              <c:f>'Figure 15'!$B$7</c:f>
              <c:strCache>
                <c:ptCount val="1"/>
                <c:pt idx="0">
                  <c:v>FPT</c:v>
                </c:pt>
              </c:strCache>
            </c:strRef>
          </c:tx>
          <c:spPr>
            <a:ln w="19050" cap="rnd">
              <a:solidFill>
                <a:srgbClr val="2CA297"/>
              </a:solidFill>
              <a:round/>
            </a:ln>
            <a:effectLst/>
          </c:spPr>
          <c:marker>
            <c:symbol val="none"/>
          </c:marker>
          <c:cat>
            <c:strRef>
              <c:f>'Figure 15'!$C$4:$O$4</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15'!$C$7:$O$7</c:f>
              <c:numCache>
                <c:formatCode>0</c:formatCode>
                <c:ptCount val="13"/>
                <c:pt idx="0">
                  <c:v>4.28</c:v>
                </c:pt>
                <c:pt idx="1">
                  <c:v>4.45</c:v>
                </c:pt>
                <c:pt idx="2">
                  <c:v>4.95</c:v>
                </c:pt>
                <c:pt idx="3">
                  <c:v>4.71</c:v>
                </c:pt>
                <c:pt idx="4">
                  <c:v>4.66</c:v>
                </c:pt>
                <c:pt idx="5">
                  <c:v>4.9800000000000004</c:v>
                </c:pt>
                <c:pt idx="6">
                  <c:v>5.88</c:v>
                </c:pt>
                <c:pt idx="8">
                  <c:v>6.68</c:v>
                </c:pt>
                <c:pt idx="9">
                  <c:v>7.74</c:v>
                </c:pt>
                <c:pt idx="10">
                  <c:v>6.56</c:v>
                </c:pt>
                <c:pt idx="11">
                  <c:v>5.87</c:v>
                </c:pt>
                <c:pt idx="12">
                  <c:v>5.5</c:v>
                </c:pt>
              </c:numCache>
            </c:numRef>
          </c:val>
          <c:smooth val="0"/>
          <c:extLst>
            <c:ext xmlns:c16="http://schemas.microsoft.com/office/drawing/2014/chart" uri="{C3380CC4-5D6E-409C-BE32-E72D297353CC}">
              <c16:uniqueId val="{00000002-60D9-41A2-B5CE-66B47EFF74FF}"/>
            </c:ext>
          </c:extLst>
        </c:ser>
        <c:ser>
          <c:idx val="3"/>
          <c:order val="3"/>
          <c:tx>
            <c:strRef>
              <c:f>'Figure 15'!$B$8</c:f>
              <c:strCache>
                <c:ptCount val="1"/>
                <c:pt idx="0">
                  <c:v>FPH</c:v>
                </c:pt>
              </c:strCache>
            </c:strRef>
          </c:tx>
          <c:spPr>
            <a:ln w="19050" cap="rnd">
              <a:solidFill>
                <a:srgbClr val="C3992A"/>
              </a:solidFill>
              <a:round/>
            </a:ln>
            <a:effectLst/>
          </c:spPr>
          <c:marker>
            <c:symbol val="none"/>
          </c:marker>
          <c:cat>
            <c:strRef>
              <c:f>'Figure 15'!$C$4:$O$4</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15'!$C$8:$O$8</c:f>
              <c:numCache>
                <c:formatCode>0</c:formatCode>
                <c:ptCount val="13"/>
                <c:pt idx="0">
                  <c:v>4.57</c:v>
                </c:pt>
                <c:pt idx="1">
                  <c:v>4.5199999999999996</c:v>
                </c:pt>
                <c:pt idx="2">
                  <c:v>4.84</c:v>
                </c:pt>
                <c:pt idx="3">
                  <c:v>4.74</c:v>
                </c:pt>
                <c:pt idx="4">
                  <c:v>4.99</c:v>
                </c:pt>
                <c:pt idx="5">
                  <c:v>4.76</c:v>
                </c:pt>
                <c:pt idx="6">
                  <c:v>5.94</c:v>
                </c:pt>
                <c:pt idx="8">
                  <c:v>6.84</c:v>
                </c:pt>
                <c:pt idx="9">
                  <c:v>7.76</c:v>
                </c:pt>
                <c:pt idx="10">
                  <c:v>6.03</c:v>
                </c:pt>
                <c:pt idx="11">
                  <c:v>5.78</c:v>
                </c:pt>
                <c:pt idx="12">
                  <c:v>6.1</c:v>
                </c:pt>
              </c:numCache>
            </c:numRef>
          </c:val>
          <c:smooth val="0"/>
          <c:extLst>
            <c:ext xmlns:c16="http://schemas.microsoft.com/office/drawing/2014/chart" uri="{C3380CC4-5D6E-409C-BE32-E72D297353CC}">
              <c16:uniqueId val="{00000003-60D9-41A2-B5CE-66B47EFF74FF}"/>
            </c:ext>
          </c:extLst>
        </c:ser>
        <c:dLbls>
          <c:showLegendKey val="0"/>
          <c:showVal val="0"/>
          <c:showCatName val="0"/>
          <c:showSerName val="0"/>
          <c:showPercent val="0"/>
          <c:showBubbleSize val="0"/>
        </c:dLbls>
        <c:smooth val="0"/>
        <c:axId val="1449583071"/>
        <c:axId val="1449582239"/>
      </c:lineChart>
      <c:catAx>
        <c:axId val="144958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49582239"/>
        <c:crosses val="autoZero"/>
        <c:auto val="1"/>
        <c:lblAlgn val="ctr"/>
        <c:lblOffset val="100"/>
        <c:noMultiLvlLbl val="0"/>
      </c:catAx>
      <c:valAx>
        <c:axId val="144958223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49583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2"/>
          <c:tx>
            <c:strRef>
              <c:f>'Figure 17'!$E$5</c:f>
              <c:strCache>
                <c:ptCount val="1"/>
                <c:pt idx="0">
                  <c:v>Moins de 
30 ans</c:v>
                </c:pt>
              </c:strCache>
            </c:strRef>
          </c:tx>
          <c:spPr>
            <a:ln w="19050" cap="rnd">
              <a:solidFill>
                <a:srgbClr val="34BAB5"/>
              </a:solidFill>
              <a:round/>
            </a:ln>
            <a:effectLst/>
          </c:spPr>
          <c:marker>
            <c:symbol val="none"/>
          </c:marker>
          <c:cat>
            <c:strRef>
              <c:f>'Figure 17'!$B$6:$B$18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17'!$E$6:$E$18</c:f>
              <c:numCache>
                <c:formatCode>0</c:formatCode>
                <c:ptCount val="13"/>
                <c:pt idx="0">
                  <c:v>2.52</c:v>
                </c:pt>
                <c:pt idx="1">
                  <c:v>2.4900000000000002</c:v>
                </c:pt>
                <c:pt idx="2">
                  <c:v>3.17</c:v>
                </c:pt>
                <c:pt idx="3">
                  <c:v>2.7</c:v>
                </c:pt>
                <c:pt idx="4">
                  <c:v>2.7</c:v>
                </c:pt>
                <c:pt idx="5">
                  <c:v>3.36</c:v>
                </c:pt>
                <c:pt idx="6">
                  <c:v>3.25</c:v>
                </c:pt>
                <c:pt idx="8">
                  <c:v>3.7</c:v>
                </c:pt>
                <c:pt idx="9">
                  <c:v>4.59</c:v>
                </c:pt>
                <c:pt idx="10">
                  <c:v>3.49</c:v>
                </c:pt>
                <c:pt idx="11">
                  <c:v>3.41</c:v>
                </c:pt>
                <c:pt idx="12">
                  <c:v>3.14</c:v>
                </c:pt>
              </c:numCache>
            </c:numRef>
          </c:val>
          <c:smooth val="0"/>
          <c:extLst>
            <c:ext xmlns:c16="http://schemas.microsoft.com/office/drawing/2014/chart" uri="{C3380CC4-5D6E-409C-BE32-E72D297353CC}">
              <c16:uniqueId val="{00000000-A9F8-4EC4-AA73-14FC34D2E46E}"/>
            </c:ext>
          </c:extLst>
        </c:ser>
        <c:ser>
          <c:idx val="3"/>
          <c:order val="3"/>
          <c:tx>
            <c:strRef>
              <c:f>'Figure 17'!$F$5</c:f>
              <c:strCache>
                <c:ptCount val="1"/>
                <c:pt idx="0">
                  <c:v>De 30 
à 49 ans</c:v>
                </c:pt>
              </c:strCache>
            </c:strRef>
          </c:tx>
          <c:spPr>
            <a:ln w="19050" cap="rnd">
              <a:solidFill>
                <a:srgbClr val="37635F"/>
              </a:solidFill>
              <a:round/>
            </a:ln>
            <a:effectLst/>
          </c:spPr>
          <c:marker>
            <c:symbol val="none"/>
          </c:marker>
          <c:cat>
            <c:strRef>
              <c:f>'Figure 17'!$B$6:$B$18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17'!$F$6:$F$18</c:f>
              <c:numCache>
                <c:formatCode>0</c:formatCode>
                <c:ptCount val="13"/>
                <c:pt idx="0">
                  <c:v>3.59</c:v>
                </c:pt>
                <c:pt idx="1">
                  <c:v>3.44</c:v>
                </c:pt>
                <c:pt idx="2">
                  <c:v>3.58</c:v>
                </c:pt>
                <c:pt idx="3">
                  <c:v>3.61</c:v>
                </c:pt>
                <c:pt idx="4">
                  <c:v>3.51</c:v>
                </c:pt>
                <c:pt idx="5">
                  <c:v>3.59</c:v>
                </c:pt>
                <c:pt idx="6">
                  <c:v>4.37</c:v>
                </c:pt>
                <c:pt idx="8">
                  <c:v>4.7300000000000004</c:v>
                </c:pt>
                <c:pt idx="9">
                  <c:v>5.63</c:v>
                </c:pt>
                <c:pt idx="10">
                  <c:v>4.34</c:v>
                </c:pt>
                <c:pt idx="11">
                  <c:v>4.0999999999999996</c:v>
                </c:pt>
                <c:pt idx="12">
                  <c:v>4.13</c:v>
                </c:pt>
              </c:numCache>
            </c:numRef>
          </c:val>
          <c:smooth val="0"/>
          <c:extLst>
            <c:ext xmlns:c16="http://schemas.microsoft.com/office/drawing/2014/chart" uri="{C3380CC4-5D6E-409C-BE32-E72D297353CC}">
              <c16:uniqueId val="{00000001-A9F8-4EC4-AA73-14FC34D2E46E}"/>
            </c:ext>
          </c:extLst>
        </c:ser>
        <c:ser>
          <c:idx val="4"/>
          <c:order val="4"/>
          <c:tx>
            <c:strRef>
              <c:f>'Figure 17'!$G$5</c:f>
              <c:strCache>
                <c:ptCount val="1"/>
                <c:pt idx="0">
                  <c:v>50 ans 
ou plus</c:v>
                </c:pt>
              </c:strCache>
            </c:strRef>
          </c:tx>
          <c:spPr>
            <a:ln w="19050" cap="rnd">
              <a:solidFill>
                <a:srgbClr val="CE614A"/>
              </a:solidFill>
              <a:round/>
            </a:ln>
            <a:effectLst/>
          </c:spPr>
          <c:marker>
            <c:symbol val="none"/>
          </c:marker>
          <c:cat>
            <c:strRef>
              <c:f>'Figure 17'!$B$6:$B$18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17'!$G$6:$G$18</c:f>
              <c:numCache>
                <c:formatCode>0</c:formatCode>
                <c:ptCount val="13"/>
                <c:pt idx="0">
                  <c:v>4.5</c:v>
                </c:pt>
                <c:pt idx="1">
                  <c:v>4.72</c:v>
                </c:pt>
                <c:pt idx="2">
                  <c:v>4.9000000000000004</c:v>
                </c:pt>
                <c:pt idx="3">
                  <c:v>4.6500000000000004</c:v>
                </c:pt>
                <c:pt idx="4">
                  <c:v>4.63</c:v>
                </c:pt>
                <c:pt idx="5">
                  <c:v>4.71</c:v>
                </c:pt>
                <c:pt idx="6">
                  <c:v>5.3</c:v>
                </c:pt>
                <c:pt idx="8">
                  <c:v>6.95</c:v>
                </c:pt>
                <c:pt idx="9">
                  <c:v>8.24</c:v>
                </c:pt>
                <c:pt idx="10">
                  <c:v>6.98</c:v>
                </c:pt>
                <c:pt idx="11">
                  <c:v>6.41</c:v>
                </c:pt>
                <c:pt idx="12">
                  <c:v>6.37</c:v>
                </c:pt>
              </c:numCache>
            </c:numRef>
          </c:val>
          <c:smooth val="0"/>
          <c:extLst>
            <c:ext xmlns:c16="http://schemas.microsoft.com/office/drawing/2014/chart" uri="{C3380CC4-5D6E-409C-BE32-E72D297353CC}">
              <c16:uniqueId val="{00000002-A9F8-4EC4-AA73-14FC34D2E46E}"/>
            </c:ext>
          </c:extLst>
        </c:ser>
        <c:ser>
          <c:idx val="5"/>
          <c:order val="5"/>
          <c:tx>
            <c:strRef>
              <c:f>'Figure 17'!$H$5</c:f>
              <c:strCache>
                <c:ptCount val="1"/>
                <c:pt idx="0">
                  <c:v>Ensemble fonction publique</c:v>
                </c:pt>
              </c:strCache>
            </c:strRef>
          </c:tx>
          <c:spPr>
            <a:ln w="31750" cap="rnd">
              <a:solidFill>
                <a:srgbClr val="AEA397"/>
              </a:solidFill>
              <a:round/>
            </a:ln>
            <a:effectLst/>
          </c:spPr>
          <c:marker>
            <c:symbol val="none"/>
          </c:marker>
          <c:cat>
            <c:strRef>
              <c:f>'Figure 17'!$B$6:$B$18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17'!$H$6:$H$18</c:f>
              <c:numCache>
                <c:formatCode>0</c:formatCode>
                <c:ptCount val="13"/>
                <c:pt idx="0">
                  <c:v>3.77</c:v>
                </c:pt>
                <c:pt idx="1">
                  <c:v>3.77</c:v>
                </c:pt>
                <c:pt idx="2">
                  <c:v>4</c:v>
                </c:pt>
                <c:pt idx="3">
                  <c:v>3.87</c:v>
                </c:pt>
                <c:pt idx="4">
                  <c:v>3.81</c:v>
                </c:pt>
                <c:pt idx="5">
                  <c:v>3.97</c:v>
                </c:pt>
                <c:pt idx="6">
                  <c:v>4.59</c:v>
                </c:pt>
                <c:pt idx="8">
                  <c:v>5.44</c:v>
                </c:pt>
                <c:pt idx="9">
                  <c:v>6.5</c:v>
                </c:pt>
                <c:pt idx="10">
                  <c:v>5.27</c:v>
                </c:pt>
                <c:pt idx="11">
                  <c:v>4.9400000000000004</c:v>
                </c:pt>
                <c:pt idx="12">
                  <c:v>4.9000000000000004</c:v>
                </c:pt>
              </c:numCache>
            </c:numRef>
          </c:val>
          <c:smooth val="0"/>
          <c:extLst>
            <c:ext xmlns:c16="http://schemas.microsoft.com/office/drawing/2014/chart" uri="{C3380CC4-5D6E-409C-BE32-E72D297353CC}">
              <c16:uniqueId val="{00000003-A9F8-4EC4-AA73-14FC34D2E46E}"/>
            </c:ext>
          </c:extLst>
        </c:ser>
        <c:dLbls>
          <c:showLegendKey val="0"/>
          <c:showVal val="0"/>
          <c:showCatName val="0"/>
          <c:showSerName val="0"/>
          <c:showPercent val="0"/>
          <c:showBubbleSize val="0"/>
        </c:dLbls>
        <c:smooth val="0"/>
        <c:axId val="1936299727"/>
        <c:axId val="1936294319"/>
        <c:extLst>
          <c:ext xmlns:c15="http://schemas.microsoft.com/office/drawing/2012/chart" uri="{02D57815-91ED-43cb-92C2-25804820EDAC}">
            <c15:filteredLineSeries>
              <c15:ser>
                <c:idx val="0"/>
                <c:order val="0"/>
                <c:tx>
                  <c:strRef>
                    <c:extLst>
                      <c:ext uri="{02D57815-91ED-43cb-92C2-25804820EDAC}">
                        <c15:formulaRef>
                          <c15:sqref>'Figure 17'!$C$5</c15:sqref>
                        </c15:formulaRef>
                      </c:ext>
                    </c:extLst>
                    <c:strCache>
                      <c:ptCount val="1"/>
                      <c:pt idx="0">
                        <c:v>Femmes</c:v>
                      </c:pt>
                    </c:strCache>
                  </c:strRef>
                </c:tx>
                <c:spPr>
                  <a:ln w="28575" cap="rnd">
                    <a:solidFill>
                      <a:schemeClr val="accent1"/>
                    </a:solidFill>
                    <a:round/>
                  </a:ln>
                  <a:effectLst/>
                </c:spPr>
                <c:marker>
                  <c:symbol val="none"/>
                </c:marker>
                <c:cat>
                  <c:strRef>
                    <c:extLst>
                      <c:ext uri="{02D57815-91ED-43cb-92C2-25804820EDAC}">
                        <c15:formulaRef>
                          <c15:sqref>'Figure 17'!$B$6:$B$18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c:ext uri="{02D57815-91ED-43cb-92C2-25804820EDAC}">
                        <c15:formulaRef>
                          <c15:sqref>'Figure 17'!$C$6:$C$18</c15:sqref>
                        </c15:formulaRef>
                      </c:ext>
                    </c:extLst>
                    <c:numCache>
                      <c:formatCode>0</c:formatCode>
                      <c:ptCount val="13"/>
                      <c:pt idx="0">
                        <c:v>4.3600000000000003</c:v>
                      </c:pt>
                      <c:pt idx="1">
                        <c:v>4.22</c:v>
                      </c:pt>
                      <c:pt idx="2">
                        <c:v>4.34</c:v>
                      </c:pt>
                      <c:pt idx="3">
                        <c:v>4.42</c:v>
                      </c:pt>
                      <c:pt idx="4">
                        <c:v>4.3600000000000003</c:v>
                      </c:pt>
                      <c:pt idx="5">
                        <c:v>4.54</c:v>
                      </c:pt>
                      <c:pt idx="6">
                        <c:v>5.12</c:v>
                      </c:pt>
                      <c:pt idx="8">
                        <c:v>6.13</c:v>
                      </c:pt>
                      <c:pt idx="9">
                        <c:v>7.55</c:v>
                      </c:pt>
                      <c:pt idx="10">
                        <c:v>6.05</c:v>
                      </c:pt>
                      <c:pt idx="11">
                        <c:v>5.65</c:v>
                      </c:pt>
                      <c:pt idx="12">
                        <c:v>5.39</c:v>
                      </c:pt>
                    </c:numCache>
                  </c:numRef>
                </c:val>
                <c:smooth val="0"/>
                <c:extLst>
                  <c:ext xmlns:c16="http://schemas.microsoft.com/office/drawing/2014/chart" uri="{C3380CC4-5D6E-409C-BE32-E72D297353CC}">
                    <c16:uniqueId val="{00000004-A9F8-4EC4-AA73-14FC34D2E46E}"/>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'Figure 17'!$D$5</c15:sqref>
                        </c15:formulaRef>
                      </c:ext>
                    </c:extLst>
                    <c:strCache>
                      <c:ptCount val="1"/>
                      <c:pt idx="0">
                        <c:v>Hommes</c:v>
                      </c:pt>
                    </c:strCache>
                  </c:strRef>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'Figure 17'!$B$6:$B$18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17'!$D$6:$D$18</c15:sqref>
                        </c15:formulaRef>
                      </c:ext>
                    </c:extLst>
                    <c:numCache>
                      <c:formatCode>0</c:formatCode>
                      <c:ptCount val="13"/>
                      <c:pt idx="0">
                        <c:v>2.8</c:v>
                      </c:pt>
                      <c:pt idx="1">
                        <c:v>3</c:v>
                      </c:pt>
                      <c:pt idx="2">
                        <c:v>3.41</c:v>
                      </c:pt>
                      <c:pt idx="3">
                        <c:v>2.93</c:v>
                      </c:pt>
                      <c:pt idx="4">
                        <c:v>2.85</c:v>
                      </c:pt>
                      <c:pt idx="5">
                        <c:v>2.97</c:v>
                      </c:pt>
                      <c:pt idx="6">
                        <c:v>3.63</c:v>
                      </c:pt>
                      <c:pt idx="8">
                        <c:v>4.2</c:v>
                      </c:pt>
                      <c:pt idx="9">
                        <c:v>4.68</c:v>
                      </c:pt>
                      <c:pt idx="10">
                        <c:v>3.98</c:v>
                      </c:pt>
                      <c:pt idx="11">
                        <c:v>3.71</c:v>
                      </c:pt>
                      <c:pt idx="12">
                        <c:v>4.0199999999999996</c:v>
                      </c:pt>
                    </c:numCache>
                  </c:numRef>
                </c:val>
                <c:smooth val="0"/>
                <c:extLst xmlns:c15="http://schemas.microsoft.com/office/drawing/2012/chart">
                  <c:ext xmlns:c16="http://schemas.microsoft.com/office/drawing/2014/chart" uri="{C3380CC4-5D6E-409C-BE32-E72D297353CC}">
                    <c16:uniqueId val="{00000005-A9F8-4EC4-AA73-14FC34D2E46E}"/>
                  </c:ext>
                </c:extLst>
              </c15:ser>
            </c15:filteredLineSeries>
          </c:ext>
        </c:extLst>
      </c:lineChart>
      <c:catAx>
        <c:axId val="193629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36294319"/>
        <c:crosses val="autoZero"/>
        <c:auto val="1"/>
        <c:lblAlgn val="ctr"/>
        <c:lblOffset val="100"/>
        <c:noMultiLvlLbl val="0"/>
      </c:catAx>
      <c:valAx>
        <c:axId val="1936294319"/>
        <c:scaling>
          <c:orientation val="minMax"/>
          <c:min val="2"/>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36299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17'!$C$5</c:f>
              <c:strCache>
                <c:ptCount val="1"/>
                <c:pt idx="0">
                  <c:v>Femmes</c:v>
                </c:pt>
              </c:strCache>
            </c:strRef>
          </c:tx>
          <c:spPr>
            <a:ln w="19050" cap="rnd">
              <a:solidFill>
                <a:srgbClr val="37635F"/>
              </a:solidFill>
              <a:round/>
            </a:ln>
            <a:effectLst/>
          </c:spPr>
          <c:marker>
            <c:symbol val="none"/>
          </c:marker>
          <c:cat>
            <c:strRef>
              <c:f>'Figure 17'!$B$6:$B$18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17'!$C$6:$C$18</c:f>
              <c:numCache>
                <c:formatCode>0</c:formatCode>
                <c:ptCount val="13"/>
                <c:pt idx="0">
                  <c:v>4.3600000000000003</c:v>
                </c:pt>
                <c:pt idx="1">
                  <c:v>4.22</c:v>
                </c:pt>
                <c:pt idx="2">
                  <c:v>4.34</c:v>
                </c:pt>
                <c:pt idx="3">
                  <c:v>4.42</c:v>
                </c:pt>
                <c:pt idx="4">
                  <c:v>4.3600000000000003</c:v>
                </c:pt>
                <c:pt idx="5">
                  <c:v>4.54</c:v>
                </c:pt>
                <c:pt idx="6">
                  <c:v>5.12</c:v>
                </c:pt>
                <c:pt idx="8">
                  <c:v>6.13</c:v>
                </c:pt>
                <c:pt idx="9">
                  <c:v>7.55</c:v>
                </c:pt>
                <c:pt idx="10">
                  <c:v>6.05</c:v>
                </c:pt>
                <c:pt idx="11">
                  <c:v>5.65</c:v>
                </c:pt>
                <c:pt idx="12">
                  <c:v>5.39</c:v>
                </c:pt>
              </c:numCache>
            </c:numRef>
          </c:val>
          <c:smooth val="0"/>
          <c:extLst>
            <c:ext xmlns:c16="http://schemas.microsoft.com/office/drawing/2014/chart" uri="{C3380CC4-5D6E-409C-BE32-E72D297353CC}">
              <c16:uniqueId val="{00000000-6EED-4666-80F6-2AD32DB2F1DA}"/>
            </c:ext>
          </c:extLst>
        </c:ser>
        <c:ser>
          <c:idx val="1"/>
          <c:order val="1"/>
          <c:tx>
            <c:strRef>
              <c:f>'Figure 17'!$D$5</c:f>
              <c:strCache>
                <c:ptCount val="1"/>
                <c:pt idx="0">
                  <c:v>Hommes</c:v>
                </c:pt>
              </c:strCache>
            </c:strRef>
          </c:tx>
          <c:spPr>
            <a:ln w="19050" cap="rnd">
              <a:solidFill>
                <a:srgbClr val="34BAB5"/>
              </a:solidFill>
              <a:round/>
            </a:ln>
            <a:effectLst/>
          </c:spPr>
          <c:marker>
            <c:symbol val="none"/>
          </c:marker>
          <c:cat>
            <c:strRef>
              <c:f>'Figure 17'!$B$6:$B$18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17'!$D$6:$D$18</c:f>
              <c:numCache>
                <c:formatCode>0</c:formatCode>
                <c:ptCount val="13"/>
                <c:pt idx="0">
                  <c:v>2.8</c:v>
                </c:pt>
                <c:pt idx="1">
                  <c:v>3</c:v>
                </c:pt>
                <c:pt idx="2">
                  <c:v>3.41</c:v>
                </c:pt>
                <c:pt idx="3">
                  <c:v>2.93</c:v>
                </c:pt>
                <c:pt idx="4">
                  <c:v>2.85</c:v>
                </c:pt>
                <c:pt idx="5">
                  <c:v>2.97</c:v>
                </c:pt>
                <c:pt idx="6">
                  <c:v>3.63</c:v>
                </c:pt>
                <c:pt idx="8">
                  <c:v>4.2</c:v>
                </c:pt>
                <c:pt idx="9">
                  <c:v>4.68</c:v>
                </c:pt>
                <c:pt idx="10">
                  <c:v>3.98</c:v>
                </c:pt>
                <c:pt idx="11">
                  <c:v>3.71</c:v>
                </c:pt>
                <c:pt idx="12">
                  <c:v>4.0199999999999996</c:v>
                </c:pt>
              </c:numCache>
            </c:numRef>
          </c:val>
          <c:smooth val="0"/>
          <c:extLst>
            <c:ext xmlns:c16="http://schemas.microsoft.com/office/drawing/2014/chart" uri="{C3380CC4-5D6E-409C-BE32-E72D297353CC}">
              <c16:uniqueId val="{00000001-6EED-4666-80F6-2AD32DB2F1DA}"/>
            </c:ext>
          </c:extLst>
        </c:ser>
        <c:ser>
          <c:idx val="5"/>
          <c:order val="5"/>
          <c:tx>
            <c:strRef>
              <c:f>'Figure 17'!$H$5</c:f>
              <c:strCache>
                <c:ptCount val="1"/>
                <c:pt idx="0">
                  <c:v>Ensemble fonction publique</c:v>
                </c:pt>
              </c:strCache>
            </c:strRef>
          </c:tx>
          <c:spPr>
            <a:ln w="31750" cap="rnd">
              <a:solidFill>
                <a:srgbClr val="AEA397"/>
              </a:solidFill>
              <a:round/>
            </a:ln>
            <a:effectLst/>
          </c:spPr>
          <c:marker>
            <c:symbol val="none"/>
          </c:marker>
          <c:cat>
            <c:strRef>
              <c:f>'Figure 17'!$B$6:$B$18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17'!$H$6:$H$18</c:f>
              <c:numCache>
                <c:formatCode>0</c:formatCode>
                <c:ptCount val="13"/>
                <c:pt idx="0">
                  <c:v>3.77</c:v>
                </c:pt>
                <c:pt idx="1">
                  <c:v>3.77</c:v>
                </c:pt>
                <c:pt idx="2">
                  <c:v>4</c:v>
                </c:pt>
                <c:pt idx="3">
                  <c:v>3.87</c:v>
                </c:pt>
                <c:pt idx="4">
                  <c:v>3.81</c:v>
                </c:pt>
                <c:pt idx="5">
                  <c:v>3.97</c:v>
                </c:pt>
                <c:pt idx="6">
                  <c:v>4.59</c:v>
                </c:pt>
                <c:pt idx="8">
                  <c:v>5.44</c:v>
                </c:pt>
                <c:pt idx="9">
                  <c:v>6.5</c:v>
                </c:pt>
                <c:pt idx="10">
                  <c:v>5.27</c:v>
                </c:pt>
                <c:pt idx="11">
                  <c:v>4.9400000000000004</c:v>
                </c:pt>
                <c:pt idx="12">
                  <c:v>4.9000000000000004</c:v>
                </c:pt>
              </c:numCache>
            </c:numRef>
          </c:val>
          <c:smooth val="0"/>
          <c:extLst>
            <c:ext xmlns:c16="http://schemas.microsoft.com/office/drawing/2014/chart" uri="{C3380CC4-5D6E-409C-BE32-E72D297353CC}">
              <c16:uniqueId val="{00000002-6EED-4666-80F6-2AD32DB2F1DA}"/>
            </c:ext>
          </c:extLst>
        </c:ser>
        <c:dLbls>
          <c:showLegendKey val="0"/>
          <c:showVal val="0"/>
          <c:showCatName val="0"/>
          <c:showSerName val="0"/>
          <c:showPercent val="0"/>
          <c:showBubbleSize val="0"/>
        </c:dLbls>
        <c:smooth val="0"/>
        <c:axId val="1936299727"/>
        <c:axId val="1936294319"/>
        <c:extLst>
          <c:ext xmlns:c15="http://schemas.microsoft.com/office/drawing/2012/chart" uri="{02D57815-91ED-43cb-92C2-25804820EDAC}">
            <c15:filteredLineSeries>
              <c15:ser>
                <c:idx val="2"/>
                <c:order val="2"/>
                <c:tx>
                  <c:strRef>
                    <c:extLst>
                      <c:ext uri="{02D57815-91ED-43cb-92C2-25804820EDAC}">
                        <c15:formulaRef>
                          <c15:sqref>'Figure 17'!$E$5</c15:sqref>
                        </c15:formulaRef>
                      </c:ext>
                    </c:extLst>
                    <c:strCache>
                      <c:ptCount val="1"/>
                      <c:pt idx="0">
                        <c:v>Moins de 
30 ans</c:v>
                      </c:pt>
                    </c:strCache>
                  </c:strRef>
                </c:tx>
                <c:spPr>
                  <a:ln w="28575" cap="rnd">
                    <a:solidFill>
                      <a:schemeClr val="accent3"/>
                    </a:solidFill>
                    <a:round/>
                  </a:ln>
                  <a:effectLst/>
                </c:spPr>
                <c:marker>
                  <c:symbol val="none"/>
                </c:marker>
                <c:cat>
                  <c:strRef>
                    <c:extLst>
                      <c:ext uri="{02D57815-91ED-43cb-92C2-25804820EDAC}">
                        <c15:formulaRef>
                          <c15:sqref>'Figure 17'!$B$6:$B$18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c:ext uri="{02D57815-91ED-43cb-92C2-25804820EDAC}">
                        <c15:formulaRef>
                          <c15:sqref>'Figure 17'!$E$6:$E$18</c15:sqref>
                        </c15:formulaRef>
                      </c:ext>
                    </c:extLst>
                    <c:numCache>
                      <c:formatCode>0</c:formatCode>
                      <c:ptCount val="13"/>
                      <c:pt idx="0">
                        <c:v>2.52</c:v>
                      </c:pt>
                      <c:pt idx="1">
                        <c:v>2.4900000000000002</c:v>
                      </c:pt>
                      <c:pt idx="2">
                        <c:v>3.17</c:v>
                      </c:pt>
                      <c:pt idx="3">
                        <c:v>2.7</c:v>
                      </c:pt>
                      <c:pt idx="4">
                        <c:v>2.7</c:v>
                      </c:pt>
                      <c:pt idx="5">
                        <c:v>3.36</c:v>
                      </c:pt>
                      <c:pt idx="6">
                        <c:v>3.25</c:v>
                      </c:pt>
                      <c:pt idx="8">
                        <c:v>3.7</c:v>
                      </c:pt>
                      <c:pt idx="9">
                        <c:v>4.59</c:v>
                      </c:pt>
                      <c:pt idx="10">
                        <c:v>3.49</c:v>
                      </c:pt>
                      <c:pt idx="11">
                        <c:v>3.41</c:v>
                      </c:pt>
                      <c:pt idx="12">
                        <c:v>3.14</c:v>
                      </c:pt>
                    </c:numCache>
                  </c:numRef>
                </c:val>
                <c:smooth val="0"/>
                <c:extLst>
                  <c:ext xmlns:c16="http://schemas.microsoft.com/office/drawing/2014/chart" uri="{C3380CC4-5D6E-409C-BE32-E72D297353CC}">
                    <c16:uniqueId val="{00000003-6EED-4666-80F6-2AD32DB2F1DA}"/>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'Figure 17'!$F$5</c15:sqref>
                        </c15:formulaRef>
                      </c:ext>
                    </c:extLst>
                    <c:strCache>
                      <c:ptCount val="1"/>
                      <c:pt idx="0">
                        <c:v>De 30 
à 49 ans</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'Figure 17'!$B$6:$B$18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17'!$F$6:$F$18</c15:sqref>
                        </c15:formulaRef>
                      </c:ext>
                    </c:extLst>
                    <c:numCache>
                      <c:formatCode>0</c:formatCode>
                      <c:ptCount val="13"/>
                      <c:pt idx="0">
                        <c:v>3.59</c:v>
                      </c:pt>
                      <c:pt idx="1">
                        <c:v>3.44</c:v>
                      </c:pt>
                      <c:pt idx="2">
                        <c:v>3.58</c:v>
                      </c:pt>
                      <c:pt idx="3">
                        <c:v>3.61</c:v>
                      </c:pt>
                      <c:pt idx="4">
                        <c:v>3.51</c:v>
                      </c:pt>
                      <c:pt idx="5">
                        <c:v>3.59</c:v>
                      </c:pt>
                      <c:pt idx="6">
                        <c:v>4.37</c:v>
                      </c:pt>
                      <c:pt idx="8">
                        <c:v>4.7300000000000004</c:v>
                      </c:pt>
                      <c:pt idx="9">
                        <c:v>5.63</c:v>
                      </c:pt>
                      <c:pt idx="10">
                        <c:v>4.34</c:v>
                      </c:pt>
                      <c:pt idx="11">
                        <c:v>4.0999999999999996</c:v>
                      </c:pt>
                      <c:pt idx="12">
                        <c:v>4.13</c:v>
                      </c:pt>
                    </c:numCache>
                  </c:numRef>
                </c:val>
                <c:smooth val="0"/>
                <c:extLst xmlns:c15="http://schemas.microsoft.com/office/drawing/2012/chart">
                  <c:ext xmlns:c16="http://schemas.microsoft.com/office/drawing/2014/chart" uri="{C3380CC4-5D6E-409C-BE32-E72D297353CC}">
                    <c16:uniqueId val="{00000004-6EED-4666-80F6-2AD32DB2F1DA}"/>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'Figure 17'!$G$5</c15:sqref>
                        </c15:formulaRef>
                      </c:ext>
                    </c:extLst>
                    <c:strCache>
                      <c:ptCount val="1"/>
                      <c:pt idx="0">
                        <c:v>50 ans 
ou plus</c:v>
                      </c:pt>
                    </c:strCache>
                  </c:strRef>
                </c:tx>
                <c:spPr>
                  <a:ln w="28575" cap="rnd">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'Figure 17'!$B$6:$B$18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17'!$G$6:$G$18</c15:sqref>
                        </c15:formulaRef>
                      </c:ext>
                    </c:extLst>
                    <c:numCache>
                      <c:formatCode>0</c:formatCode>
                      <c:ptCount val="13"/>
                      <c:pt idx="0">
                        <c:v>4.5</c:v>
                      </c:pt>
                      <c:pt idx="1">
                        <c:v>4.72</c:v>
                      </c:pt>
                      <c:pt idx="2">
                        <c:v>4.9000000000000004</c:v>
                      </c:pt>
                      <c:pt idx="3">
                        <c:v>4.6500000000000004</c:v>
                      </c:pt>
                      <c:pt idx="4">
                        <c:v>4.63</c:v>
                      </c:pt>
                      <c:pt idx="5">
                        <c:v>4.71</c:v>
                      </c:pt>
                      <c:pt idx="6">
                        <c:v>5.3</c:v>
                      </c:pt>
                      <c:pt idx="8">
                        <c:v>6.95</c:v>
                      </c:pt>
                      <c:pt idx="9">
                        <c:v>8.24</c:v>
                      </c:pt>
                      <c:pt idx="10">
                        <c:v>6.98</c:v>
                      </c:pt>
                      <c:pt idx="11">
                        <c:v>6.41</c:v>
                      </c:pt>
                      <c:pt idx="12">
                        <c:v>6.37</c:v>
                      </c:pt>
                    </c:numCache>
                  </c:numRef>
                </c:val>
                <c:smooth val="0"/>
                <c:extLst xmlns:c15="http://schemas.microsoft.com/office/drawing/2012/chart">
                  <c:ext xmlns:c16="http://schemas.microsoft.com/office/drawing/2014/chart" uri="{C3380CC4-5D6E-409C-BE32-E72D297353CC}">
                    <c16:uniqueId val="{00000005-6EED-4666-80F6-2AD32DB2F1DA}"/>
                  </c:ext>
                </c:extLst>
              </c15:ser>
            </c15:filteredLineSeries>
          </c:ext>
        </c:extLst>
      </c:lineChart>
      <c:catAx>
        <c:axId val="193629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36294319"/>
        <c:crosses val="autoZero"/>
        <c:auto val="1"/>
        <c:lblAlgn val="ctr"/>
        <c:lblOffset val="100"/>
        <c:noMultiLvlLbl val="0"/>
      </c:catAx>
      <c:valAx>
        <c:axId val="1936294319"/>
        <c:scaling>
          <c:orientation val="minMax"/>
          <c:max val="9"/>
          <c:min val="2"/>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36299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4"/>
          <c:order val="4"/>
          <c:tx>
            <c:strRef>
              <c:f>'Figure 18'!$B$10</c:f>
              <c:strCache>
                <c:ptCount val="1"/>
                <c:pt idx="0">
                  <c:v>Ensemble fonction publique</c:v>
                </c:pt>
              </c:strCache>
            </c:strRef>
          </c:tx>
          <c:spPr>
            <a:ln w="31750" cap="rnd">
              <a:solidFill>
                <a:srgbClr val="AEA397"/>
              </a:solidFill>
              <a:round/>
            </a:ln>
            <a:effectLst/>
          </c:spPr>
          <c:marker>
            <c:symbol val="none"/>
          </c:marker>
          <c:cat>
            <c:strRef>
              <c:f>'Figure 18'!$C$5:$O$5</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18'!$C$10:$O$10</c:f>
              <c:numCache>
                <c:formatCode>0.0</c:formatCode>
                <c:ptCount val="13"/>
                <c:pt idx="0">
                  <c:v>8.1</c:v>
                </c:pt>
                <c:pt idx="1">
                  <c:v>8.34</c:v>
                </c:pt>
                <c:pt idx="2">
                  <c:v>8.83</c:v>
                </c:pt>
                <c:pt idx="3">
                  <c:v>8.4700000000000006</c:v>
                </c:pt>
                <c:pt idx="4">
                  <c:v>8.51</c:v>
                </c:pt>
                <c:pt idx="5">
                  <c:v>8.83</c:v>
                </c:pt>
                <c:pt idx="6">
                  <c:v>10.49</c:v>
                </c:pt>
                <c:pt idx="8">
                  <c:v>12.3096</c:v>
                </c:pt>
                <c:pt idx="9">
                  <c:v>14.5008</c:v>
                </c:pt>
                <c:pt idx="10">
                  <c:v>11.921799999999999</c:v>
                </c:pt>
                <c:pt idx="11">
                  <c:v>10.969799999999999</c:v>
                </c:pt>
                <c:pt idx="12">
                  <c:v>11.0451</c:v>
                </c:pt>
              </c:numCache>
            </c:numRef>
          </c:val>
          <c:smooth val="0"/>
          <c:extLst>
            <c:ext xmlns:c16="http://schemas.microsoft.com/office/drawing/2014/chart" uri="{C3380CC4-5D6E-409C-BE32-E72D297353CC}">
              <c16:uniqueId val="{00000000-1DB6-4763-B716-ABD45DB1AA6E}"/>
            </c:ext>
          </c:extLst>
        </c:ser>
        <c:ser>
          <c:idx val="5"/>
          <c:order val="5"/>
          <c:tx>
            <c:strRef>
              <c:f>'Figure 18'!$B$11</c:f>
              <c:strCache>
                <c:ptCount val="1"/>
                <c:pt idx="0">
                  <c:v>Salariés du privé</c:v>
                </c:pt>
              </c:strCache>
            </c:strRef>
          </c:tx>
          <c:spPr>
            <a:ln w="19050" cap="rnd">
              <a:solidFill>
                <a:srgbClr val="DFDA00"/>
              </a:solidFill>
              <a:round/>
            </a:ln>
            <a:effectLst/>
          </c:spPr>
          <c:marker>
            <c:symbol val="none"/>
          </c:marker>
          <c:cat>
            <c:strRef>
              <c:f>'Figure 18'!$C$5:$O$5</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18'!$C$11:$O$11</c:f>
              <c:numCache>
                <c:formatCode>0.0</c:formatCode>
                <c:ptCount val="13"/>
                <c:pt idx="0">
                  <c:v>8.31</c:v>
                </c:pt>
                <c:pt idx="1">
                  <c:v>8.18</c:v>
                </c:pt>
                <c:pt idx="2">
                  <c:v>8.3800000000000008</c:v>
                </c:pt>
                <c:pt idx="3">
                  <c:v>8.35</c:v>
                </c:pt>
                <c:pt idx="4">
                  <c:v>8.68</c:v>
                </c:pt>
                <c:pt idx="5">
                  <c:v>8.44</c:v>
                </c:pt>
                <c:pt idx="6">
                  <c:v>10.18</c:v>
                </c:pt>
                <c:pt idx="8">
                  <c:v>11.3803</c:v>
                </c:pt>
                <c:pt idx="9">
                  <c:v>11.667999999999999</c:v>
                </c:pt>
                <c:pt idx="10">
                  <c:v>10.3002</c:v>
                </c:pt>
                <c:pt idx="11">
                  <c:v>10.5741</c:v>
                </c:pt>
                <c:pt idx="12">
                  <c:v>10.592499999999999</c:v>
                </c:pt>
              </c:numCache>
            </c:numRef>
          </c:val>
          <c:smooth val="0"/>
          <c:extLst>
            <c:ext xmlns:c16="http://schemas.microsoft.com/office/drawing/2014/chart" uri="{C3380CC4-5D6E-409C-BE32-E72D297353CC}">
              <c16:uniqueId val="{00000001-1DB6-4763-B716-ABD45DB1AA6E}"/>
            </c:ext>
          </c:extLst>
        </c:ser>
        <c:dLbls>
          <c:showLegendKey val="0"/>
          <c:showVal val="0"/>
          <c:showCatName val="0"/>
          <c:showSerName val="0"/>
          <c:showPercent val="0"/>
          <c:showBubbleSize val="0"/>
        </c:dLbls>
        <c:smooth val="0"/>
        <c:axId val="1476266319"/>
        <c:axId val="1476274223"/>
        <c:extLst>
          <c:ext xmlns:c15="http://schemas.microsoft.com/office/drawing/2012/chart" uri="{02D57815-91ED-43cb-92C2-25804820EDAC}">
            <c15:filteredLineSeries>
              <c15:ser>
                <c:idx val="0"/>
                <c:order val="0"/>
                <c:tx>
                  <c:strRef>
                    <c:extLst>
                      <c:ext uri="{02D57815-91ED-43cb-92C2-25804820EDAC}">
                        <c15:formulaRef>
                          <c15:sqref>'Figure 18'!$B$6</c15:sqref>
                        </c15:formulaRef>
                      </c:ext>
                    </c:extLst>
                    <c:strCache>
                      <c:ptCount val="1"/>
                      <c:pt idx="0">
                        <c:v>FPE (hors enseignants)</c:v>
                      </c:pt>
                    </c:strCache>
                  </c:strRef>
                </c:tx>
                <c:spPr>
                  <a:ln w="28575" cap="rnd">
                    <a:solidFill>
                      <a:schemeClr val="accent5"/>
                    </a:solidFill>
                    <a:round/>
                  </a:ln>
                  <a:effectLst/>
                </c:spPr>
                <c:marker>
                  <c:symbol val="diamond"/>
                  <c:size val="5"/>
                  <c:spPr>
                    <a:solidFill>
                      <a:schemeClr val="accent1"/>
                    </a:solidFill>
                    <a:ln w="9525">
                      <a:solidFill>
                        <a:schemeClr val="accent5"/>
                      </a:solidFill>
                    </a:ln>
                    <a:effectLst/>
                  </c:spPr>
                </c:marker>
                <c:cat>
                  <c:strRef>
                    <c:extLst>
                      <c:ext uri="{02D57815-91ED-43cb-92C2-25804820EDAC}">
                        <c15:formulaRef>
                          <c15:sqref>'Figure 18'!$C$5:$O$5</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c:ext uri="{02D57815-91ED-43cb-92C2-25804820EDAC}">
                        <c15:formulaRef>
                          <c15:sqref>'Figure 18'!$C$6:$N$6</c15:sqref>
                        </c15:formulaRef>
                      </c:ext>
                    </c:extLst>
                    <c:numCache>
                      <c:formatCode>0.0</c:formatCode>
                      <c:ptCount val="12"/>
                      <c:pt idx="0">
                        <c:v>6.32</c:v>
                      </c:pt>
                      <c:pt idx="1">
                        <c:v>6.27</c:v>
                      </c:pt>
                      <c:pt idx="2">
                        <c:v>6.38</c:v>
                      </c:pt>
                      <c:pt idx="3">
                        <c:v>6.91</c:v>
                      </c:pt>
                      <c:pt idx="4">
                        <c:v>5.92</c:v>
                      </c:pt>
                      <c:pt idx="5">
                        <c:v>6.7</c:v>
                      </c:pt>
                      <c:pt idx="6">
                        <c:v>6.59</c:v>
                      </c:pt>
                      <c:pt idx="8">
                        <c:v>9.6121999999999996</c:v>
                      </c:pt>
                      <c:pt idx="9">
                        <c:v>10.034800000000001</c:v>
                      </c:pt>
                      <c:pt idx="10">
                        <c:v>8.1763999999999992</c:v>
                      </c:pt>
                      <c:pt idx="11">
                        <c:v>8.5397999999999996</c:v>
                      </c:pt>
                    </c:numCache>
                  </c:numRef>
                </c:val>
                <c:smooth val="0"/>
                <c:extLst>
                  <c:ext xmlns:c16="http://schemas.microsoft.com/office/drawing/2014/chart" uri="{C3380CC4-5D6E-409C-BE32-E72D297353CC}">
                    <c16:uniqueId val="{00000002-1DB6-4763-B716-ABD45DB1AA6E}"/>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'Figure 18'!$B$7</c15:sqref>
                        </c15:formulaRef>
                      </c:ext>
                    </c:extLst>
                    <c:strCache>
                      <c:ptCount val="1"/>
                      <c:pt idx="0">
                        <c:v>Enseignants</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cat>
                  <c:strRef>
                    <c:extLst xmlns:c15="http://schemas.microsoft.com/office/drawing/2012/chart">
                      <c:ext xmlns:c15="http://schemas.microsoft.com/office/drawing/2012/chart" uri="{02D57815-91ED-43cb-92C2-25804820EDAC}">
                        <c15:formulaRef>
                          <c15:sqref>'Figure 18'!$C$5:$O$5</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18'!$C$7:$N$7</c15:sqref>
                        </c15:formulaRef>
                      </c:ext>
                    </c:extLst>
                    <c:numCache>
                      <c:formatCode>0.0</c:formatCode>
                      <c:ptCount val="12"/>
                      <c:pt idx="0">
                        <c:v>5.9</c:v>
                      </c:pt>
                      <c:pt idx="1">
                        <c:v>6.32</c:v>
                      </c:pt>
                      <c:pt idx="2">
                        <c:v>6.2</c:v>
                      </c:pt>
                      <c:pt idx="3">
                        <c:v>4.71</c:v>
                      </c:pt>
                      <c:pt idx="4">
                        <c:v>5.23</c:v>
                      </c:pt>
                      <c:pt idx="5">
                        <c:v>5.41</c:v>
                      </c:pt>
                      <c:pt idx="6">
                        <c:v>6.95</c:v>
                      </c:pt>
                      <c:pt idx="8">
                        <c:v>7.8792999999999997</c:v>
                      </c:pt>
                      <c:pt idx="9">
                        <c:v>11.7257</c:v>
                      </c:pt>
                      <c:pt idx="10">
                        <c:v>9.3971999999999998</c:v>
                      </c:pt>
                      <c:pt idx="11">
                        <c:v>8.2035999999999998</c:v>
                      </c:pt>
                    </c:numCache>
                  </c:numRef>
                </c:val>
                <c:smooth val="0"/>
                <c:extLst xmlns:c15="http://schemas.microsoft.com/office/drawing/2012/chart">
                  <c:ext xmlns:c16="http://schemas.microsoft.com/office/drawing/2014/chart" uri="{C3380CC4-5D6E-409C-BE32-E72D297353CC}">
                    <c16:uniqueId val="{00000003-1DB6-4763-B716-ABD45DB1AA6E}"/>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'Figure 18'!$B$9</c15:sqref>
                        </c15:formulaRef>
                      </c:ext>
                    </c:extLst>
                    <c:strCache>
                      <c:ptCount val="1"/>
                      <c:pt idx="0">
                        <c:v>FPH</c:v>
                      </c:pt>
                    </c:strCache>
                  </c:strRef>
                </c:tx>
                <c:spPr>
                  <a:ln w="28575" cap="rnd">
                    <a:solidFill>
                      <a:schemeClr val="accent1">
                        <a:lumMod val="75000"/>
                      </a:schemeClr>
                    </a:solidFill>
                    <a:round/>
                  </a:ln>
                  <a:effectLst/>
                </c:spPr>
                <c:marker>
                  <c:symbol val="triangle"/>
                  <c:size val="5"/>
                  <c:spPr>
                    <a:solidFill>
                      <a:schemeClr val="accent1">
                        <a:lumMod val="75000"/>
                      </a:schemeClr>
                    </a:solidFill>
                    <a:ln w="9525">
                      <a:solidFill>
                        <a:schemeClr val="accent1">
                          <a:lumMod val="75000"/>
                        </a:schemeClr>
                      </a:solidFill>
                    </a:ln>
                    <a:effectLst/>
                  </c:spPr>
                </c:marker>
                <c:cat>
                  <c:strRef>
                    <c:extLst xmlns:c15="http://schemas.microsoft.com/office/drawing/2012/chart">
                      <c:ext xmlns:c15="http://schemas.microsoft.com/office/drawing/2012/chart" uri="{02D57815-91ED-43cb-92C2-25804820EDAC}">
                        <c15:formulaRef>
                          <c15:sqref>'Figure 18'!$C$5:$O$5</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18'!$C$8:$N$8</c15:sqref>
                        </c15:formulaRef>
                      </c:ext>
                    </c:extLst>
                    <c:numCache>
                      <c:formatCode>0.0</c:formatCode>
                      <c:ptCount val="12"/>
                      <c:pt idx="0">
                        <c:v>9.56</c:v>
                      </c:pt>
                      <c:pt idx="1">
                        <c:v>10.220000000000001</c:v>
                      </c:pt>
                      <c:pt idx="2">
                        <c:v>11.17</c:v>
                      </c:pt>
                      <c:pt idx="3">
                        <c:v>10.59</c:v>
                      </c:pt>
                      <c:pt idx="4">
                        <c:v>10.79</c:v>
                      </c:pt>
                      <c:pt idx="5">
                        <c:v>11.38</c:v>
                      </c:pt>
                      <c:pt idx="6">
                        <c:v>13.82</c:v>
                      </c:pt>
                      <c:pt idx="8">
                        <c:v>15.191599999999999</c:v>
                      </c:pt>
                      <c:pt idx="9">
                        <c:v>17.489000000000001</c:v>
                      </c:pt>
                      <c:pt idx="10">
                        <c:v>14.9383</c:v>
                      </c:pt>
                      <c:pt idx="11">
                        <c:v>13.3157</c:v>
                      </c:pt>
                    </c:numCache>
                  </c:numRef>
                </c:val>
                <c:smooth val="0"/>
                <c:extLst xmlns:c15="http://schemas.microsoft.com/office/drawing/2012/chart">
                  <c:ext xmlns:c16="http://schemas.microsoft.com/office/drawing/2014/chart" uri="{C3380CC4-5D6E-409C-BE32-E72D297353CC}">
                    <c16:uniqueId val="{00000004-1DB6-4763-B716-ABD45DB1AA6E}"/>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'Figure 18'!$B$8</c15:sqref>
                        </c15:formulaRef>
                      </c:ext>
                    </c:extLst>
                    <c:strCache>
                      <c:ptCount val="1"/>
                      <c:pt idx="0">
                        <c:v>FPT</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extLst xmlns:c15="http://schemas.microsoft.com/office/drawing/2012/chart">
                      <c:ext xmlns:c15="http://schemas.microsoft.com/office/drawing/2012/chart" uri="{02D57815-91ED-43cb-92C2-25804820EDAC}">
                        <c15:formulaRef>
                          <c15:sqref>'Figure 18'!$C$5:$O$5</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18'!$C$9:$N$9</c15:sqref>
                        </c15:formulaRef>
                      </c:ext>
                    </c:extLst>
                    <c:numCache>
                      <c:formatCode>0.0</c:formatCode>
                      <c:ptCount val="12"/>
                      <c:pt idx="0">
                        <c:v>9.9499999999999993</c:v>
                      </c:pt>
                      <c:pt idx="1">
                        <c:v>9.83</c:v>
                      </c:pt>
                      <c:pt idx="2">
                        <c:v>10.74</c:v>
                      </c:pt>
                      <c:pt idx="3">
                        <c:v>10.48</c:v>
                      </c:pt>
                      <c:pt idx="4">
                        <c:v>11.15</c:v>
                      </c:pt>
                      <c:pt idx="5">
                        <c:v>10.57</c:v>
                      </c:pt>
                      <c:pt idx="6">
                        <c:v>13.63</c:v>
                      </c:pt>
                      <c:pt idx="8">
                        <c:v>15.6599</c:v>
                      </c:pt>
                      <c:pt idx="9">
                        <c:v>18.097000000000001</c:v>
                      </c:pt>
                      <c:pt idx="10">
                        <c:v>14.2622</c:v>
                      </c:pt>
                      <c:pt idx="11">
                        <c:v>12.951700000000001</c:v>
                      </c:pt>
                    </c:numCache>
                  </c:numRef>
                </c:val>
                <c:smooth val="0"/>
                <c:extLst xmlns:c15="http://schemas.microsoft.com/office/drawing/2012/chart">
                  <c:ext xmlns:c16="http://schemas.microsoft.com/office/drawing/2014/chart" uri="{C3380CC4-5D6E-409C-BE32-E72D297353CC}">
                    <c16:uniqueId val="{00000005-1DB6-4763-B716-ABD45DB1AA6E}"/>
                  </c:ext>
                </c:extLst>
              </c15:ser>
            </c15:filteredLineSeries>
          </c:ext>
        </c:extLst>
      </c:lineChart>
      <c:catAx>
        <c:axId val="147626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76274223"/>
        <c:crosses val="autoZero"/>
        <c:auto val="1"/>
        <c:lblAlgn val="ctr"/>
        <c:lblOffset val="100"/>
        <c:noMultiLvlLbl val="0"/>
      </c:catAx>
      <c:valAx>
        <c:axId val="1476274223"/>
        <c:scaling>
          <c:orientation val="minMax"/>
          <c:max val="20"/>
          <c:min val="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76266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18'!$A$6:$B$6</c:f>
              <c:strCache>
                <c:ptCount val="2"/>
                <c:pt idx="1">
                  <c:v>FPE (hors enseignants)</c:v>
                </c:pt>
              </c:strCache>
            </c:strRef>
          </c:tx>
          <c:spPr>
            <a:ln w="28575" cap="rnd">
              <a:solidFill>
                <a:srgbClr val="6E445A"/>
              </a:solidFill>
              <a:round/>
            </a:ln>
            <a:effectLst/>
          </c:spPr>
          <c:marker>
            <c:symbol val="none"/>
          </c:marker>
          <c:cat>
            <c:strRef>
              <c:f>'Figure 18'!$C$5:$O$5</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18'!$C$6:$O$6</c:f>
              <c:numCache>
                <c:formatCode>0.0</c:formatCode>
                <c:ptCount val="13"/>
                <c:pt idx="0">
                  <c:v>6.32</c:v>
                </c:pt>
                <c:pt idx="1">
                  <c:v>6.27</c:v>
                </c:pt>
                <c:pt idx="2">
                  <c:v>6.38</c:v>
                </c:pt>
                <c:pt idx="3">
                  <c:v>6.91</c:v>
                </c:pt>
                <c:pt idx="4">
                  <c:v>5.92</c:v>
                </c:pt>
                <c:pt idx="5">
                  <c:v>6.7</c:v>
                </c:pt>
                <c:pt idx="6">
                  <c:v>6.59</c:v>
                </c:pt>
                <c:pt idx="8">
                  <c:v>9.6121999999999996</c:v>
                </c:pt>
                <c:pt idx="9">
                  <c:v>10.034800000000001</c:v>
                </c:pt>
                <c:pt idx="10">
                  <c:v>8.1763999999999992</c:v>
                </c:pt>
                <c:pt idx="11">
                  <c:v>8.5397999999999996</c:v>
                </c:pt>
                <c:pt idx="12">
                  <c:v>8.9565000000000001</c:v>
                </c:pt>
              </c:numCache>
            </c:numRef>
          </c:val>
          <c:smooth val="0"/>
          <c:extLst>
            <c:ext xmlns:c16="http://schemas.microsoft.com/office/drawing/2014/chart" uri="{C3380CC4-5D6E-409C-BE32-E72D297353CC}">
              <c16:uniqueId val="{00000000-4E88-4B5D-8BFB-AC76A599C45E}"/>
            </c:ext>
          </c:extLst>
        </c:ser>
        <c:ser>
          <c:idx val="1"/>
          <c:order val="1"/>
          <c:tx>
            <c:strRef>
              <c:f>'Figure 18'!$A$7:$B$7</c:f>
              <c:strCache>
                <c:ptCount val="2"/>
                <c:pt idx="1">
                  <c:v>Enseignants</c:v>
                </c:pt>
              </c:strCache>
            </c:strRef>
          </c:tx>
          <c:spPr>
            <a:ln w="28575" cap="rnd">
              <a:solidFill>
                <a:srgbClr val="376092"/>
              </a:solidFill>
              <a:prstDash val="dash"/>
              <a:round/>
            </a:ln>
            <a:effectLst/>
          </c:spPr>
          <c:marker>
            <c:symbol val="none"/>
          </c:marker>
          <c:cat>
            <c:strRef>
              <c:f>'Figure 18'!$C$5:$O$5</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18'!$C$7:$O$7</c:f>
              <c:numCache>
                <c:formatCode>0.0</c:formatCode>
                <c:ptCount val="13"/>
                <c:pt idx="0">
                  <c:v>5.9</c:v>
                </c:pt>
                <c:pt idx="1">
                  <c:v>6.32</c:v>
                </c:pt>
                <c:pt idx="2">
                  <c:v>6.2</c:v>
                </c:pt>
                <c:pt idx="3">
                  <c:v>4.71</c:v>
                </c:pt>
                <c:pt idx="4">
                  <c:v>5.23</c:v>
                </c:pt>
                <c:pt idx="5">
                  <c:v>5.41</c:v>
                </c:pt>
                <c:pt idx="6">
                  <c:v>6.95</c:v>
                </c:pt>
                <c:pt idx="8">
                  <c:v>7.8792999999999997</c:v>
                </c:pt>
                <c:pt idx="9">
                  <c:v>11.7257</c:v>
                </c:pt>
                <c:pt idx="10">
                  <c:v>9.3971999999999998</c:v>
                </c:pt>
                <c:pt idx="11">
                  <c:v>8.2035999999999998</c:v>
                </c:pt>
                <c:pt idx="12">
                  <c:v>8.1469000000000005</c:v>
                </c:pt>
              </c:numCache>
            </c:numRef>
          </c:val>
          <c:smooth val="0"/>
          <c:extLst>
            <c:ext xmlns:c16="http://schemas.microsoft.com/office/drawing/2014/chart" uri="{C3380CC4-5D6E-409C-BE32-E72D297353CC}">
              <c16:uniqueId val="{00000001-4E88-4B5D-8BFB-AC76A599C45E}"/>
            </c:ext>
          </c:extLst>
        </c:ser>
        <c:ser>
          <c:idx val="2"/>
          <c:order val="2"/>
          <c:tx>
            <c:strRef>
              <c:f>'Figure 18'!$A$8:$B$8</c:f>
              <c:strCache>
                <c:ptCount val="2"/>
                <c:pt idx="1">
                  <c:v>FPT</c:v>
                </c:pt>
              </c:strCache>
            </c:strRef>
          </c:tx>
          <c:spPr>
            <a:ln w="28575" cap="rnd">
              <a:solidFill>
                <a:srgbClr val="2CA297"/>
              </a:solidFill>
              <a:round/>
            </a:ln>
            <a:effectLst/>
          </c:spPr>
          <c:marker>
            <c:symbol val="none"/>
          </c:marker>
          <c:cat>
            <c:strRef>
              <c:f>'Figure 18'!$C$5:$O$5</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18'!$C$8:$O$8</c:f>
              <c:numCache>
                <c:formatCode>0.0</c:formatCode>
                <c:ptCount val="13"/>
                <c:pt idx="0">
                  <c:v>9.56</c:v>
                </c:pt>
                <c:pt idx="1">
                  <c:v>10.220000000000001</c:v>
                </c:pt>
                <c:pt idx="2">
                  <c:v>11.17</c:v>
                </c:pt>
                <c:pt idx="3">
                  <c:v>10.59</c:v>
                </c:pt>
                <c:pt idx="4">
                  <c:v>10.79</c:v>
                </c:pt>
                <c:pt idx="5">
                  <c:v>11.38</c:v>
                </c:pt>
                <c:pt idx="6">
                  <c:v>13.82</c:v>
                </c:pt>
                <c:pt idx="8">
                  <c:v>15.191599999999999</c:v>
                </c:pt>
                <c:pt idx="9">
                  <c:v>17.489000000000001</c:v>
                </c:pt>
                <c:pt idx="10">
                  <c:v>14.9383</c:v>
                </c:pt>
                <c:pt idx="11">
                  <c:v>13.3157</c:v>
                </c:pt>
                <c:pt idx="12">
                  <c:v>12.665800000000001</c:v>
                </c:pt>
              </c:numCache>
            </c:numRef>
          </c:val>
          <c:smooth val="0"/>
          <c:extLst>
            <c:ext xmlns:c16="http://schemas.microsoft.com/office/drawing/2014/chart" uri="{C3380CC4-5D6E-409C-BE32-E72D297353CC}">
              <c16:uniqueId val="{00000002-4E88-4B5D-8BFB-AC76A599C45E}"/>
            </c:ext>
          </c:extLst>
        </c:ser>
        <c:ser>
          <c:idx val="3"/>
          <c:order val="3"/>
          <c:tx>
            <c:strRef>
              <c:f>'Figure 18'!$A$9:$B$9</c:f>
              <c:strCache>
                <c:ptCount val="2"/>
                <c:pt idx="1">
                  <c:v>FPH</c:v>
                </c:pt>
              </c:strCache>
            </c:strRef>
          </c:tx>
          <c:spPr>
            <a:ln w="28575" cap="rnd">
              <a:solidFill>
                <a:srgbClr val="C3992A"/>
              </a:solidFill>
              <a:round/>
            </a:ln>
            <a:effectLst/>
          </c:spPr>
          <c:marker>
            <c:symbol val="none"/>
          </c:marker>
          <c:cat>
            <c:strRef>
              <c:f>'Figure 18'!$C$5:$O$5</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18'!$C$9:$O$9</c:f>
              <c:numCache>
                <c:formatCode>0.0</c:formatCode>
                <c:ptCount val="13"/>
                <c:pt idx="0">
                  <c:v>9.9499999999999993</c:v>
                </c:pt>
                <c:pt idx="1">
                  <c:v>9.83</c:v>
                </c:pt>
                <c:pt idx="2">
                  <c:v>10.74</c:v>
                </c:pt>
                <c:pt idx="3">
                  <c:v>10.48</c:v>
                </c:pt>
                <c:pt idx="4">
                  <c:v>11.15</c:v>
                </c:pt>
                <c:pt idx="5">
                  <c:v>10.57</c:v>
                </c:pt>
                <c:pt idx="6">
                  <c:v>13.63</c:v>
                </c:pt>
                <c:pt idx="8">
                  <c:v>15.6599</c:v>
                </c:pt>
                <c:pt idx="9">
                  <c:v>18.097000000000001</c:v>
                </c:pt>
                <c:pt idx="10">
                  <c:v>14.2622</c:v>
                </c:pt>
                <c:pt idx="11">
                  <c:v>12.951700000000001</c:v>
                </c:pt>
                <c:pt idx="12">
                  <c:v>14.2821</c:v>
                </c:pt>
              </c:numCache>
            </c:numRef>
          </c:val>
          <c:smooth val="0"/>
          <c:extLst>
            <c:ext xmlns:c16="http://schemas.microsoft.com/office/drawing/2014/chart" uri="{C3380CC4-5D6E-409C-BE32-E72D297353CC}">
              <c16:uniqueId val="{00000003-4E88-4B5D-8BFB-AC76A599C45E}"/>
            </c:ext>
          </c:extLst>
        </c:ser>
        <c:dLbls>
          <c:showLegendKey val="0"/>
          <c:showVal val="0"/>
          <c:showCatName val="0"/>
          <c:showSerName val="0"/>
          <c:showPercent val="0"/>
          <c:showBubbleSize val="0"/>
        </c:dLbls>
        <c:smooth val="0"/>
        <c:axId val="548510192"/>
        <c:axId val="548517680"/>
        <c:extLst>
          <c:ext xmlns:c15="http://schemas.microsoft.com/office/drawing/2012/chart" uri="{02D57815-91ED-43cb-92C2-25804820EDAC}">
            <c15:filteredLineSeries>
              <c15:ser>
                <c:idx val="4"/>
                <c:order val="4"/>
                <c:tx>
                  <c:strRef>
                    <c:extLst>
                      <c:ext uri="{02D57815-91ED-43cb-92C2-25804820EDAC}">
                        <c15:formulaRef>
                          <c15:sqref>'Figure 18'!$A$10:$B$10</c15:sqref>
                        </c15:formulaRef>
                      </c:ext>
                    </c:extLst>
                    <c:strCache>
                      <c:ptCount val="2"/>
                      <c:pt idx="1">
                        <c:v>Ensemble fonction publique</c:v>
                      </c:pt>
                    </c:strCache>
                  </c:strRef>
                </c:tx>
                <c:spPr>
                  <a:ln w="28575" cap="rnd">
                    <a:solidFill>
                      <a:schemeClr val="accent5"/>
                    </a:solidFill>
                    <a:round/>
                  </a:ln>
                  <a:effectLst/>
                </c:spPr>
                <c:marker>
                  <c:symbol val="none"/>
                </c:marker>
                <c:cat>
                  <c:strRef>
                    <c:extLst>
                      <c:ext uri="{02D57815-91ED-43cb-92C2-25804820EDAC}">
                        <c15:formulaRef>
                          <c15:sqref>'Figure 18'!$C$5:$O$5</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c:ext uri="{02D57815-91ED-43cb-92C2-25804820EDAC}">
                        <c15:formulaRef>
                          <c15:sqref>'Figure 18'!$C$10:$O$10</c15:sqref>
                        </c15:formulaRef>
                      </c:ext>
                    </c:extLst>
                    <c:numCache>
                      <c:formatCode>0.0</c:formatCode>
                      <c:ptCount val="13"/>
                      <c:pt idx="0">
                        <c:v>8.1</c:v>
                      </c:pt>
                      <c:pt idx="1">
                        <c:v>8.34</c:v>
                      </c:pt>
                      <c:pt idx="2">
                        <c:v>8.83</c:v>
                      </c:pt>
                      <c:pt idx="3">
                        <c:v>8.4700000000000006</c:v>
                      </c:pt>
                      <c:pt idx="4">
                        <c:v>8.51</c:v>
                      </c:pt>
                      <c:pt idx="5">
                        <c:v>8.83</c:v>
                      </c:pt>
                      <c:pt idx="6">
                        <c:v>10.49</c:v>
                      </c:pt>
                      <c:pt idx="8">
                        <c:v>12.3096</c:v>
                      </c:pt>
                      <c:pt idx="9">
                        <c:v>14.5008</c:v>
                      </c:pt>
                      <c:pt idx="10">
                        <c:v>11.921799999999999</c:v>
                      </c:pt>
                      <c:pt idx="11">
                        <c:v>10.969799999999999</c:v>
                      </c:pt>
                      <c:pt idx="12">
                        <c:v>11.0451</c:v>
                      </c:pt>
                    </c:numCache>
                  </c:numRef>
                </c:val>
                <c:smooth val="0"/>
                <c:extLst>
                  <c:ext xmlns:c16="http://schemas.microsoft.com/office/drawing/2014/chart" uri="{C3380CC4-5D6E-409C-BE32-E72D297353CC}">
                    <c16:uniqueId val="{00000004-4E88-4B5D-8BFB-AC76A599C45E}"/>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'Figure 18'!$A$11:$B$11</c15:sqref>
                        </c15:formulaRef>
                      </c:ext>
                    </c:extLst>
                    <c:strCache>
                      <c:ptCount val="2"/>
                      <c:pt idx="1">
                        <c:v>Salariés du privé</c:v>
                      </c:pt>
                    </c:strCache>
                  </c:strRef>
                </c:tx>
                <c:spPr>
                  <a:ln w="28575" cap="rnd">
                    <a:solidFill>
                      <a:schemeClr val="accent6"/>
                    </a:solidFill>
                    <a:round/>
                  </a:ln>
                  <a:effectLst/>
                </c:spPr>
                <c:marker>
                  <c:symbol val="none"/>
                </c:marker>
                <c:cat>
                  <c:strRef>
                    <c:extLst xmlns:c15="http://schemas.microsoft.com/office/drawing/2012/chart">
                      <c:ext xmlns:c15="http://schemas.microsoft.com/office/drawing/2012/chart" uri="{02D57815-91ED-43cb-92C2-25804820EDAC}">
                        <c15:formulaRef>
                          <c15:sqref>'Figure 18'!$C$5:$O$5</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18'!$C$11:$O$11</c15:sqref>
                        </c15:formulaRef>
                      </c:ext>
                    </c:extLst>
                    <c:numCache>
                      <c:formatCode>0.0</c:formatCode>
                      <c:ptCount val="13"/>
                      <c:pt idx="0">
                        <c:v>8.31</c:v>
                      </c:pt>
                      <c:pt idx="1">
                        <c:v>8.18</c:v>
                      </c:pt>
                      <c:pt idx="2">
                        <c:v>8.3800000000000008</c:v>
                      </c:pt>
                      <c:pt idx="3">
                        <c:v>8.35</c:v>
                      </c:pt>
                      <c:pt idx="4">
                        <c:v>8.68</c:v>
                      </c:pt>
                      <c:pt idx="5">
                        <c:v>8.44</c:v>
                      </c:pt>
                      <c:pt idx="6">
                        <c:v>10.18</c:v>
                      </c:pt>
                      <c:pt idx="8">
                        <c:v>11.3803</c:v>
                      </c:pt>
                      <c:pt idx="9">
                        <c:v>11.667999999999999</c:v>
                      </c:pt>
                      <c:pt idx="10">
                        <c:v>10.3002</c:v>
                      </c:pt>
                      <c:pt idx="11">
                        <c:v>10.5741</c:v>
                      </c:pt>
                      <c:pt idx="12">
                        <c:v>10.592499999999999</c:v>
                      </c:pt>
                    </c:numCache>
                  </c:numRef>
                </c:val>
                <c:smooth val="0"/>
                <c:extLst xmlns:c15="http://schemas.microsoft.com/office/drawing/2012/chart">
                  <c:ext xmlns:c16="http://schemas.microsoft.com/office/drawing/2014/chart" uri="{C3380CC4-5D6E-409C-BE32-E72D297353CC}">
                    <c16:uniqueId val="{00000005-4E88-4B5D-8BFB-AC76A599C45E}"/>
                  </c:ext>
                </c:extLst>
              </c15:ser>
            </c15:filteredLineSeries>
          </c:ext>
        </c:extLst>
      </c:lineChart>
      <c:catAx>
        <c:axId val="54851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48517680"/>
        <c:crosses val="autoZero"/>
        <c:auto val="1"/>
        <c:lblAlgn val="ctr"/>
        <c:lblOffset val="100"/>
        <c:noMultiLvlLbl val="0"/>
      </c:catAx>
      <c:valAx>
        <c:axId val="548517680"/>
        <c:scaling>
          <c:orientation val="minMax"/>
          <c:max val="20"/>
          <c:min val="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48510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2"/>
          <c:tx>
            <c:strRef>
              <c:f>'Figure 20'!$E$5</c:f>
              <c:strCache>
                <c:ptCount val="1"/>
                <c:pt idx="0">
                  <c:v>Moins de 
30 ans</c:v>
                </c:pt>
              </c:strCache>
            </c:strRef>
          </c:tx>
          <c:spPr>
            <a:ln w="19050" cap="rnd">
              <a:solidFill>
                <a:srgbClr val="34BAB5"/>
              </a:solidFill>
              <a:round/>
            </a:ln>
            <a:effectLst/>
          </c:spPr>
          <c:marker>
            <c:symbol val="none"/>
          </c:marker>
          <c:cat>
            <c:strRef>
              <c:f>'Figure 20'!$B$6:$B$18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20'!$E$6:$E$18</c:f>
              <c:numCache>
                <c:formatCode>0.0</c:formatCode>
                <c:ptCount val="13"/>
                <c:pt idx="0">
                  <c:v>5</c:v>
                </c:pt>
                <c:pt idx="1">
                  <c:v>5.16</c:v>
                </c:pt>
                <c:pt idx="2">
                  <c:v>6.46</c:v>
                </c:pt>
                <c:pt idx="3">
                  <c:v>4.92</c:v>
                </c:pt>
                <c:pt idx="4">
                  <c:v>5.39</c:v>
                </c:pt>
                <c:pt idx="5">
                  <c:v>6.47</c:v>
                </c:pt>
                <c:pt idx="6">
                  <c:v>6.89</c:v>
                </c:pt>
                <c:pt idx="8">
                  <c:v>7.3460000000000001</c:v>
                </c:pt>
                <c:pt idx="9">
                  <c:v>9.1783999999999999</c:v>
                </c:pt>
                <c:pt idx="10">
                  <c:v>7.1627000000000001</c:v>
                </c:pt>
                <c:pt idx="11">
                  <c:v>6.2072000000000003</c:v>
                </c:pt>
                <c:pt idx="12">
                  <c:v>6.4467999999999996</c:v>
                </c:pt>
              </c:numCache>
            </c:numRef>
          </c:val>
          <c:smooth val="0"/>
          <c:extLst>
            <c:ext xmlns:c16="http://schemas.microsoft.com/office/drawing/2014/chart" uri="{C3380CC4-5D6E-409C-BE32-E72D297353CC}">
              <c16:uniqueId val="{00000000-612A-49DC-8FB7-F2F6506E4426}"/>
            </c:ext>
          </c:extLst>
        </c:ser>
        <c:ser>
          <c:idx val="3"/>
          <c:order val="3"/>
          <c:tx>
            <c:strRef>
              <c:f>'Figure 20'!$F$5</c:f>
              <c:strCache>
                <c:ptCount val="1"/>
                <c:pt idx="0">
                  <c:v>De 30 à 49 ans</c:v>
                </c:pt>
              </c:strCache>
            </c:strRef>
          </c:tx>
          <c:spPr>
            <a:ln w="19050" cap="rnd">
              <a:solidFill>
                <a:srgbClr val="37635F"/>
              </a:solidFill>
              <a:round/>
            </a:ln>
            <a:effectLst/>
          </c:spPr>
          <c:marker>
            <c:symbol val="none"/>
          </c:marker>
          <c:cat>
            <c:strRef>
              <c:f>'Figure 20'!$B$6:$B$18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20'!$F$6:$F$18</c:f>
              <c:numCache>
                <c:formatCode>0.0</c:formatCode>
                <c:ptCount val="13"/>
                <c:pt idx="0">
                  <c:v>7.51</c:v>
                </c:pt>
                <c:pt idx="1">
                  <c:v>7.38</c:v>
                </c:pt>
                <c:pt idx="2">
                  <c:v>7.63</c:v>
                </c:pt>
                <c:pt idx="3">
                  <c:v>7.72</c:v>
                </c:pt>
                <c:pt idx="4">
                  <c:v>7.64</c:v>
                </c:pt>
                <c:pt idx="5">
                  <c:v>7.76</c:v>
                </c:pt>
                <c:pt idx="6">
                  <c:v>9.82</c:v>
                </c:pt>
                <c:pt idx="8">
                  <c:v>10.496700000000001</c:v>
                </c:pt>
                <c:pt idx="9">
                  <c:v>12.3164</c:v>
                </c:pt>
                <c:pt idx="10">
                  <c:v>9.4928000000000008</c:v>
                </c:pt>
                <c:pt idx="11">
                  <c:v>8.8985000000000003</c:v>
                </c:pt>
                <c:pt idx="12">
                  <c:v>8.9870999999999999</c:v>
                </c:pt>
              </c:numCache>
            </c:numRef>
          </c:val>
          <c:smooth val="0"/>
          <c:extLst>
            <c:ext xmlns:c16="http://schemas.microsoft.com/office/drawing/2014/chart" uri="{C3380CC4-5D6E-409C-BE32-E72D297353CC}">
              <c16:uniqueId val="{00000001-612A-49DC-8FB7-F2F6506E4426}"/>
            </c:ext>
          </c:extLst>
        </c:ser>
        <c:ser>
          <c:idx val="4"/>
          <c:order val="4"/>
          <c:tx>
            <c:strRef>
              <c:f>'Figure 20'!$G$5</c:f>
              <c:strCache>
                <c:ptCount val="1"/>
                <c:pt idx="0">
                  <c:v>50 ans ou plus</c:v>
                </c:pt>
              </c:strCache>
            </c:strRef>
          </c:tx>
          <c:spPr>
            <a:ln w="19050" cap="rnd">
              <a:solidFill>
                <a:srgbClr val="CE614A"/>
              </a:solidFill>
              <a:round/>
            </a:ln>
            <a:effectLst/>
          </c:spPr>
          <c:marker>
            <c:symbol val="none"/>
          </c:marker>
          <c:cat>
            <c:strRef>
              <c:f>'Figure 20'!$B$6:$B$18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20'!$G$6:$G$18</c:f>
              <c:numCache>
                <c:formatCode>0.0</c:formatCode>
                <c:ptCount val="13"/>
                <c:pt idx="0">
                  <c:v>10.17</c:v>
                </c:pt>
                <c:pt idx="1">
                  <c:v>10.93</c:v>
                </c:pt>
                <c:pt idx="2">
                  <c:v>11.41</c:v>
                </c:pt>
                <c:pt idx="3">
                  <c:v>10.72</c:v>
                </c:pt>
                <c:pt idx="4">
                  <c:v>10.82</c:v>
                </c:pt>
                <c:pt idx="5">
                  <c:v>11.1</c:v>
                </c:pt>
                <c:pt idx="6">
                  <c:v>12.49</c:v>
                </c:pt>
                <c:pt idx="8">
                  <c:v>16.333500000000001</c:v>
                </c:pt>
                <c:pt idx="9">
                  <c:v>19.063300000000002</c:v>
                </c:pt>
                <c:pt idx="10">
                  <c:v>16.407</c:v>
                </c:pt>
                <c:pt idx="11">
                  <c:v>14.8653</c:v>
                </c:pt>
                <c:pt idx="12">
                  <c:v>14.9322</c:v>
                </c:pt>
              </c:numCache>
            </c:numRef>
          </c:val>
          <c:smooth val="0"/>
          <c:extLst>
            <c:ext xmlns:c16="http://schemas.microsoft.com/office/drawing/2014/chart" uri="{C3380CC4-5D6E-409C-BE32-E72D297353CC}">
              <c16:uniqueId val="{00000002-612A-49DC-8FB7-F2F6506E4426}"/>
            </c:ext>
          </c:extLst>
        </c:ser>
        <c:ser>
          <c:idx val="5"/>
          <c:order val="5"/>
          <c:tx>
            <c:strRef>
              <c:f>'Figure 20'!$H$5</c:f>
              <c:strCache>
                <c:ptCount val="1"/>
                <c:pt idx="0">
                  <c:v>Ensemble fonction publique</c:v>
                </c:pt>
              </c:strCache>
            </c:strRef>
          </c:tx>
          <c:spPr>
            <a:ln w="31750" cap="rnd">
              <a:solidFill>
                <a:srgbClr val="AEA397"/>
              </a:solidFill>
              <a:round/>
            </a:ln>
            <a:effectLst/>
          </c:spPr>
          <c:marker>
            <c:symbol val="none"/>
          </c:marker>
          <c:cat>
            <c:strRef>
              <c:f>'Figure 20'!$B$6:$B$18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20'!$H$6:$H$18</c:f>
              <c:numCache>
                <c:formatCode>0.0</c:formatCode>
                <c:ptCount val="13"/>
                <c:pt idx="0">
                  <c:v>8.1</c:v>
                </c:pt>
                <c:pt idx="1">
                  <c:v>8.34</c:v>
                </c:pt>
                <c:pt idx="2">
                  <c:v>8.83</c:v>
                </c:pt>
                <c:pt idx="3">
                  <c:v>8.4700000000000006</c:v>
                </c:pt>
                <c:pt idx="4">
                  <c:v>8.51</c:v>
                </c:pt>
                <c:pt idx="5">
                  <c:v>8.83</c:v>
                </c:pt>
                <c:pt idx="6">
                  <c:v>10.49</c:v>
                </c:pt>
                <c:pt idx="8">
                  <c:v>12.3096</c:v>
                </c:pt>
                <c:pt idx="9">
                  <c:v>14.5008</c:v>
                </c:pt>
                <c:pt idx="10">
                  <c:v>11.921799999999999</c:v>
                </c:pt>
                <c:pt idx="11">
                  <c:v>10.969799999999999</c:v>
                </c:pt>
                <c:pt idx="12">
                  <c:v>11.0451</c:v>
                </c:pt>
              </c:numCache>
            </c:numRef>
          </c:val>
          <c:smooth val="0"/>
          <c:extLst>
            <c:ext xmlns:c16="http://schemas.microsoft.com/office/drawing/2014/chart" uri="{C3380CC4-5D6E-409C-BE32-E72D297353CC}">
              <c16:uniqueId val="{00000003-612A-49DC-8FB7-F2F6506E4426}"/>
            </c:ext>
          </c:extLst>
        </c:ser>
        <c:dLbls>
          <c:showLegendKey val="0"/>
          <c:showVal val="0"/>
          <c:showCatName val="0"/>
          <c:showSerName val="0"/>
          <c:showPercent val="0"/>
          <c:showBubbleSize val="0"/>
        </c:dLbls>
        <c:smooth val="0"/>
        <c:axId val="1699213743"/>
        <c:axId val="1699203343"/>
        <c:extLst>
          <c:ext xmlns:c15="http://schemas.microsoft.com/office/drawing/2012/chart" uri="{02D57815-91ED-43cb-92C2-25804820EDAC}">
            <c15:filteredLineSeries>
              <c15:ser>
                <c:idx val="0"/>
                <c:order val="0"/>
                <c:tx>
                  <c:strRef>
                    <c:extLst>
                      <c:ext uri="{02D57815-91ED-43cb-92C2-25804820EDAC}">
                        <c15:formulaRef>
                          <c15:sqref>'Figure 20'!$C$5</c15:sqref>
                        </c15:formulaRef>
                      </c:ext>
                    </c:extLst>
                    <c:strCache>
                      <c:ptCount val="1"/>
                      <c:pt idx="0">
                        <c:v>Femmes</c:v>
                      </c:pt>
                    </c:strCache>
                  </c:strRef>
                </c:tx>
                <c:spPr>
                  <a:ln w="28575" cap="rnd">
                    <a:solidFill>
                      <a:schemeClr val="accent3"/>
                    </a:solidFill>
                    <a:round/>
                  </a:ln>
                  <a:effectLst/>
                </c:spPr>
                <c:marker>
                  <c:symbol val="none"/>
                </c:marker>
                <c:cat>
                  <c:strRef>
                    <c:extLst>
                      <c:ext uri="{02D57815-91ED-43cb-92C2-25804820EDAC}">
                        <c15:formulaRef>
                          <c15:sqref>'Figure 20'!$B$6:$B$18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c:ext uri="{02D57815-91ED-43cb-92C2-25804820EDAC}">
                        <c15:formulaRef>
                          <c15:sqref>'Figure 20'!$C$6:$C$18</c15:sqref>
                        </c15:formulaRef>
                      </c:ext>
                    </c:extLst>
                    <c:numCache>
                      <c:formatCode>0.0</c:formatCode>
                      <c:ptCount val="13"/>
                      <c:pt idx="0">
                        <c:v>9.3000000000000007</c:v>
                      </c:pt>
                      <c:pt idx="1">
                        <c:v>9.2200000000000006</c:v>
                      </c:pt>
                      <c:pt idx="2">
                        <c:v>9.51</c:v>
                      </c:pt>
                      <c:pt idx="3">
                        <c:v>9.5</c:v>
                      </c:pt>
                      <c:pt idx="4">
                        <c:v>9.73</c:v>
                      </c:pt>
                      <c:pt idx="5">
                        <c:v>10.029999999999999</c:v>
                      </c:pt>
                      <c:pt idx="6">
                        <c:v>11.46</c:v>
                      </c:pt>
                      <c:pt idx="8">
                        <c:v>13.6335</c:v>
                      </c:pt>
                      <c:pt idx="9">
                        <c:v>16.705100000000002</c:v>
                      </c:pt>
                      <c:pt idx="10">
                        <c:v>13.436</c:v>
                      </c:pt>
                      <c:pt idx="11">
                        <c:v>12.351000000000001</c:v>
                      </c:pt>
                      <c:pt idx="12">
                        <c:v>12.0305</c:v>
                      </c:pt>
                    </c:numCache>
                  </c:numRef>
                </c:val>
                <c:smooth val="0"/>
                <c:extLst>
                  <c:ext xmlns:c16="http://schemas.microsoft.com/office/drawing/2014/chart" uri="{C3380CC4-5D6E-409C-BE32-E72D297353CC}">
                    <c16:uniqueId val="{00000004-612A-49DC-8FB7-F2F6506E4426}"/>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'Figure 20'!$D$5</c15:sqref>
                        </c15:formulaRef>
                      </c:ext>
                    </c:extLst>
                    <c:strCache>
                      <c:ptCount val="1"/>
                      <c:pt idx="0">
                        <c:v>Hommes</c:v>
                      </c:pt>
                    </c:strCache>
                  </c:strRef>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'Figure 20'!$B$6:$B$18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20'!$D$6:$D$18</c15:sqref>
                        </c15:formulaRef>
                      </c:ext>
                    </c:extLst>
                    <c:numCache>
                      <c:formatCode>0.0</c:formatCode>
                      <c:ptCount val="13"/>
                      <c:pt idx="0">
                        <c:v>6.14</c:v>
                      </c:pt>
                      <c:pt idx="1">
                        <c:v>6.82</c:v>
                      </c:pt>
                      <c:pt idx="2">
                        <c:v>7.66</c:v>
                      </c:pt>
                      <c:pt idx="3">
                        <c:v>6.68</c:v>
                      </c:pt>
                      <c:pt idx="4">
                        <c:v>6.38</c:v>
                      </c:pt>
                      <c:pt idx="5">
                        <c:v>6.71</c:v>
                      </c:pt>
                      <c:pt idx="6">
                        <c:v>8.69</c:v>
                      </c:pt>
                      <c:pt idx="8">
                        <c:v>9.9181000000000008</c:v>
                      </c:pt>
                      <c:pt idx="9">
                        <c:v>10.687200000000001</c:v>
                      </c:pt>
                      <c:pt idx="10">
                        <c:v>9.3856999999999999</c:v>
                      </c:pt>
                      <c:pt idx="11">
                        <c:v>8.5632999999999999</c:v>
                      </c:pt>
                      <c:pt idx="12">
                        <c:v>9.2914999999999992</c:v>
                      </c:pt>
                    </c:numCache>
                  </c:numRef>
                </c:val>
                <c:smooth val="0"/>
                <c:extLst xmlns:c15="http://schemas.microsoft.com/office/drawing/2012/chart">
                  <c:ext xmlns:c16="http://schemas.microsoft.com/office/drawing/2014/chart" uri="{C3380CC4-5D6E-409C-BE32-E72D297353CC}">
                    <c16:uniqueId val="{00000005-612A-49DC-8FB7-F2F6506E4426}"/>
                  </c:ext>
                </c:extLst>
              </c15:ser>
            </c15:filteredLineSeries>
          </c:ext>
        </c:extLst>
      </c:lineChart>
      <c:catAx>
        <c:axId val="169921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99203343"/>
        <c:crosses val="autoZero"/>
        <c:auto val="1"/>
        <c:lblAlgn val="ctr"/>
        <c:lblOffset val="100"/>
        <c:noMultiLvlLbl val="0"/>
      </c:catAx>
      <c:valAx>
        <c:axId val="1699203343"/>
        <c:scaling>
          <c:orientation val="minMax"/>
          <c:max val="20"/>
          <c:min val="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99213743"/>
        <c:crosses val="autoZero"/>
        <c:crossBetween val="between"/>
      </c:valAx>
      <c:spPr>
        <a:noFill/>
        <a:ln>
          <a:noFill/>
        </a:ln>
        <a:effectLst/>
      </c:spPr>
    </c:plotArea>
    <c:legend>
      <c:legendPos val="b"/>
      <c:layout>
        <c:manualLayout>
          <c:xMode val="edge"/>
          <c:yMode val="edge"/>
          <c:x val="0"/>
          <c:y val="0.89234374411332551"/>
          <c:w val="1"/>
          <c:h val="8.85174999058132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20'!$C$5</c:f>
              <c:strCache>
                <c:ptCount val="1"/>
                <c:pt idx="0">
                  <c:v>Femmes</c:v>
                </c:pt>
              </c:strCache>
            </c:strRef>
          </c:tx>
          <c:spPr>
            <a:ln w="19050" cap="rnd">
              <a:solidFill>
                <a:srgbClr val="37635F"/>
              </a:solidFill>
              <a:round/>
            </a:ln>
            <a:effectLst/>
          </c:spPr>
          <c:marker>
            <c:symbol val="none"/>
          </c:marker>
          <c:cat>
            <c:strRef>
              <c:f>'Figure 20'!$B$6:$B$18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20'!$C$6:$C$18</c:f>
              <c:numCache>
                <c:formatCode>0.0</c:formatCode>
                <c:ptCount val="13"/>
                <c:pt idx="0">
                  <c:v>9.3000000000000007</c:v>
                </c:pt>
                <c:pt idx="1">
                  <c:v>9.2200000000000006</c:v>
                </c:pt>
                <c:pt idx="2">
                  <c:v>9.51</c:v>
                </c:pt>
                <c:pt idx="3">
                  <c:v>9.5</c:v>
                </c:pt>
                <c:pt idx="4">
                  <c:v>9.73</c:v>
                </c:pt>
                <c:pt idx="5">
                  <c:v>10.029999999999999</c:v>
                </c:pt>
                <c:pt idx="6">
                  <c:v>11.46</c:v>
                </c:pt>
                <c:pt idx="8">
                  <c:v>13.6335</c:v>
                </c:pt>
                <c:pt idx="9">
                  <c:v>16.705100000000002</c:v>
                </c:pt>
                <c:pt idx="10">
                  <c:v>13.436</c:v>
                </c:pt>
                <c:pt idx="11">
                  <c:v>12.351000000000001</c:v>
                </c:pt>
                <c:pt idx="12">
                  <c:v>12.0305</c:v>
                </c:pt>
              </c:numCache>
            </c:numRef>
          </c:val>
          <c:smooth val="0"/>
          <c:extLst>
            <c:ext xmlns:c16="http://schemas.microsoft.com/office/drawing/2014/chart" uri="{C3380CC4-5D6E-409C-BE32-E72D297353CC}">
              <c16:uniqueId val="{00000000-8EDA-4984-A687-CEC58346F015}"/>
            </c:ext>
          </c:extLst>
        </c:ser>
        <c:ser>
          <c:idx val="1"/>
          <c:order val="1"/>
          <c:tx>
            <c:strRef>
              <c:f>'Figure 20'!$D$5</c:f>
              <c:strCache>
                <c:ptCount val="1"/>
                <c:pt idx="0">
                  <c:v>Hommes</c:v>
                </c:pt>
              </c:strCache>
            </c:strRef>
          </c:tx>
          <c:spPr>
            <a:ln w="19050" cap="rnd">
              <a:solidFill>
                <a:srgbClr val="34BAB5"/>
              </a:solidFill>
              <a:round/>
            </a:ln>
            <a:effectLst/>
          </c:spPr>
          <c:marker>
            <c:symbol val="none"/>
          </c:marker>
          <c:cat>
            <c:strRef>
              <c:f>'Figure 20'!$B$6:$B$18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20'!$D$6:$D$18</c:f>
              <c:numCache>
                <c:formatCode>0.0</c:formatCode>
                <c:ptCount val="13"/>
                <c:pt idx="0">
                  <c:v>6.14</c:v>
                </c:pt>
                <c:pt idx="1">
                  <c:v>6.82</c:v>
                </c:pt>
                <c:pt idx="2">
                  <c:v>7.66</c:v>
                </c:pt>
                <c:pt idx="3">
                  <c:v>6.68</c:v>
                </c:pt>
                <c:pt idx="4">
                  <c:v>6.38</c:v>
                </c:pt>
                <c:pt idx="5">
                  <c:v>6.71</c:v>
                </c:pt>
                <c:pt idx="6">
                  <c:v>8.69</c:v>
                </c:pt>
                <c:pt idx="8">
                  <c:v>9.9181000000000008</c:v>
                </c:pt>
                <c:pt idx="9">
                  <c:v>10.687200000000001</c:v>
                </c:pt>
                <c:pt idx="10">
                  <c:v>9.3856999999999999</c:v>
                </c:pt>
                <c:pt idx="11">
                  <c:v>8.5632999999999999</c:v>
                </c:pt>
                <c:pt idx="12">
                  <c:v>9.2914999999999992</c:v>
                </c:pt>
              </c:numCache>
            </c:numRef>
          </c:val>
          <c:smooth val="0"/>
          <c:extLst>
            <c:ext xmlns:c16="http://schemas.microsoft.com/office/drawing/2014/chart" uri="{C3380CC4-5D6E-409C-BE32-E72D297353CC}">
              <c16:uniqueId val="{00000001-8EDA-4984-A687-CEC58346F015}"/>
            </c:ext>
          </c:extLst>
        </c:ser>
        <c:ser>
          <c:idx val="5"/>
          <c:order val="5"/>
          <c:tx>
            <c:strRef>
              <c:f>'Figure 20'!$H$5</c:f>
              <c:strCache>
                <c:ptCount val="1"/>
                <c:pt idx="0">
                  <c:v>Ensemble fonction publique</c:v>
                </c:pt>
              </c:strCache>
            </c:strRef>
          </c:tx>
          <c:spPr>
            <a:ln w="31750" cap="rnd">
              <a:solidFill>
                <a:srgbClr val="AEA397"/>
              </a:solidFill>
              <a:round/>
            </a:ln>
            <a:effectLst/>
          </c:spPr>
          <c:marker>
            <c:symbol val="none"/>
          </c:marker>
          <c:cat>
            <c:strRef>
              <c:f>'Figure 20'!$B$6:$B$18</c:f>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f>'Figure 20'!$H$6:$H$18</c:f>
              <c:numCache>
                <c:formatCode>0.0</c:formatCode>
                <c:ptCount val="13"/>
                <c:pt idx="0">
                  <c:v>8.1</c:v>
                </c:pt>
                <c:pt idx="1">
                  <c:v>8.34</c:v>
                </c:pt>
                <c:pt idx="2">
                  <c:v>8.83</c:v>
                </c:pt>
                <c:pt idx="3">
                  <c:v>8.4700000000000006</c:v>
                </c:pt>
                <c:pt idx="4">
                  <c:v>8.51</c:v>
                </c:pt>
                <c:pt idx="5">
                  <c:v>8.83</c:v>
                </c:pt>
                <c:pt idx="6">
                  <c:v>10.49</c:v>
                </c:pt>
                <c:pt idx="8">
                  <c:v>12.3096</c:v>
                </c:pt>
                <c:pt idx="9">
                  <c:v>14.5008</c:v>
                </c:pt>
                <c:pt idx="10">
                  <c:v>11.921799999999999</c:v>
                </c:pt>
                <c:pt idx="11">
                  <c:v>10.969799999999999</c:v>
                </c:pt>
                <c:pt idx="12">
                  <c:v>11.0451</c:v>
                </c:pt>
              </c:numCache>
            </c:numRef>
          </c:val>
          <c:smooth val="0"/>
          <c:extLst>
            <c:ext xmlns:c16="http://schemas.microsoft.com/office/drawing/2014/chart" uri="{C3380CC4-5D6E-409C-BE32-E72D297353CC}">
              <c16:uniqueId val="{00000002-8EDA-4984-A687-CEC58346F015}"/>
            </c:ext>
          </c:extLst>
        </c:ser>
        <c:dLbls>
          <c:showLegendKey val="0"/>
          <c:showVal val="0"/>
          <c:showCatName val="0"/>
          <c:showSerName val="0"/>
          <c:showPercent val="0"/>
          <c:showBubbleSize val="0"/>
        </c:dLbls>
        <c:smooth val="0"/>
        <c:axId val="1699213743"/>
        <c:axId val="1699203343"/>
        <c:extLst>
          <c:ext xmlns:c15="http://schemas.microsoft.com/office/drawing/2012/chart" uri="{02D57815-91ED-43cb-92C2-25804820EDAC}">
            <c15:filteredLineSeries>
              <c15:ser>
                <c:idx val="2"/>
                <c:order val="2"/>
                <c:tx>
                  <c:strRef>
                    <c:extLst>
                      <c:ext uri="{02D57815-91ED-43cb-92C2-25804820EDAC}">
                        <c15:formulaRef>
                          <c15:sqref>'Figure 20'!$E$5</c15:sqref>
                        </c15:formulaRef>
                      </c:ext>
                    </c:extLst>
                    <c:strCache>
                      <c:ptCount val="1"/>
                      <c:pt idx="0">
                        <c:v>Moins de 
30 ans</c:v>
                      </c:pt>
                    </c:strCache>
                  </c:strRef>
                </c:tx>
                <c:spPr>
                  <a:ln w="28575" cap="rnd">
                    <a:solidFill>
                      <a:srgbClr val="FFFF00"/>
                    </a:solidFill>
                    <a:round/>
                  </a:ln>
                  <a:effectLst/>
                </c:spPr>
                <c:marker>
                  <c:symbol val="none"/>
                </c:marker>
                <c:cat>
                  <c:strRef>
                    <c:extLst>
                      <c:ext uri="{02D57815-91ED-43cb-92C2-25804820EDAC}">
                        <c15:formulaRef>
                          <c15:sqref>'Figure 20'!$B$6:$B$18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c:ext uri="{02D57815-91ED-43cb-92C2-25804820EDAC}">
                        <c15:formulaRef>
                          <c15:sqref>'Figure 20'!$E$6:$E$18</c15:sqref>
                        </c15:formulaRef>
                      </c:ext>
                    </c:extLst>
                    <c:numCache>
                      <c:formatCode>0.0</c:formatCode>
                      <c:ptCount val="13"/>
                      <c:pt idx="0">
                        <c:v>5</c:v>
                      </c:pt>
                      <c:pt idx="1">
                        <c:v>5.16</c:v>
                      </c:pt>
                      <c:pt idx="2">
                        <c:v>6.46</c:v>
                      </c:pt>
                      <c:pt idx="3">
                        <c:v>4.92</c:v>
                      </c:pt>
                      <c:pt idx="4">
                        <c:v>5.39</c:v>
                      </c:pt>
                      <c:pt idx="5">
                        <c:v>6.47</c:v>
                      </c:pt>
                      <c:pt idx="6">
                        <c:v>6.89</c:v>
                      </c:pt>
                      <c:pt idx="8">
                        <c:v>7.3460000000000001</c:v>
                      </c:pt>
                      <c:pt idx="9">
                        <c:v>9.1783999999999999</c:v>
                      </c:pt>
                      <c:pt idx="10">
                        <c:v>7.1627000000000001</c:v>
                      </c:pt>
                      <c:pt idx="11">
                        <c:v>6.2072000000000003</c:v>
                      </c:pt>
                      <c:pt idx="12">
                        <c:v>6.4467999999999996</c:v>
                      </c:pt>
                    </c:numCache>
                  </c:numRef>
                </c:val>
                <c:smooth val="0"/>
                <c:extLst>
                  <c:ext xmlns:c16="http://schemas.microsoft.com/office/drawing/2014/chart" uri="{C3380CC4-5D6E-409C-BE32-E72D297353CC}">
                    <c16:uniqueId val="{00000003-8EDA-4984-A687-CEC58346F015}"/>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'Figure 20'!$F$5</c15:sqref>
                        </c15:formulaRef>
                      </c:ext>
                    </c:extLst>
                    <c:strCache>
                      <c:ptCount val="1"/>
                      <c:pt idx="0">
                        <c:v>De 30 à 49 ans</c:v>
                      </c:pt>
                    </c:strCache>
                  </c:strRef>
                </c:tx>
                <c:spPr>
                  <a:ln w="28575" cap="rnd">
                    <a:solidFill>
                      <a:schemeClr val="accent6"/>
                    </a:solidFill>
                    <a:round/>
                  </a:ln>
                  <a:effectLst/>
                </c:spPr>
                <c:marker>
                  <c:symbol val="none"/>
                </c:marker>
                <c:cat>
                  <c:strRef>
                    <c:extLst xmlns:c15="http://schemas.microsoft.com/office/drawing/2012/chart">
                      <c:ext xmlns:c15="http://schemas.microsoft.com/office/drawing/2012/chart" uri="{02D57815-91ED-43cb-92C2-25804820EDAC}">
                        <c15:formulaRef>
                          <c15:sqref>'Figure 20'!$B$6:$B$18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20'!$F$6:$F$18</c15:sqref>
                        </c15:formulaRef>
                      </c:ext>
                    </c:extLst>
                    <c:numCache>
                      <c:formatCode>0.0</c:formatCode>
                      <c:ptCount val="13"/>
                      <c:pt idx="0">
                        <c:v>7.51</c:v>
                      </c:pt>
                      <c:pt idx="1">
                        <c:v>7.38</c:v>
                      </c:pt>
                      <c:pt idx="2">
                        <c:v>7.63</c:v>
                      </c:pt>
                      <c:pt idx="3">
                        <c:v>7.72</c:v>
                      </c:pt>
                      <c:pt idx="4">
                        <c:v>7.64</c:v>
                      </c:pt>
                      <c:pt idx="5">
                        <c:v>7.76</c:v>
                      </c:pt>
                      <c:pt idx="6">
                        <c:v>9.82</c:v>
                      </c:pt>
                      <c:pt idx="8">
                        <c:v>10.496700000000001</c:v>
                      </c:pt>
                      <c:pt idx="9">
                        <c:v>12.3164</c:v>
                      </c:pt>
                      <c:pt idx="10">
                        <c:v>9.4928000000000008</c:v>
                      </c:pt>
                      <c:pt idx="11">
                        <c:v>8.8985000000000003</c:v>
                      </c:pt>
                      <c:pt idx="12">
                        <c:v>8.9870999999999999</c:v>
                      </c:pt>
                    </c:numCache>
                  </c:numRef>
                </c:val>
                <c:smooth val="0"/>
                <c:extLst xmlns:c15="http://schemas.microsoft.com/office/drawing/2012/chart">
                  <c:ext xmlns:c16="http://schemas.microsoft.com/office/drawing/2014/chart" uri="{C3380CC4-5D6E-409C-BE32-E72D297353CC}">
                    <c16:uniqueId val="{00000004-8EDA-4984-A687-CEC58346F015}"/>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'Figure 20'!$G$5</c15:sqref>
                        </c15:formulaRef>
                      </c:ext>
                    </c:extLst>
                    <c:strCache>
                      <c:ptCount val="1"/>
                      <c:pt idx="0">
                        <c:v>50 ans ou plus</c:v>
                      </c:pt>
                    </c:strCache>
                  </c:strRef>
                </c:tx>
                <c:spPr>
                  <a:ln w="28575" cap="rnd">
                    <a:solidFill>
                      <a:srgbClr val="FF0000"/>
                    </a:solidFill>
                    <a:round/>
                  </a:ln>
                  <a:effectLst/>
                </c:spPr>
                <c:marker>
                  <c:symbol val="none"/>
                </c:marker>
                <c:cat>
                  <c:strRef>
                    <c:extLst xmlns:c15="http://schemas.microsoft.com/office/drawing/2012/chart">
                      <c:ext xmlns:c15="http://schemas.microsoft.com/office/drawing/2012/chart" uri="{02D57815-91ED-43cb-92C2-25804820EDAC}">
                        <c15:formulaRef>
                          <c15:sqref>'Figure 20'!$B$6:$B$18</c15:sqref>
                        </c15:formulaRef>
                      </c:ext>
                    </c:extLst>
                    <c:strCache>
                      <c:ptCount val="13"/>
                      <c:pt idx="0">
                        <c:v>2014</c:v>
                      </c:pt>
                      <c:pt idx="1">
                        <c:v>2015</c:v>
                      </c:pt>
                      <c:pt idx="2">
                        <c:v>2016</c:v>
                      </c:pt>
                      <c:pt idx="3">
                        <c:v>2017</c:v>
                      </c:pt>
                      <c:pt idx="4">
                        <c:v>2018</c:v>
                      </c:pt>
                      <c:pt idx="5">
                        <c:v>2019</c:v>
                      </c:pt>
                      <c:pt idx="6">
                        <c:v>2020</c:v>
                      </c:pt>
                      <c:pt idx="8">
                        <c:v>2021</c:v>
                      </c:pt>
                      <c:pt idx="9">
                        <c:v>2022</c:v>
                      </c:pt>
                      <c:pt idx="10">
                        <c:v>2023</c:v>
                      </c:pt>
                      <c:pt idx="11">
                        <c:v>2024</c:v>
                      </c:pt>
                      <c:pt idx="12">
                        <c:v>2025</c:v>
                      </c:pt>
                    </c:strCache>
                  </c:strRef>
                </c:cat>
                <c:val>
                  <c:numRef>
                    <c:extLst xmlns:c15="http://schemas.microsoft.com/office/drawing/2012/chart">
                      <c:ext xmlns:c15="http://schemas.microsoft.com/office/drawing/2012/chart" uri="{02D57815-91ED-43cb-92C2-25804820EDAC}">
                        <c15:formulaRef>
                          <c15:sqref>'Figure 20'!$G$6:$G$18</c15:sqref>
                        </c15:formulaRef>
                      </c:ext>
                    </c:extLst>
                    <c:numCache>
                      <c:formatCode>0.0</c:formatCode>
                      <c:ptCount val="13"/>
                      <c:pt idx="0">
                        <c:v>10.17</c:v>
                      </c:pt>
                      <c:pt idx="1">
                        <c:v>10.93</c:v>
                      </c:pt>
                      <c:pt idx="2">
                        <c:v>11.41</c:v>
                      </c:pt>
                      <c:pt idx="3">
                        <c:v>10.72</c:v>
                      </c:pt>
                      <c:pt idx="4">
                        <c:v>10.82</c:v>
                      </c:pt>
                      <c:pt idx="5">
                        <c:v>11.1</c:v>
                      </c:pt>
                      <c:pt idx="6">
                        <c:v>12.49</c:v>
                      </c:pt>
                      <c:pt idx="8">
                        <c:v>16.333500000000001</c:v>
                      </c:pt>
                      <c:pt idx="9">
                        <c:v>19.063300000000002</c:v>
                      </c:pt>
                      <c:pt idx="10">
                        <c:v>16.407</c:v>
                      </c:pt>
                      <c:pt idx="11">
                        <c:v>14.8653</c:v>
                      </c:pt>
                      <c:pt idx="12">
                        <c:v>14.9322</c:v>
                      </c:pt>
                    </c:numCache>
                  </c:numRef>
                </c:val>
                <c:smooth val="0"/>
                <c:extLst xmlns:c15="http://schemas.microsoft.com/office/drawing/2012/chart">
                  <c:ext xmlns:c16="http://schemas.microsoft.com/office/drawing/2014/chart" uri="{C3380CC4-5D6E-409C-BE32-E72D297353CC}">
                    <c16:uniqueId val="{00000005-8EDA-4984-A687-CEC58346F015}"/>
                  </c:ext>
                </c:extLst>
              </c15:ser>
            </c15:filteredLineSeries>
          </c:ext>
        </c:extLst>
      </c:lineChart>
      <c:catAx>
        <c:axId val="169921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99203343"/>
        <c:crosses val="autoZero"/>
        <c:auto val="1"/>
        <c:lblAlgn val="ctr"/>
        <c:lblOffset val="100"/>
        <c:noMultiLvlLbl val="0"/>
      </c:catAx>
      <c:valAx>
        <c:axId val="1699203343"/>
        <c:scaling>
          <c:orientation val="minMax"/>
          <c:max val="20"/>
          <c:min val="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99213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333376</xdr:colOff>
      <xdr:row>15</xdr:row>
      <xdr:rowOff>139065</xdr:rowOff>
    </xdr:from>
    <xdr:to>
      <xdr:col>14</xdr:col>
      <xdr:colOff>392430</xdr:colOff>
      <xdr:row>34</xdr:row>
      <xdr:rowOff>55245</xdr:rowOff>
    </xdr:to>
    <xdr:graphicFrame macro="">
      <xdr:nvGraphicFramePr>
        <xdr:cNvPr id="3" name="Graphique 2">
          <a:extLst>
            <a:ext uri="{FF2B5EF4-FFF2-40B4-BE49-F238E27FC236}">
              <a16:creationId xmlns:a16="http://schemas.microsoft.com/office/drawing/2014/main" id="{F76FEEB3-AA4B-4C1E-BAA3-BDCEB99FD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47624</xdr:colOff>
      <xdr:row>15</xdr:row>
      <xdr:rowOff>129541</xdr:rowOff>
    </xdr:from>
    <xdr:to>
      <xdr:col>4</xdr:col>
      <xdr:colOff>504825</xdr:colOff>
      <xdr:row>34</xdr:row>
      <xdr:rowOff>34291</xdr:rowOff>
    </xdr:to>
    <xdr:graphicFrame macro="">
      <xdr:nvGraphicFramePr>
        <xdr:cNvPr id="4" name="Graphique 3">
          <a:extLst>
            <a:ext uri="{FF2B5EF4-FFF2-40B4-BE49-F238E27FC236}">
              <a16:creationId xmlns:a16="http://schemas.microsoft.com/office/drawing/2014/main" id="{4EAF5AC5-EA74-4CA2-956A-750EBA2CB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255270</xdr:colOff>
      <xdr:row>16</xdr:row>
      <xdr:rowOff>5715</xdr:rowOff>
    </xdr:from>
    <xdr:to>
      <xdr:col>11</xdr:col>
      <xdr:colOff>266700</xdr:colOff>
      <xdr:row>30</xdr:row>
      <xdr:rowOff>160020</xdr:rowOff>
    </xdr:to>
    <xdr:cxnSp macro="">
      <xdr:nvCxnSpPr>
        <xdr:cNvPr id="10" name="Connecteur droit 9">
          <a:extLst>
            <a:ext uri="{FF2B5EF4-FFF2-40B4-BE49-F238E27FC236}">
              <a16:creationId xmlns:a16="http://schemas.microsoft.com/office/drawing/2014/main" id="{655312B2-355C-42F7-946E-FD8354FAD0FC}"/>
            </a:ext>
          </a:extLst>
        </xdr:cNvPr>
        <xdr:cNvCxnSpPr/>
      </xdr:nvCxnSpPr>
      <xdr:spPr>
        <a:xfrm flipV="1">
          <a:off x="8218170" y="3063240"/>
          <a:ext cx="11430" cy="2554605"/>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2874645</xdr:colOff>
      <xdr:row>15</xdr:row>
      <xdr:rowOff>144781</xdr:rowOff>
    </xdr:from>
    <xdr:to>
      <xdr:col>1</xdr:col>
      <xdr:colOff>2874645</xdr:colOff>
      <xdr:row>30</xdr:row>
      <xdr:rowOff>30480</xdr:rowOff>
    </xdr:to>
    <xdr:cxnSp macro="">
      <xdr:nvCxnSpPr>
        <xdr:cNvPr id="11" name="Connecteur droit 10">
          <a:extLst>
            <a:ext uri="{FF2B5EF4-FFF2-40B4-BE49-F238E27FC236}">
              <a16:creationId xmlns:a16="http://schemas.microsoft.com/office/drawing/2014/main" id="{FBEE53B5-955D-405D-9730-62152B250B7F}"/>
            </a:ext>
          </a:extLst>
        </xdr:cNvPr>
        <xdr:cNvCxnSpPr/>
      </xdr:nvCxnSpPr>
      <xdr:spPr>
        <a:xfrm flipV="1">
          <a:off x="3084195" y="3030856"/>
          <a:ext cx="0" cy="2457449"/>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24</xdr:row>
      <xdr:rowOff>23813</xdr:rowOff>
    </xdr:from>
    <xdr:to>
      <xdr:col>6</xdr:col>
      <xdr:colOff>152401</xdr:colOff>
      <xdr:row>41</xdr:row>
      <xdr:rowOff>133350</xdr:rowOff>
    </xdr:to>
    <xdr:graphicFrame macro="">
      <xdr:nvGraphicFramePr>
        <xdr:cNvPr id="2" name="Graphique 1">
          <a:extLst>
            <a:ext uri="{FF2B5EF4-FFF2-40B4-BE49-F238E27FC236}">
              <a16:creationId xmlns:a16="http://schemas.microsoft.com/office/drawing/2014/main" id="{EDE29C91-6B16-4CEC-A73C-F98F0B76D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238125</xdr:colOff>
      <xdr:row>24</xdr:row>
      <xdr:rowOff>128587</xdr:rowOff>
    </xdr:from>
    <xdr:to>
      <xdr:col>12</xdr:col>
      <xdr:colOff>638175</xdr:colOff>
      <xdr:row>43</xdr:row>
      <xdr:rowOff>95250</xdr:rowOff>
    </xdr:to>
    <xdr:graphicFrame macro="">
      <xdr:nvGraphicFramePr>
        <xdr:cNvPr id="3" name="Graphique 2">
          <a:extLst>
            <a:ext uri="{FF2B5EF4-FFF2-40B4-BE49-F238E27FC236}">
              <a16:creationId xmlns:a16="http://schemas.microsoft.com/office/drawing/2014/main" id="{20C70F38-4CF4-4C47-BED0-2CB19DEAD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123826</xdr:colOff>
      <xdr:row>24</xdr:row>
      <xdr:rowOff>57150</xdr:rowOff>
    </xdr:from>
    <xdr:to>
      <xdr:col>4</xdr:col>
      <xdr:colOff>133350</xdr:colOff>
      <xdr:row>38</xdr:row>
      <xdr:rowOff>19054</xdr:rowOff>
    </xdr:to>
    <xdr:cxnSp macro="">
      <xdr:nvCxnSpPr>
        <xdr:cNvPr id="4" name="Connecteur droit 3">
          <a:extLst>
            <a:ext uri="{FF2B5EF4-FFF2-40B4-BE49-F238E27FC236}">
              <a16:creationId xmlns:a16="http://schemas.microsoft.com/office/drawing/2014/main" id="{F36A3BDA-098E-4F51-A2F4-DAEE209967AA}"/>
            </a:ext>
          </a:extLst>
        </xdr:cNvPr>
        <xdr:cNvCxnSpPr/>
      </xdr:nvCxnSpPr>
      <xdr:spPr>
        <a:xfrm flipV="1">
          <a:off x="2762251" y="5133975"/>
          <a:ext cx="9524" cy="2228854"/>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333376</xdr:colOff>
      <xdr:row>25</xdr:row>
      <xdr:rowOff>95250</xdr:rowOff>
    </xdr:from>
    <xdr:to>
      <xdr:col>10</xdr:col>
      <xdr:colOff>342900</xdr:colOff>
      <xdr:row>39</xdr:row>
      <xdr:rowOff>57154</xdr:rowOff>
    </xdr:to>
    <xdr:cxnSp macro="">
      <xdr:nvCxnSpPr>
        <xdr:cNvPr id="6" name="Connecteur droit 5">
          <a:extLst>
            <a:ext uri="{FF2B5EF4-FFF2-40B4-BE49-F238E27FC236}">
              <a16:creationId xmlns:a16="http://schemas.microsoft.com/office/drawing/2014/main" id="{7CC2A0F9-D728-4BB4-BF9D-88CFA8FEFC7D}"/>
            </a:ext>
          </a:extLst>
        </xdr:cNvPr>
        <xdr:cNvCxnSpPr/>
      </xdr:nvCxnSpPr>
      <xdr:spPr>
        <a:xfrm flipV="1">
          <a:off x="8477251" y="4695825"/>
          <a:ext cx="9524" cy="2228854"/>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28576</xdr:colOff>
      <xdr:row>18</xdr:row>
      <xdr:rowOff>80960</xdr:rowOff>
    </xdr:from>
    <xdr:to>
      <xdr:col>5</xdr:col>
      <xdr:colOff>371474</xdr:colOff>
      <xdr:row>35</xdr:row>
      <xdr:rowOff>123824</xdr:rowOff>
    </xdr:to>
    <xdr:graphicFrame macro="">
      <xdr:nvGraphicFramePr>
        <xdr:cNvPr id="2" name="Graphique 1">
          <a:extLst>
            <a:ext uri="{FF2B5EF4-FFF2-40B4-BE49-F238E27FC236}">
              <a16:creationId xmlns:a16="http://schemas.microsoft.com/office/drawing/2014/main" id="{F6C9C1B8-773D-4A54-905A-777F62FE1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38100</xdr:colOff>
      <xdr:row>4</xdr:row>
      <xdr:rowOff>144780</xdr:rowOff>
    </xdr:from>
    <xdr:to>
      <xdr:col>16</xdr:col>
      <xdr:colOff>57150</xdr:colOff>
      <xdr:row>14</xdr:row>
      <xdr:rowOff>266700</xdr:rowOff>
    </xdr:to>
    <xdr:graphicFrame macro="">
      <xdr:nvGraphicFramePr>
        <xdr:cNvPr id="2" name="Graphique 1">
          <a:extLst>
            <a:ext uri="{FF2B5EF4-FFF2-40B4-BE49-F238E27FC236}">
              <a16:creationId xmlns:a16="http://schemas.microsoft.com/office/drawing/2014/main" id="{9937F641-09B6-467D-88D1-D82EFE052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400049</xdr:colOff>
      <xdr:row>4</xdr:row>
      <xdr:rowOff>135254</xdr:rowOff>
    </xdr:from>
    <xdr:to>
      <xdr:col>22</xdr:col>
      <xdr:colOff>28574</xdr:colOff>
      <xdr:row>14</xdr:row>
      <xdr:rowOff>257175</xdr:rowOff>
    </xdr:to>
    <xdr:graphicFrame macro="">
      <xdr:nvGraphicFramePr>
        <xdr:cNvPr id="3" name="Graphique 2">
          <a:extLst>
            <a:ext uri="{FF2B5EF4-FFF2-40B4-BE49-F238E27FC236}">
              <a16:creationId xmlns:a16="http://schemas.microsoft.com/office/drawing/2014/main" id="{1F7A5F2F-EB36-49C1-B32C-85D0FC0CB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363861</xdr:colOff>
      <xdr:row>18</xdr:row>
      <xdr:rowOff>116206</xdr:rowOff>
    </xdr:from>
    <xdr:to>
      <xdr:col>7</xdr:col>
      <xdr:colOff>104776</xdr:colOff>
      <xdr:row>33</xdr:row>
      <xdr:rowOff>163831</xdr:rowOff>
    </xdr:to>
    <xdr:graphicFrame macro="">
      <xdr:nvGraphicFramePr>
        <xdr:cNvPr id="2" name="Graphique 1">
          <a:extLst>
            <a:ext uri="{FF2B5EF4-FFF2-40B4-BE49-F238E27FC236}">
              <a16:creationId xmlns:a16="http://schemas.microsoft.com/office/drawing/2014/main" id="{69982770-1C7A-4EBA-AE4A-9D3EA5B23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525780</xdr:colOff>
      <xdr:row>18</xdr:row>
      <xdr:rowOff>135255</xdr:rowOff>
    </xdr:from>
    <xdr:to>
      <xdr:col>3</xdr:col>
      <xdr:colOff>525780</xdr:colOff>
      <xdr:row>30</xdr:row>
      <xdr:rowOff>110490</xdr:rowOff>
    </xdr:to>
    <xdr:cxnSp macro="">
      <xdr:nvCxnSpPr>
        <xdr:cNvPr id="3" name="Connecteur droit 2">
          <a:extLst>
            <a:ext uri="{FF2B5EF4-FFF2-40B4-BE49-F238E27FC236}">
              <a16:creationId xmlns:a16="http://schemas.microsoft.com/office/drawing/2014/main" id="{E7FAE3C0-0AA6-459D-86EE-D18E4D8E3D57}"/>
            </a:ext>
          </a:extLst>
        </xdr:cNvPr>
        <xdr:cNvCxnSpPr/>
      </xdr:nvCxnSpPr>
      <xdr:spPr>
        <a:xfrm flipV="1">
          <a:off x="2049780" y="3183255"/>
          <a:ext cx="0" cy="2261235"/>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374861</xdr:colOff>
      <xdr:row>18</xdr:row>
      <xdr:rowOff>82338</xdr:rowOff>
    </xdr:from>
    <xdr:to>
      <xdr:col>16</xdr:col>
      <xdr:colOff>0</xdr:colOff>
      <xdr:row>33</xdr:row>
      <xdr:rowOff>161289</xdr:rowOff>
    </xdr:to>
    <xdr:graphicFrame macro="">
      <xdr:nvGraphicFramePr>
        <xdr:cNvPr id="4" name="Graphique 3">
          <a:extLst>
            <a:ext uri="{FF2B5EF4-FFF2-40B4-BE49-F238E27FC236}">
              <a16:creationId xmlns:a16="http://schemas.microsoft.com/office/drawing/2014/main" id="{0170888E-8205-459D-A062-B2F9EB16E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106680</xdr:colOff>
      <xdr:row>18</xdr:row>
      <xdr:rowOff>53340</xdr:rowOff>
    </xdr:from>
    <xdr:to>
      <xdr:col>13</xdr:col>
      <xdr:colOff>116631</xdr:colOff>
      <xdr:row>30</xdr:row>
      <xdr:rowOff>108165</xdr:rowOff>
    </xdr:to>
    <xdr:cxnSp macro="">
      <xdr:nvCxnSpPr>
        <xdr:cNvPr id="5" name="Connecteur droit 4">
          <a:extLst>
            <a:ext uri="{FF2B5EF4-FFF2-40B4-BE49-F238E27FC236}">
              <a16:creationId xmlns:a16="http://schemas.microsoft.com/office/drawing/2014/main" id="{14D5D4D2-135A-444E-B070-D1303098430D}"/>
            </a:ext>
          </a:extLst>
        </xdr:cNvPr>
        <xdr:cNvCxnSpPr/>
      </xdr:nvCxnSpPr>
      <xdr:spPr>
        <a:xfrm flipH="1" flipV="1">
          <a:off x="9250680" y="3101340"/>
          <a:ext cx="9951" cy="2340825"/>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948690</xdr:colOff>
      <xdr:row>25</xdr:row>
      <xdr:rowOff>38104</xdr:rowOff>
    </xdr:from>
    <xdr:to>
      <xdr:col>14</xdr:col>
      <xdr:colOff>381000</xdr:colOff>
      <xdr:row>42</xdr:row>
      <xdr:rowOff>1</xdr:rowOff>
    </xdr:to>
    <xdr:graphicFrame macro="">
      <xdr:nvGraphicFramePr>
        <xdr:cNvPr id="2" name="Graphique 1">
          <a:extLst>
            <a:ext uri="{FF2B5EF4-FFF2-40B4-BE49-F238E27FC236}">
              <a16:creationId xmlns:a16="http://schemas.microsoft.com/office/drawing/2014/main" id="{C0D1CBC4-BCC0-43A3-9AB8-0E4CDF9EE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300990</xdr:colOff>
      <xdr:row>25</xdr:row>
      <xdr:rowOff>62865</xdr:rowOff>
    </xdr:from>
    <xdr:to>
      <xdr:col>7</xdr:col>
      <xdr:colOff>609600</xdr:colOff>
      <xdr:row>42</xdr:row>
      <xdr:rowOff>7620</xdr:rowOff>
    </xdr:to>
    <xdr:graphicFrame macro="">
      <xdr:nvGraphicFramePr>
        <xdr:cNvPr id="3" name="Graphique 2">
          <a:extLst>
            <a:ext uri="{FF2B5EF4-FFF2-40B4-BE49-F238E27FC236}">
              <a16:creationId xmlns:a16="http://schemas.microsoft.com/office/drawing/2014/main" id="{DFC8D0B3-C153-4ECE-81F1-BB83CBA20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24767</xdr:colOff>
      <xdr:row>26</xdr:row>
      <xdr:rowOff>19050</xdr:rowOff>
    </xdr:from>
    <xdr:to>
      <xdr:col>5</xdr:col>
      <xdr:colOff>28575</xdr:colOff>
      <xdr:row>38</xdr:row>
      <xdr:rowOff>131451</xdr:rowOff>
    </xdr:to>
    <xdr:cxnSp macro="">
      <xdr:nvCxnSpPr>
        <xdr:cNvPr id="4" name="Connecteur droit 3">
          <a:extLst>
            <a:ext uri="{FF2B5EF4-FFF2-40B4-BE49-F238E27FC236}">
              <a16:creationId xmlns:a16="http://schemas.microsoft.com/office/drawing/2014/main" id="{75345C09-B091-43C7-9427-0F74DE6567D8}"/>
            </a:ext>
          </a:extLst>
        </xdr:cNvPr>
        <xdr:cNvCxnSpPr/>
      </xdr:nvCxnSpPr>
      <xdr:spPr>
        <a:xfrm flipV="1">
          <a:off x="3072767" y="4400550"/>
          <a:ext cx="3808" cy="2398401"/>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396242</xdr:colOff>
      <xdr:row>25</xdr:row>
      <xdr:rowOff>38100</xdr:rowOff>
    </xdr:from>
    <xdr:to>
      <xdr:col>11</xdr:col>
      <xdr:colOff>400050</xdr:colOff>
      <xdr:row>37</xdr:row>
      <xdr:rowOff>150501</xdr:rowOff>
    </xdr:to>
    <xdr:cxnSp macro="">
      <xdr:nvCxnSpPr>
        <xdr:cNvPr id="8" name="Connecteur droit 7">
          <a:extLst>
            <a:ext uri="{FF2B5EF4-FFF2-40B4-BE49-F238E27FC236}">
              <a16:creationId xmlns:a16="http://schemas.microsoft.com/office/drawing/2014/main" id="{86F02E6D-6DC2-4677-B6BB-73CB850354D2}"/>
            </a:ext>
          </a:extLst>
        </xdr:cNvPr>
        <xdr:cNvCxnSpPr/>
      </xdr:nvCxnSpPr>
      <xdr:spPr>
        <a:xfrm flipV="1">
          <a:off x="8835392" y="5238750"/>
          <a:ext cx="3808" cy="2055501"/>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430533</xdr:colOff>
      <xdr:row>18</xdr:row>
      <xdr:rowOff>114300</xdr:rowOff>
    </xdr:from>
    <xdr:to>
      <xdr:col>7</xdr:col>
      <xdr:colOff>238125</xdr:colOff>
      <xdr:row>37</xdr:row>
      <xdr:rowOff>167640</xdr:rowOff>
    </xdr:to>
    <xdr:graphicFrame macro="">
      <xdr:nvGraphicFramePr>
        <xdr:cNvPr id="2" name="Graphique 1">
          <a:extLst>
            <a:ext uri="{FF2B5EF4-FFF2-40B4-BE49-F238E27FC236}">
              <a16:creationId xmlns:a16="http://schemas.microsoft.com/office/drawing/2014/main" id="{AE851DB6-C60F-47AE-9A81-FF8219A38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7622</xdr:colOff>
      <xdr:row>18</xdr:row>
      <xdr:rowOff>163830</xdr:rowOff>
    </xdr:from>
    <xdr:to>
      <xdr:col>4</xdr:col>
      <xdr:colOff>26670</xdr:colOff>
      <xdr:row>34</xdr:row>
      <xdr:rowOff>140975</xdr:rowOff>
    </xdr:to>
    <xdr:cxnSp macro="">
      <xdr:nvCxnSpPr>
        <xdr:cNvPr id="4" name="Connecteur droit 3">
          <a:extLst>
            <a:ext uri="{FF2B5EF4-FFF2-40B4-BE49-F238E27FC236}">
              <a16:creationId xmlns:a16="http://schemas.microsoft.com/office/drawing/2014/main" id="{8AD1A42F-2AEB-4B97-8CAB-83BB57AC0DEF}"/>
            </a:ext>
          </a:extLst>
        </xdr:cNvPr>
        <xdr:cNvCxnSpPr/>
      </xdr:nvCxnSpPr>
      <xdr:spPr>
        <a:xfrm flipV="1">
          <a:off x="2293622" y="3021330"/>
          <a:ext cx="19048" cy="3025145"/>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xdr:col>
      <xdr:colOff>85724</xdr:colOff>
      <xdr:row>18</xdr:row>
      <xdr:rowOff>157161</xdr:rowOff>
    </xdr:from>
    <xdr:to>
      <xdr:col>17</xdr:col>
      <xdr:colOff>609599</xdr:colOff>
      <xdr:row>38</xdr:row>
      <xdr:rowOff>66674</xdr:rowOff>
    </xdr:to>
    <xdr:graphicFrame macro="">
      <xdr:nvGraphicFramePr>
        <xdr:cNvPr id="6" name="Graphique 5">
          <a:extLst>
            <a:ext uri="{FF2B5EF4-FFF2-40B4-BE49-F238E27FC236}">
              <a16:creationId xmlns:a16="http://schemas.microsoft.com/office/drawing/2014/main" id="{9EB590CD-117F-473F-909E-F5AC0E503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188595</xdr:colOff>
      <xdr:row>19</xdr:row>
      <xdr:rowOff>38100</xdr:rowOff>
    </xdr:from>
    <xdr:to>
      <xdr:col>14</xdr:col>
      <xdr:colOff>238125</xdr:colOff>
      <xdr:row>33</xdr:row>
      <xdr:rowOff>171450</xdr:rowOff>
    </xdr:to>
    <xdr:cxnSp macro="">
      <xdr:nvCxnSpPr>
        <xdr:cNvPr id="5" name="Connecteur droit 4">
          <a:extLst>
            <a:ext uri="{FF2B5EF4-FFF2-40B4-BE49-F238E27FC236}">
              <a16:creationId xmlns:a16="http://schemas.microsoft.com/office/drawing/2014/main" id="{BC7BAF2E-C096-4589-A827-DEBBAA6F13CB}"/>
            </a:ext>
          </a:extLst>
        </xdr:cNvPr>
        <xdr:cNvCxnSpPr/>
      </xdr:nvCxnSpPr>
      <xdr:spPr>
        <a:xfrm flipH="1" flipV="1">
          <a:off x="10437495" y="3581400"/>
          <a:ext cx="49530" cy="268605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123824</xdr:colOff>
      <xdr:row>24</xdr:row>
      <xdr:rowOff>133350</xdr:rowOff>
    </xdr:from>
    <xdr:to>
      <xdr:col>16</xdr:col>
      <xdr:colOff>628650</xdr:colOff>
      <xdr:row>43</xdr:row>
      <xdr:rowOff>133350</xdr:rowOff>
    </xdr:to>
    <xdr:graphicFrame macro="">
      <xdr:nvGraphicFramePr>
        <xdr:cNvPr id="2" name="Graphique 1">
          <a:extLst>
            <a:ext uri="{FF2B5EF4-FFF2-40B4-BE49-F238E27FC236}">
              <a16:creationId xmlns:a16="http://schemas.microsoft.com/office/drawing/2014/main" id="{1E0B7FDC-2FAF-4058-B5F4-BF6289370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428626</xdr:colOff>
      <xdr:row>24</xdr:row>
      <xdr:rowOff>104775</xdr:rowOff>
    </xdr:from>
    <xdr:to>
      <xdr:col>8</xdr:col>
      <xdr:colOff>504826</xdr:colOff>
      <xdr:row>41</xdr:row>
      <xdr:rowOff>114300</xdr:rowOff>
    </xdr:to>
    <xdr:graphicFrame macro="">
      <xdr:nvGraphicFramePr>
        <xdr:cNvPr id="3" name="Graphique 2">
          <a:extLst>
            <a:ext uri="{FF2B5EF4-FFF2-40B4-BE49-F238E27FC236}">
              <a16:creationId xmlns:a16="http://schemas.microsoft.com/office/drawing/2014/main" id="{A459E00C-51E8-486E-AB35-442A1377F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598170</xdr:colOff>
      <xdr:row>24</xdr:row>
      <xdr:rowOff>102870</xdr:rowOff>
    </xdr:from>
    <xdr:to>
      <xdr:col>5</xdr:col>
      <xdr:colOff>609600</xdr:colOff>
      <xdr:row>38</xdr:row>
      <xdr:rowOff>28575</xdr:rowOff>
    </xdr:to>
    <xdr:cxnSp macro="">
      <xdr:nvCxnSpPr>
        <xdr:cNvPr id="4" name="Connecteur droit 3">
          <a:extLst>
            <a:ext uri="{FF2B5EF4-FFF2-40B4-BE49-F238E27FC236}">
              <a16:creationId xmlns:a16="http://schemas.microsoft.com/office/drawing/2014/main" id="{5B1600C0-8AB0-4F24-AF9B-AD1B4B9C9F84}"/>
            </a:ext>
          </a:extLst>
        </xdr:cNvPr>
        <xdr:cNvCxnSpPr/>
      </xdr:nvCxnSpPr>
      <xdr:spPr>
        <a:xfrm flipH="1" flipV="1">
          <a:off x="3646170" y="4103370"/>
          <a:ext cx="11430" cy="2592705"/>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504825</xdr:colOff>
      <xdr:row>24</xdr:row>
      <xdr:rowOff>152400</xdr:rowOff>
    </xdr:from>
    <xdr:to>
      <xdr:col>13</xdr:col>
      <xdr:colOff>516255</xdr:colOff>
      <xdr:row>40</xdr:row>
      <xdr:rowOff>83821</xdr:rowOff>
    </xdr:to>
    <xdr:cxnSp macro="">
      <xdr:nvCxnSpPr>
        <xdr:cNvPr id="5" name="Connecteur droit 4">
          <a:extLst>
            <a:ext uri="{FF2B5EF4-FFF2-40B4-BE49-F238E27FC236}">
              <a16:creationId xmlns:a16="http://schemas.microsoft.com/office/drawing/2014/main" id="{ABE67600-B1DD-4179-B920-1D7ED3BEFC67}"/>
            </a:ext>
          </a:extLst>
        </xdr:cNvPr>
        <xdr:cNvCxnSpPr/>
      </xdr:nvCxnSpPr>
      <xdr:spPr>
        <a:xfrm flipH="1" flipV="1">
          <a:off x="9648825" y="4152900"/>
          <a:ext cx="11430" cy="2979421"/>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88620-D2EA-4C12-95AA-20009C4F1A50}">
  <dimension ref="B2:E70"/>
  <sheetViews>
    <sheetView tabSelected="1" zoomScale="90" zoomScaleNormal="90" workbookViewId="0"/>
  </sheetViews>
  <sheetFormatPr baseColWidth="10" defaultColWidth="11.42578125" defaultRowHeight="12.75" x14ac:dyDescent="0.2"/>
  <cols>
    <col min="1" max="1" width="3.42578125" style="4" customWidth="1"/>
    <col min="2" max="2" width="148.140625" style="4" customWidth="1"/>
    <col min="3" max="3" width="17.7109375" style="4" customWidth="1"/>
    <col min="4" max="4" width="19.140625" style="4" customWidth="1"/>
    <col min="5" max="5" width="8.140625" style="4" customWidth="1"/>
    <col min="6" max="16384" width="11.42578125" style="4"/>
  </cols>
  <sheetData>
    <row r="2" spans="2:4" ht="69.599999999999994" customHeight="1" x14ac:dyDescent="0.2">
      <c r="B2" s="128" t="s">
        <v>118</v>
      </c>
      <c r="C2" s="129" t="s">
        <v>76</v>
      </c>
      <c r="D2" s="130" t="s">
        <v>164</v>
      </c>
    </row>
    <row r="3" spans="2:4" x14ac:dyDescent="0.2">
      <c r="B3" s="131" t="s">
        <v>56</v>
      </c>
      <c r="C3" s="132"/>
      <c r="D3" s="133"/>
    </row>
    <row r="4" spans="2:4" x14ac:dyDescent="0.2">
      <c r="B4" s="155" t="s">
        <v>106</v>
      </c>
      <c r="C4" s="134">
        <v>1</v>
      </c>
      <c r="D4" s="134"/>
    </row>
    <row r="5" spans="2:4" x14ac:dyDescent="0.2">
      <c r="B5" s="155" t="s">
        <v>125</v>
      </c>
      <c r="C5" s="134">
        <v>2</v>
      </c>
      <c r="D5" s="134"/>
    </row>
    <row r="6" spans="2:4" x14ac:dyDescent="0.2">
      <c r="B6" s="155" t="s">
        <v>107</v>
      </c>
      <c r="C6" s="134">
        <v>3</v>
      </c>
      <c r="D6" s="134" t="s">
        <v>59</v>
      </c>
    </row>
    <row r="7" spans="2:4" x14ac:dyDescent="0.2">
      <c r="B7" s="155" t="s">
        <v>108</v>
      </c>
      <c r="C7" s="134">
        <v>4</v>
      </c>
      <c r="D7" s="134"/>
    </row>
    <row r="8" spans="2:4" x14ac:dyDescent="0.2">
      <c r="B8" s="155" t="s">
        <v>109</v>
      </c>
      <c r="C8" s="134">
        <v>5</v>
      </c>
      <c r="D8" s="134"/>
    </row>
    <row r="9" spans="2:4" x14ac:dyDescent="0.2">
      <c r="B9" s="155" t="s">
        <v>110</v>
      </c>
      <c r="C9" s="134">
        <v>6</v>
      </c>
      <c r="D9" s="134"/>
    </row>
    <row r="10" spans="2:4" x14ac:dyDescent="0.2">
      <c r="B10" s="155" t="s">
        <v>111</v>
      </c>
      <c r="C10" s="134">
        <v>7</v>
      </c>
      <c r="D10" s="134" t="s">
        <v>59</v>
      </c>
    </row>
    <row r="11" spans="2:4" x14ac:dyDescent="0.2">
      <c r="B11" s="156" t="s">
        <v>93</v>
      </c>
      <c r="C11" s="134">
        <v>8</v>
      </c>
      <c r="D11" s="134"/>
    </row>
    <row r="12" spans="2:4" x14ac:dyDescent="0.2">
      <c r="B12" s="135" t="s">
        <v>57</v>
      </c>
      <c r="C12" s="136"/>
      <c r="D12" s="137"/>
    </row>
    <row r="13" spans="2:4" x14ac:dyDescent="0.2">
      <c r="B13" s="155" t="s">
        <v>113</v>
      </c>
      <c r="C13" s="134">
        <v>9</v>
      </c>
      <c r="D13" s="134"/>
    </row>
    <row r="14" spans="2:4" x14ac:dyDescent="0.2">
      <c r="B14" s="155" t="s">
        <v>114</v>
      </c>
      <c r="C14" s="134">
        <v>10</v>
      </c>
      <c r="D14" s="134"/>
    </row>
    <row r="15" spans="2:4" x14ac:dyDescent="0.2">
      <c r="B15" s="155" t="s">
        <v>115</v>
      </c>
      <c r="C15" s="134">
        <v>11</v>
      </c>
      <c r="D15" s="134"/>
    </row>
    <row r="16" spans="2:4" x14ac:dyDescent="0.2">
      <c r="B16" s="155" t="s">
        <v>112</v>
      </c>
      <c r="C16" s="134">
        <v>12</v>
      </c>
      <c r="D16" s="134" t="s">
        <v>59</v>
      </c>
    </row>
    <row r="17" spans="2:5" x14ac:dyDescent="0.2">
      <c r="B17" s="155" t="s">
        <v>91</v>
      </c>
      <c r="C17" s="134">
        <v>13</v>
      </c>
      <c r="D17" s="134"/>
    </row>
    <row r="18" spans="2:5" x14ac:dyDescent="0.2">
      <c r="B18" s="156" t="s">
        <v>116</v>
      </c>
      <c r="C18" s="134">
        <v>14</v>
      </c>
      <c r="D18" s="134" t="s">
        <v>59</v>
      </c>
    </row>
    <row r="19" spans="2:5" x14ac:dyDescent="0.2">
      <c r="B19" s="135" t="s">
        <v>58</v>
      </c>
      <c r="C19" s="138"/>
      <c r="D19" s="133"/>
    </row>
    <row r="20" spans="2:5" x14ac:dyDescent="0.2">
      <c r="B20" s="155" t="s">
        <v>95</v>
      </c>
      <c r="C20" s="139">
        <v>15</v>
      </c>
      <c r="D20" s="139"/>
    </row>
    <row r="21" spans="2:5" x14ac:dyDescent="0.2">
      <c r="B21" s="155" t="s">
        <v>119</v>
      </c>
      <c r="C21" s="140">
        <v>16</v>
      </c>
      <c r="D21" s="140" t="s">
        <v>59</v>
      </c>
    </row>
    <row r="22" spans="2:5" x14ac:dyDescent="0.2">
      <c r="B22" s="155" t="s">
        <v>96</v>
      </c>
      <c r="C22" s="140">
        <v>17</v>
      </c>
      <c r="D22" s="140" t="s">
        <v>59</v>
      </c>
    </row>
    <row r="23" spans="2:5" x14ac:dyDescent="0.2">
      <c r="B23" s="155" t="s">
        <v>206</v>
      </c>
      <c r="C23" s="140">
        <v>18</v>
      </c>
      <c r="D23" s="140"/>
    </row>
    <row r="24" spans="2:5" x14ac:dyDescent="0.2">
      <c r="B24" s="155" t="s">
        <v>117</v>
      </c>
      <c r="C24" s="140">
        <v>19</v>
      </c>
      <c r="D24" s="140" t="s">
        <v>59</v>
      </c>
    </row>
    <row r="25" spans="2:5" x14ac:dyDescent="0.2">
      <c r="B25" s="156" t="s">
        <v>97</v>
      </c>
      <c r="C25" s="141">
        <v>20</v>
      </c>
      <c r="D25" s="141" t="s">
        <v>59</v>
      </c>
    </row>
    <row r="26" spans="2:5" x14ac:dyDescent="0.2">
      <c r="B26" s="142"/>
      <c r="C26" s="37"/>
    </row>
    <row r="28" spans="2:5" x14ac:dyDescent="0.2">
      <c r="B28" s="143" t="s">
        <v>60</v>
      </c>
      <c r="C28" s="144"/>
      <c r="D28" s="144"/>
      <c r="E28" s="145"/>
    </row>
    <row r="29" spans="2:5" x14ac:dyDescent="0.2">
      <c r="B29" s="146"/>
      <c r="E29" s="147"/>
    </row>
    <row r="30" spans="2:5" x14ac:dyDescent="0.2">
      <c r="B30" s="148" t="s">
        <v>72</v>
      </c>
      <c r="E30" s="147"/>
    </row>
    <row r="31" spans="2:5" ht="54" customHeight="1" x14ac:dyDescent="0.2">
      <c r="B31" s="417" t="s">
        <v>154</v>
      </c>
      <c r="C31" s="418"/>
      <c r="D31" s="418"/>
      <c r="E31" s="419"/>
    </row>
    <row r="32" spans="2:5" ht="15" customHeight="1" x14ac:dyDescent="0.2">
      <c r="B32" s="149"/>
      <c r="E32" s="147"/>
    </row>
    <row r="33" spans="2:5" ht="15" customHeight="1" x14ac:dyDescent="0.2">
      <c r="B33" s="148" t="s">
        <v>103</v>
      </c>
      <c r="E33" s="147"/>
    </row>
    <row r="34" spans="2:5" ht="24.75" customHeight="1" x14ac:dyDescent="0.2">
      <c r="B34" s="420" t="s">
        <v>155</v>
      </c>
      <c r="C34" s="421"/>
      <c r="D34" s="421"/>
      <c r="E34" s="422"/>
    </row>
    <row r="35" spans="2:5" ht="29.25" customHeight="1" x14ac:dyDescent="0.2">
      <c r="B35" s="423" t="s">
        <v>166</v>
      </c>
      <c r="C35" s="424"/>
      <c r="D35" s="424"/>
      <c r="E35" s="425"/>
    </row>
    <row r="36" spans="2:5" ht="15.6" customHeight="1" x14ac:dyDescent="0.2">
      <c r="B36" s="426" t="s">
        <v>73</v>
      </c>
      <c r="C36" s="427"/>
      <c r="D36" s="427"/>
      <c r="E36" s="428"/>
    </row>
    <row r="37" spans="2:5" x14ac:dyDescent="0.2">
      <c r="B37" s="429" t="s">
        <v>153</v>
      </c>
      <c r="C37" s="430"/>
      <c r="D37" s="430"/>
      <c r="E37" s="431"/>
    </row>
    <row r="38" spans="2:5" ht="67.5" customHeight="1" x14ac:dyDescent="0.2">
      <c r="B38" s="423" t="s">
        <v>156</v>
      </c>
      <c r="C38" s="424"/>
      <c r="D38" s="424"/>
      <c r="E38" s="425"/>
    </row>
    <row r="39" spans="2:5" x14ac:dyDescent="0.2">
      <c r="B39" s="116"/>
      <c r="E39" s="147"/>
    </row>
    <row r="40" spans="2:5" x14ac:dyDescent="0.2">
      <c r="B40" s="146" t="s">
        <v>61</v>
      </c>
      <c r="E40" s="147"/>
    </row>
    <row r="41" spans="2:5" ht="44.25" customHeight="1" x14ac:dyDescent="0.2">
      <c r="B41" s="417" t="s">
        <v>157</v>
      </c>
      <c r="C41" s="418"/>
      <c r="D41" s="418"/>
      <c r="E41" s="419"/>
    </row>
    <row r="42" spans="2:5" x14ac:dyDescent="0.2">
      <c r="B42" s="150"/>
      <c r="C42" s="151"/>
      <c r="D42" s="151"/>
      <c r="E42" s="152"/>
    </row>
    <row r="43" spans="2:5" x14ac:dyDescent="0.2">
      <c r="B43" s="146" t="s">
        <v>62</v>
      </c>
      <c r="E43" s="147"/>
    </row>
    <row r="44" spans="2:5" ht="60" customHeight="1" x14ac:dyDescent="0.2">
      <c r="B44" s="417" t="s">
        <v>165</v>
      </c>
      <c r="C44" s="418"/>
      <c r="D44" s="418"/>
      <c r="E44" s="419"/>
    </row>
    <row r="45" spans="2:5" x14ac:dyDescent="0.2">
      <c r="B45" s="150"/>
      <c r="C45" s="151"/>
      <c r="D45" s="151"/>
      <c r="E45" s="152"/>
    </row>
    <row r="46" spans="2:5" x14ac:dyDescent="0.2">
      <c r="B46" s="146" t="s">
        <v>63</v>
      </c>
      <c r="E46" s="147"/>
    </row>
    <row r="47" spans="2:5" ht="45" customHeight="1" x14ac:dyDescent="0.2">
      <c r="B47" s="417" t="s">
        <v>158</v>
      </c>
      <c r="C47" s="418"/>
      <c r="D47" s="418"/>
      <c r="E47" s="419"/>
    </row>
    <row r="48" spans="2:5" x14ac:dyDescent="0.2">
      <c r="B48" s="153"/>
      <c r="C48" s="37"/>
      <c r="D48" s="37"/>
      <c r="E48" s="134"/>
    </row>
    <row r="49" spans="2:5" x14ac:dyDescent="0.2">
      <c r="B49" s="146" t="s">
        <v>64</v>
      </c>
      <c r="E49" s="147"/>
    </row>
    <row r="50" spans="2:5" ht="84" customHeight="1" x14ac:dyDescent="0.2">
      <c r="B50" s="417" t="s">
        <v>167</v>
      </c>
      <c r="C50" s="418"/>
      <c r="D50" s="418"/>
      <c r="E50" s="419"/>
    </row>
    <row r="51" spans="2:5" x14ac:dyDescent="0.2">
      <c r="B51" s="116"/>
      <c r="E51" s="147"/>
    </row>
    <row r="52" spans="2:5" x14ac:dyDescent="0.2">
      <c r="B52" s="146" t="s">
        <v>65</v>
      </c>
      <c r="E52" s="147"/>
    </row>
    <row r="53" spans="2:5" ht="30.6" customHeight="1" x14ac:dyDescent="0.2">
      <c r="B53" s="417" t="s">
        <v>159</v>
      </c>
      <c r="C53" s="418"/>
      <c r="D53" s="418"/>
      <c r="E53" s="154"/>
    </row>
    <row r="54" spans="2:5" x14ac:dyDescent="0.2">
      <c r="B54" s="116"/>
      <c r="E54" s="147"/>
    </row>
    <row r="55" spans="2:5" x14ac:dyDescent="0.2">
      <c r="B55" s="146" t="s">
        <v>66</v>
      </c>
      <c r="E55" s="147"/>
    </row>
    <row r="56" spans="2:5" x14ac:dyDescent="0.2">
      <c r="B56" s="116" t="s">
        <v>67</v>
      </c>
      <c r="E56" s="147"/>
    </row>
    <row r="57" spans="2:5" x14ac:dyDescent="0.2">
      <c r="B57" s="116" t="s">
        <v>68</v>
      </c>
      <c r="E57" s="147"/>
    </row>
    <row r="58" spans="2:5" x14ac:dyDescent="0.2">
      <c r="B58" s="116" t="s">
        <v>69</v>
      </c>
      <c r="E58" s="147"/>
    </row>
    <row r="59" spans="2:5" x14ac:dyDescent="0.2">
      <c r="B59" s="116"/>
      <c r="E59" s="147"/>
    </row>
    <row r="60" spans="2:5" x14ac:dyDescent="0.2">
      <c r="B60" s="146" t="s">
        <v>70</v>
      </c>
      <c r="E60" s="147"/>
    </row>
    <row r="61" spans="2:5" ht="66.75" customHeight="1" x14ac:dyDescent="0.2">
      <c r="B61" s="417" t="s">
        <v>160</v>
      </c>
      <c r="C61" s="418"/>
      <c r="D61" s="418"/>
      <c r="E61" s="419"/>
    </row>
    <row r="62" spans="2:5" ht="15.75" customHeight="1" x14ac:dyDescent="0.2">
      <c r="B62" s="116"/>
      <c r="E62" s="147"/>
    </row>
    <row r="63" spans="2:5" x14ac:dyDescent="0.2">
      <c r="B63" s="146" t="s">
        <v>71</v>
      </c>
      <c r="E63" s="147"/>
    </row>
    <row r="64" spans="2:5" ht="28.5" customHeight="1" x14ac:dyDescent="0.2">
      <c r="B64" s="417" t="s">
        <v>161</v>
      </c>
      <c r="C64" s="418"/>
      <c r="D64" s="418"/>
      <c r="E64" s="419"/>
    </row>
    <row r="65" spans="2:5" x14ac:dyDescent="0.2">
      <c r="B65" s="116"/>
      <c r="E65" s="147"/>
    </row>
    <row r="66" spans="2:5" x14ac:dyDescent="0.2">
      <c r="B66" s="148" t="s">
        <v>74</v>
      </c>
      <c r="E66" s="147"/>
    </row>
    <row r="67" spans="2:5" ht="59.25" customHeight="1" x14ac:dyDescent="0.2">
      <c r="B67" s="432" t="s">
        <v>207</v>
      </c>
      <c r="C67" s="433"/>
      <c r="D67" s="433"/>
      <c r="E67" s="434"/>
    </row>
    <row r="68" spans="2:5" ht="13.5" customHeight="1" x14ac:dyDescent="0.2">
      <c r="B68" s="1"/>
      <c r="C68" s="2"/>
      <c r="D68" s="2"/>
      <c r="E68" s="3"/>
    </row>
    <row r="69" spans="2:5" x14ac:dyDescent="0.2">
      <c r="B69" s="148" t="s">
        <v>75</v>
      </c>
      <c r="E69" s="147"/>
    </row>
    <row r="70" spans="2:5" ht="24" customHeight="1" x14ac:dyDescent="0.2">
      <c r="B70" s="435" t="s">
        <v>162</v>
      </c>
      <c r="C70" s="436"/>
      <c r="D70" s="436"/>
      <c r="E70" s="437"/>
    </row>
  </sheetData>
  <mergeCells count="15">
    <mergeCell ref="B64:E64"/>
    <mergeCell ref="B53:D53"/>
    <mergeCell ref="B67:E67"/>
    <mergeCell ref="B70:E70"/>
    <mergeCell ref="B41:E41"/>
    <mergeCell ref="B44:E44"/>
    <mergeCell ref="B47:E47"/>
    <mergeCell ref="B50:E50"/>
    <mergeCell ref="B61:E61"/>
    <mergeCell ref="B31:E31"/>
    <mergeCell ref="B34:E34"/>
    <mergeCell ref="B35:E35"/>
    <mergeCell ref="B36:E36"/>
    <mergeCell ref="B38:E38"/>
    <mergeCell ref="B37:E37"/>
  </mergeCells>
  <hyperlinks>
    <hyperlink ref="B6" location="'Figure 3'!A1" display="Figure 3 : Composantes de la durée annuelle effective de travail des agents publics à temps complet, selon le versant et le sexe en 2024 " xr:uid="{5419E47C-6F3A-4BD7-BADF-2933584C3242}"/>
    <hyperlink ref="B7" location="'Figure 4'!A1" display="Figure 4 : Composantes de la durée annuelle effective de travail des agents publics à temps complet selon le groupe socioprofessionnel en 2024" xr:uid="{93C614F7-1BC8-43FB-B874-63FA1D58967D}"/>
    <hyperlink ref="B8" location="'Figure 5'!A1" display="Figure 5 : Composantes de la durée annuelle effective de travail des agents publics à temps complet selon les principales familles de métiers, en 2024" xr:uid="{858A050A-187E-42A9-85F8-1008863D9869}"/>
    <hyperlink ref="B9" location="'Figure 6'!A1" display="Figure 6 : Composantes de la durée annuelle effective de travail des agents publics à temps complet selon l’âge, en 2024 " xr:uid="{B0B85124-42AC-486D-8B30-8377549B0BDB}"/>
    <hyperlink ref="B10" location="'Figure 7'!A1" display="Figure 7 : Proportion d’agents publics à temps partiel selon leurs caractéristiques sociodémographiques, en 2024" xr:uid="{D5D58D30-65A8-42CA-BBDC-3251D201E65C}"/>
    <hyperlink ref="B11" location="'Figure 8'!A1" display="Figure 8 : Part du sous-emploi parmi les agents publics ou salariés du privé à temps partiel" xr:uid="{B48E7F3E-C3AF-4EB2-ACE5-0FA4BE574D43}"/>
    <hyperlink ref="B13" location="'Figure 9'!A1" display="Figure 9 : Organisation du temps de travail selon le type d'employeur, en 2024" xr:uid="{EDEBC3F3-D9AF-4311-BB82-2DF46A9FCE47}"/>
    <hyperlink ref="B14" location="'Figure 10'!A1" display="Figure 10 : Organisation du temps de travail selon les principales familles de métiers dans la fonction publique, en 2024" xr:uid="{2BBB6F72-38B9-4B27-8B23-20F3CB227B93}"/>
    <hyperlink ref="B15" location="'Figure 11'!A1" display="Figure 11 : Part des télétravailleurs selon le type d’employeur, entre 2021 et 2024" xr:uid="{898F6BA6-863F-4F08-858B-CD3B95E9F77C}"/>
    <hyperlink ref="B16" location="'Figure 12'!A1" display="Figure 12 : Part des agents publics indiquant occuper un emploi compatible et recourir au télétravail, selon leurs caractéristiques sociodémographiques, en 2024" xr:uid="{0A2F6F6B-9EE6-4FEE-9EC2-DBB239A8D524}"/>
    <hyperlink ref="B17" location="'Figure 13'!A1" display="Figure 13 : Répartition des télétravailleurs selon le nombre moyen de jours télétravaillés par semaine" xr:uid="{9DAE9819-1C0B-42AA-A208-857FA2A7E13B}"/>
    <hyperlink ref="B18" location="'Figure 14'!A1" display="Figure 14 : Souhaits en matière de télétravail des agents publics occupant un emploi compatible, selon leurs caractéristiques sociodémographiques, en 2024" xr:uid="{D5007C32-D92F-41B5-9AF9-37417597AC4C}"/>
    <hyperlink ref="B20" location="'Figure 15'!A1" display="Figure 15 : Part des agents publics ou salariés du privé absents au moins un jour au cours d’une semaine donnée pour raison de santé " xr:uid="{70496BE1-22C8-4A65-BAA3-ADD6EC074779}"/>
    <hyperlink ref="B21" location="'Figure 16'!A1" display="Figure 16 : Part des agents publics ou salariés du privé absents au moins un jour au cours d’une semaine donnée pour raison de santé selon le sexe et l’âge, en 2024" xr:uid="{83D73BD8-C117-42A2-84CE-1A14AEEE92D1}"/>
    <hyperlink ref="B22" location="'Figure 17'!A1" display="Figure 17 : Part des agents publics absents au moins un jour au cours d’une semaine donnée pour raison de santé, selon le sexe et l’âge" xr:uid="{94D3609F-423A-4559-ADDF-F5984BE574C1}"/>
    <hyperlink ref="B23" location="'Figure 18'!A1" display="Figure 18 : Nombre moyen de jours d’absence au cours de l’année pour raison de santé dans la fonction publique et dans le secteur privé" xr:uid="{D3143562-D093-4856-AAA8-B0103423E772}"/>
    <hyperlink ref="B24" location="'Figure 19'!A1" display="Figure 19 : Nombre moyen de jours d’absence pour raison de santé selon le sexe et l’âge, en 2024" xr:uid="{0896DC49-8632-42A6-8C67-AC2572205866}"/>
    <hyperlink ref="B25" location="'Figure 20'!A1" display="Figure 20 : Nombre moyen de jours d’absence pour raison de santé dans la fonction publique, selon le sexe et l’âge" xr:uid="{7F90D4CF-F579-4B6C-94B8-495CDD7BD8C7}"/>
    <hyperlink ref="B5" location="'Figure 2'!A1" display="Figure 2 : Durées annuelles effectives de travail des agents publics ou salariés du privé à temps complet " xr:uid="{BAE39332-22BD-4770-B04B-F130D36698CA}"/>
    <hyperlink ref="B4" location="'Figure 1'!A1" display="Figure 1 : Composantes de la durée annuelle effective du travail des agents publics à temps complet, selon le versant en 2024 " xr:uid="{627ED48A-C3B1-4541-A6ED-BD59AA87E99E}"/>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zoomScaleNormal="100" workbookViewId="0"/>
  </sheetViews>
  <sheetFormatPr baseColWidth="10" defaultColWidth="11.42578125" defaultRowHeight="12.75" x14ac:dyDescent="0.2"/>
  <cols>
    <col min="1" max="1" width="2.42578125" style="4" customWidth="1"/>
    <col min="2" max="2" width="40" style="4" customWidth="1"/>
    <col min="3" max="3" width="16.28515625" style="4" customWidth="1"/>
    <col min="4" max="5" width="15" style="4" customWidth="1"/>
    <col min="6" max="6" width="16" style="4" customWidth="1"/>
    <col min="7" max="7" width="15.28515625" style="4" customWidth="1"/>
    <col min="8" max="8" width="13" style="4" customWidth="1"/>
    <col min="9" max="16384" width="11.42578125" style="4"/>
  </cols>
  <sheetData>
    <row r="2" spans="2:9" x14ac:dyDescent="0.2">
      <c r="B2" s="5" t="s">
        <v>121</v>
      </c>
    </row>
    <row r="3" spans="2:9" x14ac:dyDescent="0.2">
      <c r="B3" s="5"/>
    </row>
    <row r="4" spans="2:9" x14ac:dyDescent="0.2">
      <c r="B4" s="4" t="s">
        <v>81</v>
      </c>
    </row>
    <row r="5" spans="2:9" ht="66.75" customHeight="1" x14ac:dyDescent="0.2">
      <c r="B5" s="42"/>
      <c r="C5" s="359" t="s">
        <v>170</v>
      </c>
      <c r="D5" s="359" t="s">
        <v>98</v>
      </c>
      <c r="E5" s="359" t="s">
        <v>99</v>
      </c>
      <c r="F5" s="36" t="s">
        <v>3</v>
      </c>
      <c r="G5" s="359" t="s">
        <v>78</v>
      </c>
    </row>
    <row r="6" spans="2:9" ht="15.6" customHeight="1" x14ac:dyDescent="0.2">
      <c r="B6" s="392" t="s">
        <v>4</v>
      </c>
      <c r="C6" s="9">
        <v>1659.83</v>
      </c>
      <c r="D6" s="9">
        <v>1589.7280000000001</v>
      </c>
      <c r="E6" s="9">
        <v>1626.4559999999999</v>
      </c>
      <c r="F6" s="9">
        <v>1623.116</v>
      </c>
      <c r="G6" s="9">
        <v>1680.2339999999999</v>
      </c>
      <c r="H6" s="102"/>
      <c r="I6" s="413"/>
    </row>
    <row r="7" spans="2:9" ht="15.6" customHeight="1" x14ac:dyDescent="0.2">
      <c r="B7" s="349" t="s">
        <v>5</v>
      </c>
      <c r="C7" s="11">
        <v>40.506999999999998</v>
      </c>
      <c r="D7" s="11">
        <v>38.371000000000002</v>
      </c>
      <c r="E7" s="11">
        <v>38.372999999999998</v>
      </c>
      <c r="F7" s="11">
        <v>39.125999999999998</v>
      </c>
      <c r="G7" s="11">
        <v>38.963999999999999</v>
      </c>
    </row>
    <row r="8" spans="2:9" ht="15.6" customHeight="1" x14ac:dyDescent="0.2">
      <c r="B8" s="349" t="s">
        <v>193</v>
      </c>
      <c r="C8" s="12">
        <v>72.36</v>
      </c>
      <c r="D8" s="12">
        <v>32.869999999999997</v>
      </c>
      <c r="E8" s="12">
        <v>50.61</v>
      </c>
      <c r="F8" s="223">
        <v>50.98</v>
      </c>
      <c r="G8" s="12">
        <v>39.56</v>
      </c>
    </row>
    <row r="9" spans="2:9" ht="15.6" customHeight="1" x14ac:dyDescent="0.2">
      <c r="B9" s="347" t="s">
        <v>192</v>
      </c>
      <c r="C9" s="14">
        <v>40.08</v>
      </c>
      <c r="D9" s="14">
        <v>32.71</v>
      </c>
      <c r="E9" s="14">
        <v>26.78</v>
      </c>
      <c r="F9" s="224">
        <v>33.96</v>
      </c>
      <c r="G9" s="14">
        <v>25.9</v>
      </c>
    </row>
    <row r="10" spans="2:9" ht="15.6" customHeight="1" x14ac:dyDescent="0.2">
      <c r="B10" s="439" t="s">
        <v>120</v>
      </c>
      <c r="C10" s="439"/>
      <c r="D10" s="439"/>
      <c r="E10" s="439"/>
      <c r="F10" s="439"/>
      <c r="G10" s="439"/>
    </row>
    <row r="11" spans="2:9" ht="15.6" customHeight="1" x14ac:dyDescent="0.2">
      <c r="B11" s="348" t="s">
        <v>4</v>
      </c>
      <c r="C11" s="12">
        <v>-45.12</v>
      </c>
      <c r="D11" s="17">
        <v>-8.48</v>
      </c>
      <c r="E11" s="17">
        <v>8.51</v>
      </c>
      <c r="F11" s="17">
        <v>-16.059999999999999</v>
      </c>
      <c r="G11" s="18">
        <v>-3.03</v>
      </c>
    </row>
    <row r="12" spans="2:9" ht="15.6" customHeight="1" x14ac:dyDescent="0.2">
      <c r="B12" s="348" t="s">
        <v>5</v>
      </c>
      <c r="C12" s="15">
        <v>-0.08</v>
      </c>
      <c r="D12" s="15">
        <v>0.28000000000000003</v>
      </c>
      <c r="E12" s="15">
        <v>-0.27</v>
      </c>
      <c r="F12" s="15">
        <v>0.05</v>
      </c>
      <c r="G12" s="16">
        <v>0.01</v>
      </c>
    </row>
    <row r="13" spans="2:9" ht="15.6" customHeight="1" x14ac:dyDescent="0.2">
      <c r="B13" s="348" t="s">
        <v>168</v>
      </c>
      <c r="C13" s="12">
        <v>-3.37</v>
      </c>
      <c r="D13" s="17">
        <v>-5.12</v>
      </c>
      <c r="E13" s="17">
        <v>-3.8</v>
      </c>
      <c r="F13" s="17">
        <v>-3.79</v>
      </c>
      <c r="G13" s="18">
        <v>-0.54</v>
      </c>
    </row>
    <row r="14" spans="2:9" ht="15.6" customHeight="1" x14ac:dyDescent="0.2">
      <c r="B14" s="347" t="s">
        <v>192</v>
      </c>
      <c r="C14" s="19">
        <v>3.35</v>
      </c>
      <c r="D14" s="19">
        <v>0.82</v>
      </c>
      <c r="E14" s="19">
        <v>-1.65</v>
      </c>
      <c r="F14" s="19">
        <v>1.26</v>
      </c>
      <c r="G14" s="20">
        <v>0.24</v>
      </c>
    </row>
    <row r="15" spans="2:9" ht="15" customHeight="1" x14ac:dyDescent="0.2">
      <c r="B15" s="40"/>
      <c r="C15" s="125"/>
      <c r="D15" s="125"/>
      <c r="E15" s="125"/>
      <c r="F15" s="125"/>
      <c r="G15" s="125"/>
    </row>
    <row r="16" spans="2:9" ht="13.15" customHeight="1" x14ac:dyDescent="0.2">
      <c r="B16" s="440" t="s">
        <v>190</v>
      </c>
      <c r="C16" s="440"/>
      <c r="D16" s="440"/>
      <c r="E16" s="440"/>
      <c r="F16" s="440"/>
      <c r="G16" s="440"/>
    </row>
    <row r="17" spans="2:8" ht="39" customHeight="1" x14ac:dyDescent="0.2">
      <c r="B17" s="438" t="s">
        <v>194</v>
      </c>
      <c r="C17" s="438"/>
      <c r="D17" s="438"/>
      <c r="E17" s="438"/>
      <c r="F17" s="438"/>
      <c r="G17" s="438"/>
      <c r="H17" s="370"/>
    </row>
    <row r="18" spans="2:8" ht="26.45" customHeight="1" x14ac:dyDescent="0.2">
      <c r="B18" s="441" t="s">
        <v>172</v>
      </c>
      <c r="C18" s="441"/>
      <c r="D18" s="441"/>
      <c r="E18" s="441"/>
      <c r="F18" s="441"/>
      <c r="G18" s="441"/>
    </row>
    <row r="19" spans="2:8" ht="27.75" customHeight="1" x14ac:dyDescent="0.2">
      <c r="B19" s="438" t="s">
        <v>195</v>
      </c>
      <c r="C19" s="438"/>
      <c r="D19" s="438"/>
      <c r="E19" s="438"/>
      <c r="F19" s="438"/>
      <c r="G19" s="438"/>
    </row>
    <row r="20" spans="2:8" ht="26.25" customHeight="1" x14ac:dyDescent="0.2">
      <c r="B20" s="438" t="s">
        <v>124</v>
      </c>
      <c r="C20" s="438"/>
      <c r="D20" s="438"/>
      <c r="E20" s="438"/>
      <c r="F20" s="438"/>
      <c r="G20" s="438"/>
    </row>
    <row r="21" spans="2:8" x14ac:dyDescent="0.2">
      <c r="B21" s="21"/>
      <c r="C21" s="21"/>
      <c r="D21" s="21"/>
      <c r="E21" s="21"/>
      <c r="F21" s="21"/>
      <c r="G21" s="21"/>
    </row>
  </sheetData>
  <mergeCells count="6">
    <mergeCell ref="B20:G20"/>
    <mergeCell ref="B10:G10"/>
    <mergeCell ref="B16:G16"/>
    <mergeCell ref="B17:G17"/>
    <mergeCell ref="B18:G18"/>
    <mergeCell ref="B19:G19"/>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39"/>
  <sheetViews>
    <sheetView zoomScaleNormal="100" workbookViewId="0"/>
  </sheetViews>
  <sheetFormatPr baseColWidth="10" defaultColWidth="11.42578125" defaultRowHeight="12.75" x14ac:dyDescent="0.2"/>
  <cols>
    <col min="1" max="1" width="3.140625" style="4" customWidth="1"/>
    <col min="2" max="2" width="45.5703125" style="4" customWidth="1"/>
    <col min="3" max="9" width="8.28515625" style="4" customWidth="1"/>
    <col min="10" max="10" width="0.7109375" style="4" customWidth="1"/>
    <col min="11" max="14" width="8.42578125" style="4" customWidth="1"/>
    <col min="15" max="15" width="10" style="4" customWidth="1"/>
    <col min="16" max="16384" width="11.42578125" style="4"/>
  </cols>
  <sheetData>
    <row r="2" spans="2:16" x14ac:dyDescent="0.2">
      <c r="B2" s="5" t="s">
        <v>125</v>
      </c>
      <c r="C2" s="22"/>
      <c r="D2" s="22"/>
      <c r="E2" s="22"/>
      <c r="F2" s="22"/>
      <c r="G2" s="22"/>
      <c r="H2" s="22"/>
      <c r="I2" s="22"/>
      <c r="J2" s="22"/>
    </row>
    <row r="3" spans="2:16" x14ac:dyDescent="0.2">
      <c r="B3" s="5"/>
      <c r="C3" s="22"/>
      <c r="D3" s="22"/>
      <c r="E3" s="22"/>
      <c r="F3" s="22"/>
      <c r="G3" s="22"/>
      <c r="H3" s="22"/>
      <c r="I3" s="22"/>
      <c r="J3" s="22"/>
    </row>
    <row r="4" spans="2:16" x14ac:dyDescent="0.2">
      <c r="B4" s="4" t="s">
        <v>81</v>
      </c>
    </row>
    <row r="5" spans="2:16" x14ac:dyDescent="0.2">
      <c r="B5" s="118"/>
      <c r="C5" s="345">
        <v>2014</v>
      </c>
      <c r="D5" s="345">
        <v>2015</v>
      </c>
      <c r="E5" s="345">
        <v>2016</v>
      </c>
      <c r="F5" s="345">
        <v>2017</v>
      </c>
      <c r="G5" s="345">
        <v>2018</v>
      </c>
      <c r="H5" s="345">
        <v>2019</v>
      </c>
      <c r="I5" s="346">
        <v>2020</v>
      </c>
      <c r="J5" s="295"/>
      <c r="K5" s="296" t="s">
        <v>6</v>
      </c>
      <c r="L5" s="27" t="s">
        <v>7</v>
      </c>
      <c r="M5" s="27" t="s">
        <v>8</v>
      </c>
      <c r="N5" s="27" t="s">
        <v>9</v>
      </c>
      <c r="O5" s="27">
        <v>2025</v>
      </c>
    </row>
    <row r="6" spans="2:16" x14ac:dyDescent="0.2">
      <c r="B6" s="266" t="s">
        <v>0</v>
      </c>
      <c r="C6" s="174">
        <v>1713.02</v>
      </c>
      <c r="D6" s="174">
        <v>1675.08</v>
      </c>
      <c r="E6" s="174">
        <v>1744.91</v>
      </c>
      <c r="F6" s="174">
        <v>1756.25</v>
      </c>
      <c r="G6" s="174">
        <v>1724.41</v>
      </c>
      <c r="H6" s="174">
        <v>1740.08</v>
      </c>
      <c r="I6" s="175">
        <v>1664.38</v>
      </c>
      <c r="J6" s="119"/>
      <c r="K6" s="120">
        <v>1667.4580000000001</v>
      </c>
      <c r="L6" s="121">
        <v>1679.9280000000001</v>
      </c>
      <c r="M6" s="121">
        <v>1694.6869999999999</v>
      </c>
      <c r="N6" s="121">
        <v>1704.9490000000001</v>
      </c>
      <c r="O6" s="121">
        <v>1659.83</v>
      </c>
    </row>
    <row r="7" spans="2:16" x14ac:dyDescent="0.2">
      <c r="B7" s="266" t="s">
        <v>1</v>
      </c>
      <c r="C7" s="174">
        <v>1581.04</v>
      </c>
      <c r="D7" s="174">
        <v>1547.89</v>
      </c>
      <c r="E7" s="174">
        <v>1572.06</v>
      </c>
      <c r="F7" s="174">
        <v>1599.68</v>
      </c>
      <c r="G7" s="174">
        <v>1597.96</v>
      </c>
      <c r="H7" s="174">
        <v>1587.43</v>
      </c>
      <c r="I7" s="175">
        <v>1535.67</v>
      </c>
      <c r="J7" s="119"/>
      <c r="K7" s="120">
        <v>1581.2139999999999</v>
      </c>
      <c r="L7" s="121">
        <v>1564.691</v>
      </c>
      <c r="M7" s="121">
        <v>1600.1959999999999</v>
      </c>
      <c r="N7" s="121">
        <v>1598.213</v>
      </c>
      <c r="O7" s="121">
        <v>1589.7280000000001</v>
      </c>
    </row>
    <row r="8" spans="2:16" x14ac:dyDescent="0.2">
      <c r="B8" s="266" t="s">
        <v>2</v>
      </c>
      <c r="C8" s="174">
        <v>1606.42</v>
      </c>
      <c r="D8" s="174">
        <v>1555.31</v>
      </c>
      <c r="E8" s="174">
        <v>1605.9</v>
      </c>
      <c r="F8" s="174">
        <v>1599.32</v>
      </c>
      <c r="G8" s="174">
        <v>1598.59</v>
      </c>
      <c r="H8" s="174">
        <v>1595.66</v>
      </c>
      <c r="I8" s="175">
        <v>1667.59</v>
      </c>
      <c r="J8" s="119"/>
      <c r="K8" s="120">
        <v>1603.9680000000001</v>
      </c>
      <c r="L8" s="121">
        <v>1588.644</v>
      </c>
      <c r="M8" s="121">
        <v>1621.5309999999999</v>
      </c>
      <c r="N8" s="121">
        <v>1617.943</v>
      </c>
      <c r="O8" s="121">
        <v>1626.4559999999999</v>
      </c>
    </row>
    <row r="9" spans="2:16" x14ac:dyDescent="0.2">
      <c r="B9" s="81" t="s">
        <v>3</v>
      </c>
      <c r="C9" s="178">
        <v>1631.96</v>
      </c>
      <c r="D9" s="178">
        <v>1593.51</v>
      </c>
      <c r="E9" s="178">
        <v>1639.11</v>
      </c>
      <c r="F9" s="178">
        <v>1651.83</v>
      </c>
      <c r="G9" s="178">
        <v>1641.46</v>
      </c>
      <c r="H9" s="178">
        <v>1641.86</v>
      </c>
      <c r="I9" s="179">
        <v>1612.43</v>
      </c>
      <c r="J9" s="180"/>
      <c r="K9" s="181">
        <v>1616.16</v>
      </c>
      <c r="L9" s="182">
        <v>1609.0229999999999</v>
      </c>
      <c r="M9" s="182">
        <v>1636.664</v>
      </c>
      <c r="N9" s="182">
        <v>1639.175</v>
      </c>
      <c r="O9" s="182">
        <v>1623.116</v>
      </c>
      <c r="P9" s="413"/>
    </row>
    <row r="10" spans="2:16" x14ac:dyDescent="0.2">
      <c r="B10" s="266" t="s">
        <v>46</v>
      </c>
      <c r="C10" s="174">
        <v>1699.06</v>
      </c>
      <c r="D10" s="174">
        <v>1690.24</v>
      </c>
      <c r="E10" s="174">
        <v>1728.43</v>
      </c>
      <c r="F10" s="174">
        <v>1722.67</v>
      </c>
      <c r="G10" s="174">
        <v>1712.16</v>
      </c>
      <c r="H10" s="174">
        <v>1713.75</v>
      </c>
      <c r="I10" s="175">
        <v>1610.96</v>
      </c>
      <c r="J10" s="119"/>
      <c r="K10" s="120">
        <v>1660.655</v>
      </c>
      <c r="L10" s="121">
        <v>1698.6210000000001</v>
      </c>
      <c r="M10" s="121">
        <v>1697.6189999999999</v>
      </c>
      <c r="N10" s="121">
        <v>1683.26</v>
      </c>
      <c r="O10" s="121">
        <v>1680.2339999999999</v>
      </c>
    </row>
    <row r="11" spans="2:16" ht="8.4499999999999993" customHeight="1" x14ac:dyDescent="0.2">
      <c r="B11" s="40"/>
      <c r="C11" s="126"/>
      <c r="D11" s="126"/>
      <c r="E11" s="126"/>
      <c r="F11" s="126"/>
      <c r="G11" s="126"/>
      <c r="H11" s="126"/>
      <c r="I11" s="126"/>
      <c r="J11" s="126"/>
      <c r="K11" s="127"/>
      <c r="L11" s="127"/>
      <c r="M11" s="127"/>
      <c r="N11" s="127"/>
      <c r="O11" s="102"/>
    </row>
    <row r="12" spans="2:16" ht="15" customHeight="1" x14ac:dyDescent="0.2">
      <c r="B12" s="440" t="s">
        <v>190</v>
      </c>
      <c r="C12" s="440"/>
      <c r="D12" s="440"/>
      <c r="E12" s="440"/>
      <c r="F12" s="440"/>
      <c r="G12" s="440"/>
      <c r="H12" s="21"/>
      <c r="I12" s="21"/>
      <c r="J12" s="21"/>
      <c r="K12" s="368"/>
      <c r="L12" s="368"/>
      <c r="M12" s="368"/>
      <c r="N12" s="368"/>
      <c r="O12" s="21"/>
    </row>
    <row r="13" spans="2:16" ht="30" customHeight="1" x14ac:dyDescent="0.2">
      <c r="B13" s="438" t="s">
        <v>171</v>
      </c>
      <c r="C13" s="438"/>
      <c r="D13" s="438"/>
      <c r="E13" s="438"/>
      <c r="F13" s="438"/>
      <c r="G13" s="438"/>
      <c r="H13" s="438"/>
      <c r="I13" s="438"/>
      <c r="J13" s="438"/>
      <c r="K13" s="438"/>
      <c r="L13" s="438"/>
      <c r="M13" s="438"/>
      <c r="N13" s="438"/>
      <c r="O13" s="438"/>
    </row>
    <row r="14" spans="2:16" ht="18" customHeight="1" x14ac:dyDescent="0.2">
      <c r="B14" s="369" t="s">
        <v>196</v>
      </c>
      <c r="C14" s="369"/>
      <c r="D14" s="369"/>
      <c r="E14" s="369"/>
      <c r="F14" s="369"/>
      <c r="G14" s="369"/>
      <c r="H14" s="369"/>
      <c r="I14" s="369"/>
      <c r="J14" s="369"/>
      <c r="K14" s="369"/>
      <c r="L14" s="369"/>
      <c r="M14" s="369"/>
      <c r="N14" s="21"/>
      <c r="O14" s="21"/>
    </row>
    <row r="15" spans="2:16" ht="26.45" customHeight="1" x14ac:dyDescent="0.2">
      <c r="B15" s="438" t="s">
        <v>208</v>
      </c>
      <c r="C15" s="438"/>
      <c r="D15" s="438"/>
      <c r="E15" s="438"/>
      <c r="F15" s="438"/>
      <c r="G15" s="438"/>
      <c r="H15" s="438"/>
      <c r="I15" s="438"/>
      <c r="J15" s="438"/>
      <c r="K15" s="438"/>
      <c r="L15" s="438"/>
      <c r="M15" s="438"/>
      <c r="N15" s="438"/>
      <c r="O15" s="438"/>
    </row>
    <row r="16" spans="2:16" x14ac:dyDescent="0.2">
      <c r="B16" s="21"/>
      <c r="C16" s="21"/>
      <c r="D16" s="21"/>
      <c r="E16" s="21"/>
      <c r="F16" s="21"/>
      <c r="G16" s="21"/>
      <c r="H16" s="21"/>
      <c r="I16" s="21"/>
      <c r="J16" s="21"/>
      <c r="K16" s="21"/>
      <c r="L16" s="21"/>
      <c r="M16" s="21"/>
      <c r="N16" s="21"/>
      <c r="O16" s="21"/>
    </row>
    <row r="18" spans="14:14" x14ac:dyDescent="0.2">
      <c r="N18" s="123"/>
    </row>
    <row r="19" spans="14:14" x14ac:dyDescent="0.2">
      <c r="N19" s="56"/>
    </row>
    <row r="39" spans="4:4" x14ac:dyDescent="0.2">
      <c r="D39" s="4">
        <f>68/(1.66*1.66)</f>
        <v>24.677021338365513</v>
      </c>
    </row>
  </sheetData>
  <mergeCells count="3">
    <mergeCell ref="B13:O13"/>
    <mergeCell ref="B15:O15"/>
    <mergeCell ref="B12:G12"/>
  </mergeCells>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24"/>
  <sheetViews>
    <sheetView zoomScaleNormal="100" workbookViewId="0"/>
  </sheetViews>
  <sheetFormatPr baseColWidth="10" defaultColWidth="11.42578125" defaultRowHeight="12.75" x14ac:dyDescent="0.2"/>
  <cols>
    <col min="1" max="1" width="4" style="4" customWidth="1"/>
    <col min="2" max="2" width="40" style="4" customWidth="1"/>
    <col min="3" max="12" width="9.28515625" style="4" customWidth="1"/>
    <col min="13" max="13" width="4" style="4" customWidth="1"/>
    <col min="14" max="14" width="7.28515625" style="4" customWidth="1"/>
    <col min="15" max="16384" width="11.42578125" style="4"/>
  </cols>
  <sheetData>
    <row r="2" spans="2:15" x14ac:dyDescent="0.2">
      <c r="B2" s="5" t="s">
        <v>122</v>
      </c>
    </row>
    <row r="3" spans="2:15" x14ac:dyDescent="0.2">
      <c r="B3" s="5"/>
    </row>
    <row r="4" spans="2:15" x14ac:dyDescent="0.2">
      <c r="B4" s="4" t="s">
        <v>81</v>
      </c>
      <c r="H4" s="102"/>
      <c r="J4" s="102"/>
      <c r="L4" s="102"/>
      <c r="M4" s="102"/>
    </row>
    <row r="5" spans="2:15" ht="46.9" customHeight="1" x14ac:dyDescent="0.2">
      <c r="C5" s="442" t="s">
        <v>0</v>
      </c>
      <c r="D5" s="442"/>
      <c r="E5" s="442" t="s">
        <v>1</v>
      </c>
      <c r="F5" s="442"/>
      <c r="G5" s="442" t="s">
        <v>2</v>
      </c>
      <c r="H5" s="442"/>
      <c r="I5" s="443" t="s">
        <v>3</v>
      </c>
      <c r="J5" s="443"/>
      <c r="K5" s="444" t="s">
        <v>46</v>
      </c>
      <c r="L5" s="444"/>
      <c r="M5" s="218"/>
    </row>
    <row r="6" spans="2:15" s="177" customFormat="1" x14ac:dyDescent="0.25">
      <c r="C6" s="213" t="s">
        <v>11</v>
      </c>
      <c r="D6" s="214" t="s">
        <v>12</v>
      </c>
      <c r="E6" s="215" t="s">
        <v>11</v>
      </c>
      <c r="F6" s="214" t="s">
        <v>12</v>
      </c>
      <c r="G6" s="215" t="s">
        <v>11</v>
      </c>
      <c r="H6" s="214" t="s">
        <v>12</v>
      </c>
      <c r="I6" s="216" t="s">
        <v>11</v>
      </c>
      <c r="J6" s="217" t="s">
        <v>12</v>
      </c>
      <c r="K6" s="215" t="s">
        <v>11</v>
      </c>
      <c r="L6" s="214" t="s">
        <v>12</v>
      </c>
      <c r="M6" s="219"/>
      <c r="N6" s="414"/>
    </row>
    <row r="7" spans="2:15" ht="16.899999999999999" customHeight="1" x14ac:dyDescent="0.2">
      <c r="B7" s="6" t="s">
        <v>4</v>
      </c>
      <c r="C7" s="185">
        <v>1606.3230000000001</v>
      </c>
      <c r="D7" s="186">
        <v>1705.7159999999999</v>
      </c>
      <c r="E7" s="187">
        <v>1563.55</v>
      </c>
      <c r="F7" s="186">
        <v>1623.575</v>
      </c>
      <c r="G7" s="187">
        <v>1587.9010000000001</v>
      </c>
      <c r="H7" s="186">
        <v>1749.4380000000001</v>
      </c>
      <c r="I7" s="188">
        <v>1583.2840000000001</v>
      </c>
      <c r="J7" s="189">
        <v>1676.8389999999999</v>
      </c>
      <c r="K7" s="187">
        <v>1610.8309999999999</v>
      </c>
      <c r="L7" s="186">
        <v>1727.5139999999999</v>
      </c>
      <c r="M7" s="361"/>
      <c r="N7" s="361"/>
      <c r="O7" s="413"/>
    </row>
    <row r="8" spans="2:15" ht="16.899999999999999" customHeight="1" x14ac:dyDescent="0.2">
      <c r="B8" s="38" t="s">
        <v>5</v>
      </c>
      <c r="C8" s="190">
        <v>40.005000000000003</v>
      </c>
      <c r="D8" s="191">
        <v>40.938000000000002</v>
      </c>
      <c r="E8" s="192">
        <v>38.286000000000001</v>
      </c>
      <c r="F8" s="191">
        <v>38.481999999999999</v>
      </c>
      <c r="G8" s="192">
        <v>37.969000000000001</v>
      </c>
      <c r="H8" s="191">
        <v>39.661000000000001</v>
      </c>
      <c r="I8" s="193">
        <v>38.674999999999997</v>
      </c>
      <c r="J8" s="194">
        <v>39.734000000000002</v>
      </c>
      <c r="K8" s="192">
        <v>38.167000000000002</v>
      </c>
      <c r="L8" s="191">
        <v>39.508000000000003</v>
      </c>
      <c r="M8" s="362"/>
      <c r="N8" s="362"/>
    </row>
    <row r="9" spans="2:15" ht="16.899999999999999" customHeight="1" x14ac:dyDescent="0.2">
      <c r="B9" s="348" t="s">
        <v>168</v>
      </c>
      <c r="C9" s="195">
        <v>62.09</v>
      </c>
      <c r="D9" s="196">
        <v>81.17</v>
      </c>
      <c r="E9" s="197">
        <v>25.14</v>
      </c>
      <c r="F9" s="196">
        <v>42.87</v>
      </c>
      <c r="G9" s="197">
        <v>48.16</v>
      </c>
      <c r="H9" s="196">
        <v>58.42</v>
      </c>
      <c r="I9" s="198">
        <v>42.8</v>
      </c>
      <c r="J9" s="199">
        <v>62.02</v>
      </c>
      <c r="K9" s="197">
        <v>33.409999999999997</v>
      </c>
      <c r="L9" s="196">
        <v>43.74</v>
      </c>
      <c r="M9" s="363"/>
      <c r="N9" s="363"/>
    </row>
    <row r="10" spans="2:15" ht="16.899999999999999" customHeight="1" x14ac:dyDescent="0.2">
      <c r="B10" s="347" t="s">
        <v>192</v>
      </c>
      <c r="C10" s="200">
        <v>39.130000000000003</v>
      </c>
      <c r="D10" s="201">
        <v>40.869999999999997</v>
      </c>
      <c r="E10" s="202">
        <v>32.31</v>
      </c>
      <c r="F10" s="201">
        <v>33.22</v>
      </c>
      <c r="G10" s="202">
        <v>27.7</v>
      </c>
      <c r="H10" s="201">
        <v>23.87</v>
      </c>
      <c r="I10" s="203">
        <v>32.83</v>
      </c>
      <c r="J10" s="204">
        <v>35.46</v>
      </c>
      <c r="K10" s="202">
        <v>26.26</v>
      </c>
      <c r="L10" s="201">
        <v>25.65</v>
      </c>
      <c r="M10" s="362"/>
      <c r="N10" s="362"/>
    </row>
    <row r="11" spans="2:15" ht="16.899999999999999" customHeight="1" x14ac:dyDescent="0.2">
      <c r="B11" s="445" t="s">
        <v>120</v>
      </c>
      <c r="C11" s="445"/>
      <c r="D11" s="445"/>
      <c r="E11" s="445"/>
      <c r="F11" s="445"/>
      <c r="G11" s="445"/>
      <c r="H11" s="445"/>
      <c r="I11" s="445"/>
      <c r="J11" s="445"/>
      <c r="K11" s="445"/>
      <c r="L11" s="445"/>
      <c r="M11" s="102"/>
      <c r="N11" s="122"/>
    </row>
    <row r="12" spans="2:15" ht="16.899999999999999" customHeight="1" x14ac:dyDescent="0.2">
      <c r="B12" s="53" t="s">
        <v>4</v>
      </c>
      <c r="C12" s="205">
        <v>-26.58</v>
      </c>
      <c r="D12" s="206">
        <v>-57.23</v>
      </c>
      <c r="E12" s="205">
        <v>-8.56</v>
      </c>
      <c r="F12" s="206">
        <v>-7.01</v>
      </c>
      <c r="G12" s="205">
        <v>21.89</v>
      </c>
      <c r="H12" s="206">
        <v>-37.619999999999997</v>
      </c>
      <c r="I12" s="234">
        <v>-3</v>
      </c>
      <c r="J12" s="235">
        <v>-32.01</v>
      </c>
      <c r="K12" s="205">
        <v>-12.6</v>
      </c>
      <c r="L12" s="206">
        <v>3.78</v>
      </c>
      <c r="M12" s="102"/>
      <c r="N12" s="122"/>
    </row>
    <row r="13" spans="2:15" ht="16.899999999999999" customHeight="1" x14ac:dyDescent="0.2">
      <c r="B13" s="55" t="s">
        <v>5</v>
      </c>
      <c r="C13" s="207">
        <v>0.34</v>
      </c>
      <c r="D13" s="208">
        <v>-0.39</v>
      </c>
      <c r="E13" s="207">
        <v>0.12</v>
      </c>
      <c r="F13" s="208">
        <v>0.5</v>
      </c>
      <c r="G13" s="207">
        <v>-0.15</v>
      </c>
      <c r="H13" s="208">
        <v>-0.68</v>
      </c>
      <c r="I13" s="236">
        <v>0.12</v>
      </c>
      <c r="J13" s="237">
        <v>-0.02</v>
      </c>
      <c r="K13" s="207">
        <v>0</v>
      </c>
      <c r="L13" s="208">
        <v>0.01</v>
      </c>
      <c r="M13" s="117"/>
      <c r="N13" s="122"/>
    </row>
    <row r="14" spans="2:15" ht="16.899999999999999" customHeight="1" x14ac:dyDescent="0.2">
      <c r="B14" s="348" t="s">
        <v>168</v>
      </c>
      <c r="C14" s="209">
        <v>2.25</v>
      </c>
      <c r="D14" s="210">
        <v>-7.36</v>
      </c>
      <c r="E14" s="209">
        <v>-7.44</v>
      </c>
      <c r="F14" s="210">
        <v>-1.84</v>
      </c>
      <c r="G14" s="209">
        <v>-0.53</v>
      </c>
      <c r="H14" s="210">
        <v>-14.61</v>
      </c>
      <c r="I14" s="238">
        <v>-2.29</v>
      </c>
      <c r="J14" s="239">
        <v>-5.5</v>
      </c>
      <c r="K14" s="209">
        <v>-1.51</v>
      </c>
      <c r="L14" s="210">
        <v>0.14000000000000001</v>
      </c>
      <c r="M14" s="102"/>
      <c r="N14" s="122"/>
    </row>
    <row r="15" spans="2:15" ht="16.899999999999999" customHeight="1" x14ac:dyDescent="0.2">
      <c r="B15" s="347" t="s">
        <v>192</v>
      </c>
      <c r="C15" s="211">
        <v>2.65</v>
      </c>
      <c r="D15" s="212">
        <v>3.95</v>
      </c>
      <c r="E15" s="211">
        <v>-1.39</v>
      </c>
      <c r="F15" s="212">
        <v>3.57</v>
      </c>
      <c r="G15" s="211">
        <v>-1.68</v>
      </c>
      <c r="H15" s="212">
        <v>-1.49</v>
      </c>
      <c r="I15" s="240">
        <v>-0.19</v>
      </c>
      <c r="J15" s="241">
        <v>3.17</v>
      </c>
      <c r="K15" s="211">
        <v>0.5</v>
      </c>
      <c r="L15" s="212">
        <v>0.05</v>
      </c>
      <c r="M15" s="220"/>
      <c r="N15" s="102"/>
    </row>
    <row r="16" spans="2:15" ht="22.5" customHeight="1" x14ac:dyDescent="0.2">
      <c r="B16" s="440" t="s">
        <v>190</v>
      </c>
      <c r="C16" s="440"/>
      <c r="D16" s="440"/>
      <c r="E16" s="440"/>
      <c r="F16" s="440"/>
      <c r="G16" s="440"/>
      <c r="H16" s="440"/>
      <c r="I16" s="440"/>
      <c r="J16" s="440"/>
      <c r="K16" s="440"/>
      <c r="L16" s="440"/>
      <c r="M16" s="364"/>
    </row>
    <row r="17" spans="2:13" ht="26.25" customHeight="1" x14ac:dyDescent="0.2">
      <c r="B17" s="438" t="s">
        <v>132</v>
      </c>
      <c r="C17" s="438"/>
      <c r="D17" s="438"/>
      <c r="E17" s="438"/>
      <c r="F17" s="438"/>
      <c r="G17" s="438"/>
      <c r="H17" s="438"/>
      <c r="I17" s="438"/>
      <c r="J17" s="438"/>
      <c r="K17" s="438"/>
      <c r="L17" s="438"/>
      <c r="M17" s="365"/>
    </row>
    <row r="18" spans="2:13" ht="25.9" customHeight="1" x14ac:dyDescent="0.2">
      <c r="B18" s="441" t="s">
        <v>172</v>
      </c>
      <c r="C18" s="441"/>
      <c r="D18" s="441"/>
      <c r="E18" s="441"/>
      <c r="F18" s="441"/>
      <c r="G18" s="441"/>
      <c r="H18" s="441"/>
      <c r="I18" s="441"/>
      <c r="J18" s="441"/>
      <c r="K18" s="441"/>
      <c r="L18" s="441"/>
      <c r="M18" s="366"/>
    </row>
    <row r="19" spans="2:13" ht="14.45" customHeight="1" x14ac:dyDescent="0.2">
      <c r="B19" s="438" t="s">
        <v>173</v>
      </c>
      <c r="C19" s="438"/>
      <c r="D19" s="438"/>
      <c r="E19" s="438"/>
      <c r="F19" s="438"/>
      <c r="G19" s="438"/>
      <c r="H19" s="438"/>
      <c r="I19" s="438"/>
      <c r="J19" s="438"/>
      <c r="K19" s="438"/>
      <c r="L19" s="438"/>
      <c r="M19" s="365"/>
    </row>
    <row r="20" spans="2:13" ht="16.899999999999999" customHeight="1" x14ac:dyDescent="0.2">
      <c r="B20" s="438" t="s">
        <v>209</v>
      </c>
      <c r="C20" s="438"/>
      <c r="D20" s="438"/>
      <c r="E20" s="438"/>
      <c r="F20" s="438"/>
      <c r="G20" s="438"/>
      <c r="H20" s="438"/>
      <c r="I20" s="438"/>
      <c r="J20" s="438"/>
      <c r="K20" s="438"/>
      <c r="L20" s="438"/>
      <c r="M20" s="365"/>
    </row>
    <row r="22" spans="2:13" x14ac:dyDescent="0.2">
      <c r="D22" s="413"/>
      <c r="F22" s="413"/>
      <c r="H22" s="413"/>
    </row>
    <row r="23" spans="2:13" x14ac:dyDescent="0.2">
      <c r="D23" s="413"/>
      <c r="F23" s="413"/>
      <c r="H23" s="413"/>
    </row>
    <row r="24" spans="2:13" x14ac:dyDescent="0.2">
      <c r="F24" s="413"/>
    </row>
  </sheetData>
  <mergeCells count="11">
    <mergeCell ref="B20:L20"/>
    <mergeCell ref="C5:D5"/>
    <mergeCell ref="E5:F5"/>
    <mergeCell ref="G5:H5"/>
    <mergeCell ref="I5:J5"/>
    <mergeCell ref="K5:L5"/>
    <mergeCell ref="B16:L16"/>
    <mergeCell ref="B17:L17"/>
    <mergeCell ref="B18:L18"/>
    <mergeCell ref="B11:L11"/>
    <mergeCell ref="B19:L19"/>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19"/>
  <sheetViews>
    <sheetView zoomScaleNormal="100" workbookViewId="0"/>
  </sheetViews>
  <sheetFormatPr baseColWidth="10" defaultColWidth="11.42578125" defaultRowHeight="12.75" x14ac:dyDescent="0.2"/>
  <cols>
    <col min="1" max="1" width="3.85546875" style="4" customWidth="1"/>
    <col min="2" max="2" width="41.7109375" style="4" customWidth="1"/>
    <col min="3" max="6" width="16.7109375" style="4" customWidth="1"/>
    <col min="7" max="16384" width="11.42578125" style="4"/>
  </cols>
  <sheetData>
    <row r="2" spans="2:7" x14ac:dyDescent="0.2">
      <c r="B2" s="5" t="s">
        <v>123</v>
      </c>
    </row>
    <row r="3" spans="2:7" x14ac:dyDescent="0.2">
      <c r="B3" s="4" t="s">
        <v>81</v>
      </c>
    </row>
    <row r="4" spans="2:7" ht="51" x14ac:dyDescent="0.2">
      <c r="C4" s="355" t="s">
        <v>13</v>
      </c>
      <c r="D4" s="355" t="s">
        <v>14</v>
      </c>
      <c r="E4" s="355" t="s">
        <v>79</v>
      </c>
      <c r="F4" s="356" t="s">
        <v>3</v>
      </c>
    </row>
    <row r="5" spans="2:7" x14ac:dyDescent="0.2">
      <c r="B5" s="8" t="s">
        <v>4</v>
      </c>
      <c r="C5" s="9">
        <v>1780.241</v>
      </c>
      <c r="D5" s="9">
        <v>1570.002</v>
      </c>
      <c r="E5" s="9">
        <v>1580.7170000000001</v>
      </c>
      <c r="F5" s="221">
        <v>1623.116</v>
      </c>
    </row>
    <row r="6" spans="2:7" x14ac:dyDescent="0.2">
      <c r="B6" s="10" t="s">
        <v>5</v>
      </c>
      <c r="C6" s="11">
        <v>42.223999999999997</v>
      </c>
      <c r="D6" s="11">
        <v>38.212000000000003</v>
      </c>
      <c r="E6" s="11">
        <v>38.299999999999997</v>
      </c>
      <c r="F6" s="222">
        <v>39.125999999999998</v>
      </c>
    </row>
    <row r="7" spans="2:7" ht="14.25" x14ac:dyDescent="0.2">
      <c r="B7" s="348" t="s">
        <v>168</v>
      </c>
      <c r="C7" s="12">
        <v>97.12</v>
      </c>
      <c r="D7" s="12">
        <v>45.49</v>
      </c>
      <c r="E7" s="12">
        <v>33</v>
      </c>
      <c r="F7" s="223">
        <v>50.98</v>
      </c>
    </row>
    <row r="8" spans="2:7" ht="14.25" x14ac:dyDescent="0.2">
      <c r="B8" s="347" t="s">
        <v>169</v>
      </c>
      <c r="C8" s="14">
        <v>36.619999999999997</v>
      </c>
      <c r="D8" s="14">
        <v>35.659999999999997</v>
      </c>
      <c r="E8" s="14">
        <v>31.75</v>
      </c>
      <c r="F8" s="224">
        <v>33.96</v>
      </c>
    </row>
    <row r="9" spans="2:7" x14ac:dyDescent="0.2">
      <c r="B9" s="446" t="s">
        <v>120</v>
      </c>
      <c r="C9" s="447"/>
      <c r="D9" s="447"/>
      <c r="E9" s="447"/>
      <c r="F9" s="448"/>
    </row>
    <row r="10" spans="2:7" x14ac:dyDescent="0.2">
      <c r="B10" s="8" t="s">
        <v>4</v>
      </c>
      <c r="C10" s="113">
        <v>-7.67</v>
      </c>
      <c r="D10" s="113">
        <v>-11.54</v>
      </c>
      <c r="E10" s="113">
        <v>-26.07</v>
      </c>
      <c r="F10" s="227">
        <v>-16.059999999999999</v>
      </c>
    </row>
    <row r="11" spans="2:7" x14ac:dyDescent="0.2">
      <c r="B11" s="10" t="s">
        <v>5</v>
      </c>
      <c r="C11" s="114">
        <v>-0.22</v>
      </c>
      <c r="D11" s="114">
        <v>-7.0000000000000007E-2</v>
      </c>
      <c r="E11" s="114">
        <v>0.25</v>
      </c>
      <c r="F11" s="225">
        <v>0.05</v>
      </c>
      <c r="G11" s="66"/>
    </row>
    <row r="12" spans="2:7" ht="14.25" x14ac:dyDescent="0.2">
      <c r="B12" s="348" t="s">
        <v>168</v>
      </c>
      <c r="C12" s="115">
        <v>3.02</v>
      </c>
      <c r="D12" s="115">
        <v>-4.8099999999999996</v>
      </c>
      <c r="E12" s="115">
        <v>-5.67</v>
      </c>
      <c r="F12" s="226">
        <v>-3.79</v>
      </c>
    </row>
    <row r="13" spans="2:7" ht="14.25" x14ac:dyDescent="0.2">
      <c r="B13" s="347" t="s">
        <v>169</v>
      </c>
      <c r="C13" s="100">
        <v>0.62</v>
      </c>
      <c r="D13" s="100">
        <v>1.94</v>
      </c>
      <c r="E13" s="100">
        <v>1.36</v>
      </c>
      <c r="F13" s="228">
        <v>1.26</v>
      </c>
      <c r="G13" s="21"/>
    </row>
    <row r="14" spans="2:7" ht="12.75" customHeight="1" x14ac:dyDescent="0.2">
      <c r="B14" s="40"/>
      <c r="C14" s="157"/>
      <c r="D14" s="157"/>
      <c r="E14" s="157"/>
      <c r="F14" s="157"/>
      <c r="G14" s="21"/>
    </row>
    <row r="15" spans="2:7" x14ac:dyDescent="0.2">
      <c r="B15" s="440" t="s">
        <v>190</v>
      </c>
      <c r="C15" s="440"/>
      <c r="D15" s="440"/>
      <c r="E15" s="440"/>
      <c r="F15" s="440"/>
      <c r="G15" s="440"/>
    </row>
    <row r="16" spans="2:7" ht="37.9" customHeight="1" x14ac:dyDescent="0.2">
      <c r="B16" s="438" t="s">
        <v>133</v>
      </c>
      <c r="C16" s="438"/>
      <c r="D16" s="438"/>
      <c r="E16" s="438"/>
      <c r="F16" s="438"/>
      <c r="G16" s="21"/>
    </row>
    <row r="17" spans="2:7" ht="26.45" customHeight="1" x14ac:dyDescent="0.2">
      <c r="B17" s="441" t="s">
        <v>172</v>
      </c>
      <c r="C17" s="441"/>
      <c r="D17" s="441"/>
      <c r="E17" s="441"/>
      <c r="F17" s="441"/>
      <c r="G17" s="21"/>
    </row>
    <row r="18" spans="2:7" ht="24" customHeight="1" x14ac:dyDescent="0.2">
      <c r="B18" s="438" t="s">
        <v>173</v>
      </c>
      <c r="C18" s="438"/>
      <c r="D18" s="438"/>
      <c r="E18" s="438"/>
      <c r="F18" s="438"/>
      <c r="G18" s="21"/>
    </row>
    <row r="19" spans="2:7" ht="28.5" customHeight="1" x14ac:dyDescent="0.2">
      <c r="B19" s="438" t="s">
        <v>210</v>
      </c>
      <c r="C19" s="438"/>
      <c r="D19" s="438"/>
      <c r="E19" s="438"/>
      <c r="F19" s="438"/>
    </row>
  </sheetData>
  <mergeCells count="6">
    <mergeCell ref="B17:F17"/>
    <mergeCell ref="B18:F18"/>
    <mergeCell ref="B19:F19"/>
    <mergeCell ref="B9:F9"/>
    <mergeCell ref="B16:F16"/>
    <mergeCell ref="B15:G15"/>
  </mergeCell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23"/>
  <sheetViews>
    <sheetView zoomScale="90" zoomScaleNormal="90" workbookViewId="0"/>
  </sheetViews>
  <sheetFormatPr baseColWidth="10" defaultColWidth="11.42578125" defaultRowHeight="12.75" x14ac:dyDescent="0.2"/>
  <cols>
    <col min="1" max="1" width="3.28515625" style="4" customWidth="1"/>
    <col min="2" max="2" width="87.85546875" style="4" customWidth="1"/>
    <col min="3" max="3" width="14.42578125" style="4" customWidth="1"/>
    <col min="4" max="4" width="14.140625" style="4" customWidth="1"/>
    <col min="5" max="5" width="16.28515625" style="4" customWidth="1"/>
    <col min="6" max="6" width="15.28515625" style="4" customWidth="1"/>
    <col min="7" max="7" width="9" style="4" customWidth="1"/>
    <col min="8" max="16384" width="11.42578125" style="4"/>
  </cols>
  <sheetData>
    <row r="2" spans="2:8" x14ac:dyDescent="0.2">
      <c r="B2" s="5" t="s">
        <v>109</v>
      </c>
    </row>
    <row r="3" spans="2:8" x14ac:dyDescent="0.2">
      <c r="B3" s="4" t="s">
        <v>15</v>
      </c>
    </row>
    <row r="4" spans="2:8" ht="67.900000000000006" customHeight="1" x14ac:dyDescent="0.2">
      <c r="C4" s="359" t="s">
        <v>89</v>
      </c>
      <c r="D4" s="359" t="s">
        <v>90</v>
      </c>
      <c r="E4" s="359" t="s">
        <v>174</v>
      </c>
      <c r="F4" s="359" t="s">
        <v>175</v>
      </c>
    </row>
    <row r="5" spans="2:8" x14ac:dyDescent="0.2">
      <c r="B5" s="53" t="s">
        <v>16</v>
      </c>
      <c r="C5" s="101">
        <v>1734.008</v>
      </c>
      <c r="D5" s="26">
        <v>41.765000000000001</v>
      </c>
      <c r="E5" s="73">
        <v>93.56</v>
      </c>
      <c r="F5" s="26">
        <v>37.340000000000003</v>
      </c>
      <c r="G5" s="102"/>
    </row>
    <row r="6" spans="2:8" x14ac:dyDescent="0.2">
      <c r="B6" s="103" t="s">
        <v>17</v>
      </c>
      <c r="C6" s="104">
        <v>1582.2329999999999</v>
      </c>
      <c r="D6" s="105">
        <v>37.771999999999998</v>
      </c>
      <c r="E6" s="74">
        <v>51.73</v>
      </c>
      <c r="F6" s="105">
        <v>31.14</v>
      </c>
    </row>
    <row r="7" spans="2:8" x14ac:dyDescent="0.2">
      <c r="B7" s="103" t="s">
        <v>18</v>
      </c>
      <c r="C7" s="104">
        <v>1585.576</v>
      </c>
      <c r="D7" s="105">
        <v>38.871000000000002</v>
      </c>
      <c r="E7" s="74">
        <v>43.1</v>
      </c>
      <c r="F7" s="105">
        <v>36.58</v>
      </c>
    </row>
    <row r="8" spans="2:8" x14ac:dyDescent="0.2">
      <c r="B8" s="103" t="s">
        <v>19</v>
      </c>
      <c r="C8" s="104">
        <v>1493.5450000000001</v>
      </c>
      <c r="D8" s="105">
        <v>37.04</v>
      </c>
      <c r="E8" s="74">
        <v>22.62</v>
      </c>
      <c r="F8" s="105">
        <v>30.85</v>
      </c>
    </row>
    <row r="9" spans="2:8" x14ac:dyDescent="0.2">
      <c r="B9" s="106" t="s">
        <v>47</v>
      </c>
      <c r="C9" s="104">
        <v>1456.02</v>
      </c>
      <c r="D9" s="105">
        <v>36.94</v>
      </c>
      <c r="E9" s="74">
        <v>21.77</v>
      </c>
      <c r="F9" s="105">
        <v>33.21</v>
      </c>
    </row>
    <row r="10" spans="2:8" x14ac:dyDescent="0.2">
      <c r="B10" s="103" t="s">
        <v>20</v>
      </c>
      <c r="C10" s="104">
        <v>1460.1410000000001</v>
      </c>
      <c r="D10" s="105">
        <v>36.643000000000001</v>
      </c>
      <c r="E10" s="74">
        <v>25.61</v>
      </c>
      <c r="F10" s="105">
        <v>28.54</v>
      </c>
    </row>
    <row r="11" spans="2:8" x14ac:dyDescent="0.2">
      <c r="B11" s="103" t="s">
        <v>215</v>
      </c>
      <c r="C11" s="104">
        <v>1735.5239999999999</v>
      </c>
      <c r="D11" s="105">
        <v>41.701999999999998</v>
      </c>
      <c r="E11" s="74">
        <v>76.81</v>
      </c>
      <c r="F11" s="105">
        <v>38.56</v>
      </c>
    </row>
    <row r="12" spans="2:8" x14ac:dyDescent="0.2">
      <c r="B12" s="107" t="s">
        <v>21</v>
      </c>
      <c r="C12" s="108">
        <v>1545.941</v>
      </c>
      <c r="D12" s="109">
        <v>36.881</v>
      </c>
      <c r="E12" s="75">
        <v>22.57</v>
      </c>
      <c r="F12" s="109">
        <v>30.45</v>
      </c>
    </row>
    <row r="13" spans="2:8" x14ac:dyDescent="0.2">
      <c r="B13" s="411" t="s">
        <v>3</v>
      </c>
      <c r="C13" s="110">
        <v>1623.116</v>
      </c>
      <c r="D13" s="111">
        <v>39.125999999999998</v>
      </c>
      <c r="E13" s="112">
        <v>50.98</v>
      </c>
      <c r="F13" s="111">
        <v>33.96</v>
      </c>
    </row>
    <row r="14" spans="2:8" ht="8.4499999999999993" customHeight="1" x14ac:dyDescent="0.2">
      <c r="B14" s="158"/>
      <c r="C14" s="159"/>
      <c r="D14" s="160"/>
      <c r="E14" s="161"/>
      <c r="F14" s="160"/>
      <c r="H14" s="352"/>
    </row>
    <row r="15" spans="2:8" s="371" customFormat="1" ht="13.9" customHeight="1" x14ac:dyDescent="0.2">
      <c r="B15" s="367" t="s">
        <v>144</v>
      </c>
      <c r="C15" s="367"/>
      <c r="D15" s="367"/>
      <c r="E15" s="367"/>
      <c r="F15" s="367"/>
      <c r="H15" s="4"/>
    </row>
    <row r="16" spans="2:8" ht="25.15" customHeight="1" x14ac:dyDescent="0.2">
      <c r="B16" s="438" t="s">
        <v>219</v>
      </c>
      <c r="C16" s="438"/>
      <c r="D16" s="438"/>
      <c r="E16" s="438"/>
      <c r="F16" s="438"/>
    </row>
    <row r="17" spans="2:6" ht="27" customHeight="1" x14ac:dyDescent="0.2">
      <c r="B17" s="441" t="s">
        <v>172</v>
      </c>
      <c r="C17" s="441"/>
      <c r="D17" s="441"/>
      <c r="E17" s="441"/>
      <c r="F17" s="441"/>
    </row>
    <row r="18" spans="2:6" ht="15.6" customHeight="1" x14ac:dyDescent="0.2">
      <c r="B18" s="438" t="s">
        <v>176</v>
      </c>
      <c r="C18" s="438"/>
      <c r="D18" s="438"/>
      <c r="E18" s="438"/>
      <c r="F18" s="438"/>
    </row>
    <row r="19" spans="2:6" ht="26.25" customHeight="1" x14ac:dyDescent="0.2">
      <c r="B19" s="438" t="s">
        <v>205</v>
      </c>
      <c r="C19" s="438"/>
      <c r="D19" s="438"/>
      <c r="E19" s="438"/>
      <c r="F19" s="438"/>
    </row>
    <row r="22" spans="2:6" x14ac:dyDescent="0.2">
      <c r="C22" s="413"/>
    </row>
    <row r="23" spans="2:6" x14ac:dyDescent="0.2">
      <c r="C23" s="413"/>
    </row>
  </sheetData>
  <mergeCells count="4">
    <mergeCell ref="B19:F19"/>
    <mergeCell ref="B16:F16"/>
    <mergeCell ref="B17:F17"/>
    <mergeCell ref="B18:F18"/>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19"/>
  <sheetViews>
    <sheetView zoomScaleNormal="100" workbookViewId="0"/>
  </sheetViews>
  <sheetFormatPr baseColWidth="10" defaultColWidth="11.42578125" defaultRowHeight="12.75" x14ac:dyDescent="0.2"/>
  <cols>
    <col min="1" max="1" width="3.42578125" style="4" customWidth="1"/>
    <col min="2" max="2" width="41.28515625" style="4" customWidth="1"/>
    <col min="3" max="5" width="16.7109375" style="4" customWidth="1"/>
    <col min="6" max="6" width="19.42578125" style="4" customWidth="1"/>
    <col min="7" max="16384" width="11.42578125" style="4"/>
  </cols>
  <sheetData>
    <row r="2" spans="2:7" x14ac:dyDescent="0.2">
      <c r="B2" s="5" t="s">
        <v>110</v>
      </c>
    </row>
    <row r="3" spans="2:7" x14ac:dyDescent="0.2">
      <c r="B3" s="4" t="s">
        <v>81</v>
      </c>
    </row>
    <row r="4" spans="2:7" ht="57.6" customHeight="1" x14ac:dyDescent="0.2">
      <c r="C4" s="355" t="s">
        <v>22</v>
      </c>
      <c r="D4" s="355" t="s">
        <v>80</v>
      </c>
      <c r="E4" s="355" t="s">
        <v>92</v>
      </c>
      <c r="F4" s="356" t="s">
        <v>3</v>
      </c>
    </row>
    <row r="5" spans="2:7" x14ac:dyDescent="0.2">
      <c r="B5" s="8" t="s">
        <v>4</v>
      </c>
      <c r="C5" s="94">
        <v>1624.77</v>
      </c>
      <c r="D5" s="94">
        <v>1632.48</v>
      </c>
      <c r="E5" s="94">
        <v>1611.703</v>
      </c>
      <c r="F5" s="242">
        <v>1623.116</v>
      </c>
    </row>
    <row r="6" spans="2:7" x14ac:dyDescent="0.2">
      <c r="B6" s="10" t="s">
        <v>5</v>
      </c>
      <c r="C6" s="11">
        <v>38.598999999999997</v>
      </c>
      <c r="D6" s="11">
        <v>39.21</v>
      </c>
      <c r="E6" s="11">
        <v>39.201000000000001</v>
      </c>
      <c r="F6" s="222">
        <v>39.125999999999998</v>
      </c>
    </row>
    <row r="7" spans="2:7" ht="14.25" x14ac:dyDescent="0.2">
      <c r="B7" s="348" t="s">
        <v>168</v>
      </c>
      <c r="C7" s="95">
        <v>51.7</v>
      </c>
      <c r="D7" s="95">
        <v>52.74</v>
      </c>
      <c r="E7" s="95">
        <v>48.71</v>
      </c>
      <c r="F7" s="243">
        <v>50.98</v>
      </c>
    </row>
    <row r="8" spans="2:7" ht="14.25" x14ac:dyDescent="0.2">
      <c r="B8" s="347" t="s">
        <v>169</v>
      </c>
      <c r="C8" s="96">
        <v>38.08</v>
      </c>
      <c r="D8" s="96">
        <v>33.64</v>
      </c>
      <c r="E8" s="96">
        <v>33.29</v>
      </c>
      <c r="F8" s="244">
        <v>33.96</v>
      </c>
    </row>
    <row r="9" spans="2:7" x14ac:dyDescent="0.2">
      <c r="B9" s="449" t="s">
        <v>120</v>
      </c>
      <c r="C9" s="450"/>
      <c r="D9" s="450"/>
      <c r="E9" s="450"/>
      <c r="F9" s="451"/>
    </row>
    <row r="10" spans="2:7" x14ac:dyDescent="0.2">
      <c r="B10" s="28" t="s">
        <v>4</v>
      </c>
      <c r="C10" s="97">
        <v>-39.450000000000003</v>
      </c>
      <c r="D10" s="97">
        <v>-13.48</v>
      </c>
      <c r="E10" s="97">
        <v>-12</v>
      </c>
      <c r="F10" s="245">
        <v>-16.059999999999999</v>
      </c>
    </row>
    <row r="11" spans="2:7" x14ac:dyDescent="0.2">
      <c r="B11" s="29" t="s">
        <v>5</v>
      </c>
      <c r="C11" s="98">
        <v>-0.05</v>
      </c>
      <c r="D11" s="98">
        <v>0.04</v>
      </c>
      <c r="E11" s="98">
        <v>0.12</v>
      </c>
      <c r="F11" s="246">
        <v>0.05</v>
      </c>
      <c r="G11" s="66"/>
    </row>
    <row r="12" spans="2:7" ht="14.25" x14ac:dyDescent="0.2">
      <c r="B12" s="348" t="s">
        <v>168</v>
      </c>
      <c r="C12" s="99">
        <v>-2.31</v>
      </c>
      <c r="D12" s="99">
        <v>-4.43</v>
      </c>
      <c r="E12" s="99">
        <v>-3.51</v>
      </c>
      <c r="F12" s="247">
        <v>-3.79</v>
      </c>
    </row>
    <row r="13" spans="2:7" ht="14.25" x14ac:dyDescent="0.2">
      <c r="B13" s="347" t="s">
        <v>169</v>
      </c>
      <c r="C13" s="100">
        <v>10.74</v>
      </c>
      <c r="D13" s="100">
        <v>0.96</v>
      </c>
      <c r="E13" s="100">
        <v>-0.62</v>
      </c>
      <c r="F13" s="228">
        <v>1.26</v>
      </c>
    </row>
    <row r="14" spans="2:7" ht="9.75" customHeight="1" x14ac:dyDescent="0.2">
      <c r="B14" s="40"/>
      <c r="C14" s="157"/>
      <c r="D14" s="157"/>
      <c r="E14" s="157"/>
      <c r="F14" s="157"/>
    </row>
    <row r="15" spans="2:7" ht="15" customHeight="1" x14ac:dyDescent="0.2">
      <c r="B15" s="440" t="s">
        <v>190</v>
      </c>
      <c r="C15" s="440"/>
      <c r="D15" s="440"/>
      <c r="E15" s="440"/>
      <c r="F15" s="440"/>
    </row>
    <row r="16" spans="2:7" ht="37.5" customHeight="1" x14ac:dyDescent="0.2">
      <c r="B16" s="438" t="s">
        <v>133</v>
      </c>
      <c r="C16" s="438"/>
      <c r="D16" s="438"/>
      <c r="E16" s="438"/>
      <c r="F16" s="438"/>
    </row>
    <row r="17" spans="2:6" ht="26.45" customHeight="1" x14ac:dyDescent="0.2">
      <c r="B17" s="441" t="s">
        <v>172</v>
      </c>
      <c r="C17" s="441"/>
      <c r="D17" s="441"/>
      <c r="E17" s="441"/>
      <c r="F17" s="441"/>
    </row>
    <row r="18" spans="2:6" ht="25.5" customHeight="1" x14ac:dyDescent="0.2">
      <c r="B18" s="438" t="s">
        <v>173</v>
      </c>
      <c r="C18" s="438"/>
      <c r="D18" s="438"/>
      <c r="E18" s="438"/>
      <c r="F18" s="438"/>
    </row>
    <row r="19" spans="2:6" ht="28.5" customHeight="1" x14ac:dyDescent="0.2">
      <c r="B19" s="438" t="s">
        <v>126</v>
      </c>
      <c r="C19" s="438"/>
      <c r="D19" s="438"/>
      <c r="E19" s="438"/>
      <c r="F19" s="438"/>
    </row>
  </sheetData>
  <mergeCells count="6">
    <mergeCell ref="B17:F17"/>
    <mergeCell ref="B18:F18"/>
    <mergeCell ref="B19:F19"/>
    <mergeCell ref="B9:F9"/>
    <mergeCell ref="B15:F15"/>
    <mergeCell ref="B16:F16"/>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2A1DD-3E65-4B35-99D0-1FA92D1349EF}">
  <dimension ref="B2:H24"/>
  <sheetViews>
    <sheetView zoomScaleNormal="100" workbookViewId="0"/>
  </sheetViews>
  <sheetFormatPr baseColWidth="10" defaultColWidth="11.42578125" defaultRowHeight="12.75" x14ac:dyDescent="0.2"/>
  <cols>
    <col min="1" max="1" width="3.5703125" style="4" customWidth="1"/>
    <col min="2" max="2" width="17.5703125" style="4" customWidth="1"/>
    <col min="3" max="3" width="42.140625" style="4" customWidth="1"/>
    <col min="4" max="7" width="14.85546875" style="4" customWidth="1"/>
    <col min="8" max="16384" width="11.42578125" style="4"/>
  </cols>
  <sheetData>
    <row r="2" spans="2:7" x14ac:dyDescent="0.2">
      <c r="B2" s="5" t="s">
        <v>111</v>
      </c>
    </row>
    <row r="3" spans="2:7" ht="7.9" customHeight="1" x14ac:dyDescent="0.2">
      <c r="B3" s="5"/>
    </row>
    <row r="4" spans="2:7" x14ac:dyDescent="0.2">
      <c r="B4" s="4" t="s">
        <v>82</v>
      </c>
    </row>
    <row r="5" spans="2:7" ht="43.35" customHeight="1" x14ac:dyDescent="0.2">
      <c r="D5" s="355" t="s">
        <v>23</v>
      </c>
      <c r="E5" s="7" t="s">
        <v>24</v>
      </c>
      <c r="F5" s="36" t="s">
        <v>25</v>
      </c>
      <c r="G5" s="359" t="s">
        <v>46</v>
      </c>
    </row>
    <row r="6" spans="2:7" ht="14.45" customHeight="1" x14ac:dyDescent="0.2">
      <c r="B6" s="453" t="s">
        <v>27</v>
      </c>
      <c r="C6" s="8" t="s">
        <v>10</v>
      </c>
      <c r="D6" s="393">
        <v>10</v>
      </c>
      <c r="E6" s="393">
        <v>27.93</v>
      </c>
      <c r="F6" s="394">
        <v>16.07</v>
      </c>
      <c r="G6" s="393" t="s">
        <v>26</v>
      </c>
    </row>
    <row r="7" spans="2:7" ht="14.45" customHeight="1" x14ac:dyDescent="0.2">
      <c r="B7" s="453"/>
      <c r="C7" s="10" t="s">
        <v>1</v>
      </c>
      <c r="D7" s="395">
        <v>17.34</v>
      </c>
      <c r="E7" s="395">
        <v>30.11</v>
      </c>
      <c r="F7" s="396">
        <v>21.39</v>
      </c>
      <c r="G7" s="395" t="s">
        <v>26</v>
      </c>
    </row>
    <row r="8" spans="2:7" ht="14.45" customHeight="1" x14ac:dyDescent="0.2">
      <c r="B8" s="453"/>
      <c r="C8" s="10" t="s">
        <v>2</v>
      </c>
      <c r="D8" s="395">
        <v>22.66</v>
      </c>
      <c r="E8" s="395">
        <v>24.44</v>
      </c>
      <c r="F8" s="396">
        <v>23.19</v>
      </c>
      <c r="G8" s="395" t="s">
        <v>26</v>
      </c>
    </row>
    <row r="9" spans="2:7" ht="14.45" customHeight="1" x14ac:dyDescent="0.2">
      <c r="B9" s="454" t="s">
        <v>28</v>
      </c>
      <c r="C9" s="8" t="s">
        <v>11</v>
      </c>
      <c r="D9" s="393">
        <v>20.350000000000001</v>
      </c>
      <c r="E9" s="393">
        <v>33.979999999999997</v>
      </c>
      <c r="F9" s="394">
        <v>24.82</v>
      </c>
      <c r="G9" s="393">
        <v>27.22</v>
      </c>
    </row>
    <row r="10" spans="2:7" ht="14.45" customHeight="1" x14ac:dyDescent="0.2">
      <c r="B10" s="455"/>
      <c r="C10" s="92" t="s">
        <v>12</v>
      </c>
      <c r="D10" s="397">
        <v>5.6</v>
      </c>
      <c r="E10" s="397">
        <v>17</v>
      </c>
      <c r="F10" s="398">
        <v>9.1999999999999993</v>
      </c>
      <c r="G10" s="397">
        <v>7.88</v>
      </c>
    </row>
    <row r="11" spans="2:7" ht="14.45" customHeight="1" x14ac:dyDescent="0.2">
      <c r="B11" s="456" t="s">
        <v>41</v>
      </c>
      <c r="C11" s="8" t="s">
        <v>22</v>
      </c>
      <c r="D11" s="393">
        <v>8.2899999999999991</v>
      </c>
      <c r="E11" s="393">
        <v>28.71</v>
      </c>
      <c r="F11" s="394">
        <v>20.38</v>
      </c>
      <c r="G11" s="393">
        <v>17.399999999999999</v>
      </c>
    </row>
    <row r="12" spans="2:7" ht="14.45" customHeight="1" x14ac:dyDescent="0.2">
      <c r="B12" s="457"/>
      <c r="C12" s="29" t="s">
        <v>80</v>
      </c>
      <c r="D12" s="395">
        <v>17.41</v>
      </c>
      <c r="E12" s="395">
        <v>26.55</v>
      </c>
      <c r="F12" s="396">
        <v>20.3</v>
      </c>
      <c r="G12" s="395">
        <v>13.75</v>
      </c>
    </row>
    <row r="13" spans="2:7" ht="14.45" customHeight="1" x14ac:dyDescent="0.2">
      <c r="B13" s="458"/>
      <c r="C13" s="92" t="s">
        <v>92</v>
      </c>
      <c r="D13" s="397">
        <v>13.4</v>
      </c>
      <c r="E13" s="397">
        <v>29.78</v>
      </c>
      <c r="F13" s="398">
        <v>17.510000000000002</v>
      </c>
      <c r="G13" s="397">
        <v>21.16</v>
      </c>
    </row>
    <row r="14" spans="2:7" ht="14.45" customHeight="1" x14ac:dyDescent="0.2">
      <c r="B14" s="459" t="s">
        <v>49</v>
      </c>
      <c r="C14" s="8" t="s">
        <v>13</v>
      </c>
      <c r="D14" s="393">
        <v>9.9700000000000006</v>
      </c>
      <c r="E14" s="393">
        <v>16.329999999999998</v>
      </c>
      <c r="F14" s="394">
        <v>12.06</v>
      </c>
      <c r="G14" s="393">
        <v>8.43</v>
      </c>
    </row>
    <row r="15" spans="2:7" ht="14.45" customHeight="1" x14ac:dyDescent="0.2">
      <c r="B15" s="460"/>
      <c r="C15" s="10" t="s">
        <v>14</v>
      </c>
      <c r="D15" s="395">
        <v>15.69</v>
      </c>
      <c r="E15" s="395">
        <v>28.33</v>
      </c>
      <c r="F15" s="396">
        <v>19.649999999999999</v>
      </c>
      <c r="G15" s="395">
        <v>11.69</v>
      </c>
    </row>
    <row r="16" spans="2:7" ht="14.45" customHeight="1" x14ac:dyDescent="0.2">
      <c r="B16" s="432"/>
      <c r="C16" s="10" t="s">
        <v>45</v>
      </c>
      <c r="D16" s="395">
        <v>19.760000000000002</v>
      </c>
      <c r="E16" s="395">
        <v>38.24</v>
      </c>
      <c r="F16" s="396">
        <v>25.98</v>
      </c>
      <c r="G16" s="395">
        <v>33.369999999999997</v>
      </c>
    </row>
    <row r="17" spans="2:8" ht="14.45" customHeight="1" x14ac:dyDescent="0.2">
      <c r="B17" s="461"/>
      <c r="C17" s="92" t="s">
        <v>21</v>
      </c>
      <c r="D17" s="397">
        <v>8.2200000000000006</v>
      </c>
      <c r="E17" s="397">
        <v>20.329999999999998</v>
      </c>
      <c r="F17" s="398">
        <v>11.71</v>
      </c>
      <c r="G17" s="397">
        <v>12.13</v>
      </c>
    </row>
    <row r="18" spans="2:8" ht="14.45" customHeight="1" x14ac:dyDescent="0.2">
      <c r="B18" s="462" t="s">
        <v>145</v>
      </c>
      <c r="C18" s="463"/>
      <c r="D18" s="399">
        <v>14.98</v>
      </c>
      <c r="E18" s="399">
        <v>28.02</v>
      </c>
      <c r="F18" s="400">
        <v>19.2</v>
      </c>
      <c r="G18" s="399">
        <v>16.829999999999998</v>
      </c>
      <c r="H18" s="93"/>
    </row>
    <row r="19" spans="2:8" ht="7.9" customHeight="1" x14ac:dyDescent="0.2">
      <c r="B19" s="162"/>
      <c r="C19" s="162"/>
      <c r="D19" s="163"/>
      <c r="E19" s="163"/>
      <c r="F19" s="164"/>
      <c r="G19" s="163"/>
      <c r="H19" s="93"/>
    </row>
    <row r="20" spans="2:8" ht="15.75" customHeight="1" x14ac:dyDescent="0.2">
      <c r="B20" s="367" t="s">
        <v>144</v>
      </c>
      <c r="C20" s="372"/>
      <c r="D20" s="373"/>
      <c r="E20" s="374"/>
      <c r="F20" s="374"/>
      <c r="G20" s="374"/>
    </row>
    <row r="21" spans="2:8" ht="24.6" customHeight="1" x14ac:dyDescent="0.2">
      <c r="B21" s="452" t="s">
        <v>135</v>
      </c>
      <c r="C21" s="452"/>
      <c r="D21" s="452"/>
      <c r="E21" s="452"/>
      <c r="F21" s="452"/>
      <c r="G21" s="452"/>
    </row>
    <row r="22" spans="2:8" ht="16.5" customHeight="1" x14ac:dyDescent="0.2">
      <c r="B22" s="390" t="s">
        <v>220</v>
      </c>
      <c r="C22" s="365"/>
      <c r="D22" s="365"/>
      <c r="E22" s="376"/>
      <c r="F22" s="377"/>
      <c r="G22" s="377"/>
    </row>
    <row r="23" spans="2:8" ht="15.75" customHeight="1" x14ac:dyDescent="0.2">
      <c r="B23" s="21" t="s">
        <v>204</v>
      </c>
      <c r="C23" s="378"/>
      <c r="D23" s="378"/>
      <c r="E23" s="379"/>
      <c r="F23" s="379"/>
      <c r="G23" s="377"/>
    </row>
    <row r="24" spans="2:8" ht="13.9" customHeight="1" x14ac:dyDescent="0.2"/>
  </sheetData>
  <mergeCells count="6">
    <mergeCell ref="B21:G21"/>
    <mergeCell ref="B6:B8"/>
    <mergeCell ref="B9:B10"/>
    <mergeCell ref="B11:B13"/>
    <mergeCell ref="B14:B17"/>
    <mergeCell ref="B18:C1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BABCE-EBD3-4127-A300-F648FC216395}">
  <dimension ref="B1:I26"/>
  <sheetViews>
    <sheetView zoomScaleNormal="100" workbookViewId="0"/>
  </sheetViews>
  <sheetFormatPr baseColWidth="10" defaultColWidth="11.42578125" defaultRowHeight="12.75" x14ac:dyDescent="0.2"/>
  <cols>
    <col min="1" max="1" width="4.28515625" style="4" customWidth="1"/>
    <col min="2" max="2" width="12.42578125" style="4" customWidth="1"/>
    <col min="3" max="5" width="11.42578125" style="4"/>
    <col min="6" max="6" width="18.140625" style="4" customWidth="1"/>
    <col min="7" max="7" width="18.7109375" style="4" customWidth="1"/>
    <col min="8" max="16384" width="11.42578125" style="4"/>
  </cols>
  <sheetData>
    <row r="1" spans="2:8" ht="15" customHeight="1" x14ac:dyDescent="0.2"/>
    <row r="2" spans="2:8" x14ac:dyDescent="0.2">
      <c r="B2" s="5" t="s">
        <v>93</v>
      </c>
    </row>
    <row r="3" spans="2:8" ht="8.4499999999999993" customHeight="1" x14ac:dyDescent="0.2">
      <c r="B3" s="5"/>
    </row>
    <row r="4" spans="2:8" x14ac:dyDescent="0.2">
      <c r="B4" s="4" t="s">
        <v>82</v>
      </c>
    </row>
    <row r="5" spans="2:8" ht="38.25" customHeight="1" x14ac:dyDescent="0.2">
      <c r="C5" s="357" t="s">
        <v>10</v>
      </c>
      <c r="D5" s="359" t="s">
        <v>1</v>
      </c>
      <c r="E5" s="359" t="s">
        <v>2</v>
      </c>
      <c r="F5" s="36" t="s">
        <v>25</v>
      </c>
      <c r="G5" s="359" t="s">
        <v>46</v>
      </c>
    </row>
    <row r="6" spans="2:8" ht="12" customHeight="1" x14ac:dyDescent="0.2">
      <c r="B6" s="23">
        <v>2014</v>
      </c>
      <c r="C6" s="176">
        <v>20.89</v>
      </c>
      <c r="D6" s="176">
        <v>35.5</v>
      </c>
      <c r="E6" s="176">
        <v>16.920000000000002</v>
      </c>
      <c r="F6" s="248">
        <v>26.31</v>
      </c>
      <c r="G6" s="176">
        <v>37.75</v>
      </c>
      <c r="H6" s="102"/>
    </row>
    <row r="7" spans="2:8" ht="12" customHeight="1" x14ac:dyDescent="0.2">
      <c r="B7" s="24">
        <v>2015</v>
      </c>
      <c r="C7" s="32">
        <v>23.81</v>
      </c>
      <c r="D7" s="32">
        <v>34.47</v>
      </c>
      <c r="E7" s="32">
        <v>11.8</v>
      </c>
      <c r="F7" s="249">
        <v>26.05</v>
      </c>
      <c r="G7" s="32">
        <v>39.21</v>
      </c>
    </row>
    <row r="8" spans="2:8" ht="12" customHeight="1" x14ac:dyDescent="0.2">
      <c r="B8" s="24">
        <v>2016</v>
      </c>
      <c r="C8" s="32">
        <v>19.690000000000001</v>
      </c>
      <c r="D8" s="32">
        <v>35.4</v>
      </c>
      <c r="E8" s="32">
        <v>12.28</v>
      </c>
      <c r="F8" s="249">
        <v>25.13</v>
      </c>
      <c r="G8" s="32">
        <v>37.76</v>
      </c>
    </row>
    <row r="9" spans="2:8" ht="12" customHeight="1" x14ac:dyDescent="0.2">
      <c r="B9" s="24">
        <v>2017</v>
      </c>
      <c r="C9" s="32">
        <v>21.82</v>
      </c>
      <c r="D9" s="32">
        <v>33.46</v>
      </c>
      <c r="E9" s="32">
        <v>11.91</v>
      </c>
      <c r="F9" s="249">
        <v>24.66</v>
      </c>
      <c r="G9" s="32">
        <v>35.299999999999997</v>
      </c>
    </row>
    <row r="10" spans="2:8" ht="12" customHeight="1" x14ac:dyDescent="0.2">
      <c r="B10" s="24">
        <v>2018</v>
      </c>
      <c r="C10" s="32">
        <v>25.28</v>
      </c>
      <c r="D10" s="32">
        <v>34.159999999999997</v>
      </c>
      <c r="E10" s="32">
        <v>10.72</v>
      </c>
      <c r="F10" s="249">
        <v>26.12</v>
      </c>
      <c r="G10" s="32">
        <v>33.74</v>
      </c>
    </row>
    <row r="11" spans="2:8" ht="12" customHeight="1" x14ac:dyDescent="0.2">
      <c r="B11" s="24">
        <v>2019</v>
      </c>
      <c r="C11" s="32">
        <v>24.52</v>
      </c>
      <c r="D11" s="32">
        <v>33.659999999999997</v>
      </c>
      <c r="E11" s="32">
        <v>13.99</v>
      </c>
      <c r="F11" s="249">
        <v>26.12</v>
      </c>
      <c r="G11" s="32">
        <v>31.01</v>
      </c>
    </row>
    <row r="12" spans="2:8" ht="12" customHeight="1" thickBot="1" x14ac:dyDescent="0.25">
      <c r="B12" s="91">
        <v>2020</v>
      </c>
      <c r="C12" s="33">
        <v>26.81</v>
      </c>
      <c r="D12" s="33">
        <v>31.3</v>
      </c>
      <c r="E12" s="33">
        <v>11.36</v>
      </c>
      <c r="F12" s="250">
        <v>25.87</v>
      </c>
      <c r="G12" s="33">
        <v>34.21</v>
      </c>
    </row>
    <row r="13" spans="2:8" ht="1.5" customHeight="1" thickTop="1" x14ac:dyDescent="0.2">
      <c r="B13" s="230"/>
      <c r="C13" s="32"/>
      <c r="D13" s="32"/>
      <c r="E13" s="32"/>
      <c r="F13" s="249"/>
      <c r="G13" s="32"/>
    </row>
    <row r="14" spans="2:8" x14ac:dyDescent="0.2">
      <c r="B14" s="24" t="s">
        <v>6</v>
      </c>
      <c r="C14" s="34">
        <v>24.76</v>
      </c>
      <c r="D14" s="34">
        <v>30.62</v>
      </c>
      <c r="E14" s="34">
        <v>10.74</v>
      </c>
      <c r="F14" s="251">
        <v>24.12</v>
      </c>
      <c r="G14" s="34">
        <v>29.53</v>
      </c>
      <c r="H14" s="102"/>
    </row>
    <row r="15" spans="2:8" x14ac:dyDescent="0.2">
      <c r="B15" s="24" t="s">
        <v>7</v>
      </c>
      <c r="C15" s="34">
        <v>21.5</v>
      </c>
      <c r="D15" s="34">
        <v>27.38</v>
      </c>
      <c r="E15" s="34">
        <v>10.17</v>
      </c>
      <c r="F15" s="251">
        <v>21.37</v>
      </c>
      <c r="G15" s="34">
        <v>26.17</v>
      </c>
    </row>
    <row r="16" spans="2:8" x14ac:dyDescent="0.2">
      <c r="B16" s="24" t="s">
        <v>8</v>
      </c>
      <c r="C16" s="34">
        <v>23.18</v>
      </c>
      <c r="D16" s="34">
        <v>26.34</v>
      </c>
      <c r="E16" s="34">
        <v>9.69</v>
      </c>
      <c r="F16" s="251">
        <v>21.46</v>
      </c>
      <c r="G16" s="34">
        <v>25</v>
      </c>
    </row>
    <row r="17" spans="2:9" x14ac:dyDescent="0.2">
      <c r="B17" s="24" t="s">
        <v>9</v>
      </c>
      <c r="C17" s="34">
        <v>19.95</v>
      </c>
      <c r="D17" s="34">
        <v>25.57</v>
      </c>
      <c r="E17" s="34">
        <v>9.76</v>
      </c>
      <c r="F17" s="251">
        <v>19.8</v>
      </c>
      <c r="G17" s="34">
        <v>23.97</v>
      </c>
    </row>
    <row r="18" spans="2:9" x14ac:dyDescent="0.2">
      <c r="B18" s="25">
        <v>2025</v>
      </c>
      <c r="C18" s="35">
        <v>22.08</v>
      </c>
      <c r="D18" s="35">
        <v>27.14</v>
      </c>
      <c r="E18" s="35">
        <v>10.42</v>
      </c>
      <c r="F18" s="252">
        <v>21.22</v>
      </c>
      <c r="G18" s="35">
        <v>23.79</v>
      </c>
      <c r="H18" s="102"/>
    </row>
    <row r="19" spans="2:9" ht="7.9" customHeight="1" x14ac:dyDescent="0.2">
      <c r="B19" s="165"/>
      <c r="C19" s="166"/>
      <c r="D19" s="166"/>
      <c r="E19" s="166"/>
      <c r="F19" s="166"/>
      <c r="G19" s="166"/>
    </row>
    <row r="20" spans="2:9" x14ac:dyDescent="0.2">
      <c r="B20" s="367" t="s">
        <v>191</v>
      </c>
      <c r="C20" s="21"/>
      <c r="D20" s="21"/>
      <c r="E20" s="21"/>
      <c r="F20" s="21"/>
      <c r="G20" s="21"/>
    </row>
    <row r="21" spans="2:9" ht="37.15" customHeight="1" x14ac:dyDescent="0.2">
      <c r="B21" s="438" t="s">
        <v>134</v>
      </c>
      <c r="C21" s="438"/>
      <c r="D21" s="438"/>
      <c r="E21" s="438"/>
      <c r="F21" s="438"/>
      <c r="G21" s="438"/>
      <c r="I21" s="102"/>
    </row>
    <row r="22" spans="2:9" ht="27.6" customHeight="1" x14ac:dyDescent="0.2">
      <c r="B22" s="464" t="s">
        <v>197</v>
      </c>
      <c r="C22" s="464"/>
      <c r="D22" s="464"/>
      <c r="E22" s="464"/>
      <c r="F22" s="464"/>
      <c r="G22" s="464"/>
    </row>
    <row r="23" spans="2:9" ht="17.100000000000001" customHeight="1" x14ac:dyDescent="0.2">
      <c r="B23" s="21" t="s">
        <v>128</v>
      </c>
      <c r="C23" s="21"/>
      <c r="D23" s="21"/>
      <c r="E23" s="21"/>
      <c r="F23" s="21"/>
      <c r="G23" s="21"/>
    </row>
    <row r="26" spans="2:9" x14ac:dyDescent="0.2">
      <c r="C26" s="83"/>
      <c r="D26" s="83"/>
      <c r="E26" s="83"/>
      <c r="F26" s="83"/>
      <c r="G26" s="83"/>
    </row>
  </sheetData>
  <mergeCells count="2">
    <mergeCell ref="B21:G21"/>
    <mergeCell ref="B22:G2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27D6B-68C9-4132-AD0F-A38A13D537E8}">
  <dimension ref="B2:G17"/>
  <sheetViews>
    <sheetView zoomScaleNormal="100" workbookViewId="0"/>
  </sheetViews>
  <sheetFormatPr baseColWidth="10" defaultColWidth="11.42578125" defaultRowHeight="12.75" x14ac:dyDescent="0.2"/>
  <cols>
    <col min="1" max="1" width="3.140625" style="4" customWidth="1"/>
    <col min="2" max="2" width="28.42578125" style="4" customWidth="1"/>
    <col min="3" max="7" width="16.85546875" style="4" customWidth="1"/>
    <col min="8" max="16384" width="11.42578125" style="4"/>
  </cols>
  <sheetData>
    <row r="2" spans="2:7" x14ac:dyDescent="0.2">
      <c r="B2" s="22" t="s">
        <v>113</v>
      </c>
    </row>
    <row r="3" spans="2:7" x14ac:dyDescent="0.2">
      <c r="B3" s="22"/>
    </row>
    <row r="4" spans="2:7" x14ac:dyDescent="0.2">
      <c r="B4" s="4" t="s">
        <v>82</v>
      </c>
    </row>
    <row r="5" spans="2:7" ht="28.15" customHeight="1" x14ac:dyDescent="0.2">
      <c r="B5" s="21"/>
      <c r="D5" s="465" t="s">
        <v>104</v>
      </c>
      <c r="E5" s="466"/>
      <c r="F5" s="466"/>
      <c r="G5" s="467"/>
    </row>
    <row r="6" spans="2:7" ht="27" x14ac:dyDescent="0.2">
      <c r="B6" s="86"/>
      <c r="C6" s="357" t="s">
        <v>177</v>
      </c>
      <c r="D6" s="87" t="s">
        <v>29</v>
      </c>
      <c r="E6" s="87" t="s">
        <v>30</v>
      </c>
      <c r="F6" s="87" t="s">
        <v>31</v>
      </c>
      <c r="G6" s="87" t="s">
        <v>32</v>
      </c>
    </row>
    <row r="7" spans="2:7" x14ac:dyDescent="0.2">
      <c r="B7" s="28" t="s">
        <v>10</v>
      </c>
      <c r="C7" s="88">
        <v>1.6</v>
      </c>
      <c r="D7" s="88">
        <v>44.34</v>
      </c>
      <c r="E7" s="88">
        <v>35.96</v>
      </c>
      <c r="F7" s="88">
        <v>42.31</v>
      </c>
      <c r="G7" s="88">
        <v>13.45</v>
      </c>
    </row>
    <row r="8" spans="2:7" x14ac:dyDescent="0.2">
      <c r="B8" s="29" t="s">
        <v>1</v>
      </c>
      <c r="C8" s="88">
        <v>2.76</v>
      </c>
      <c r="D8" s="88">
        <v>25.42</v>
      </c>
      <c r="E8" s="88">
        <v>15.14</v>
      </c>
      <c r="F8" s="88">
        <v>17.559999999999999</v>
      </c>
      <c r="G8" s="88">
        <v>6.45</v>
      </c>
    </row>
    <row r="9" spans="2:7" x14ac:dyDescent="0.2">
      <c r="B9" s="29" t="s">
        <v>2</v>
      </c>
      <c r="C9" s="88">
        <v>12.37</v>
      </c>
      <c r="D9" s="88">
        <v>58.14</v>
      </c>
      <c r="E9" s="88">
        <v>55.73</v>
      </c>
      <c r="F9" s="88">
        <v>46.41</v>
      </c>
      <c r="G9" s="88">
        <v>26.25</v>
      </c>
    </row>
    <row r="10" spans="2:7" x14ac:dyDescent="0.2">
      <c r="B10" s="30" t="s">
        <v>25</v>
      </c>
      <c r="C10" s="89">
        <v>4.07</v>
      </c>
      <c r="D10" s="89">
        <v>40.67</v>
      </c>
      <c r="E10" s="89">
        <v>32.81</v>
      </c>
      <c r="F10" s="89">
        <v>34.81</v>
      </c>
      <c r="G10" s="89">
        <v>13.58</v>
      </c>
    </row>
    <row r="11" spans="2:7" x14ac:dyDescent="0.2">
      <c r="B11" s="13" t="s">
        <v>46</v>
      </c>
      <c r="C11" s="90">
        <v>6.58</v>
      </c>
      <c r="D11" s="90">
        <v>34.29</v>
      </c>
      <c r="E11" s="90">
        <v>17.43</v>
      </c>
      <c r="F11" s="90">
        <v>25.06</v>
      </c>
      <c r="G11" s="90">
        <v>9.9700000000000006</v>
      </c>
    </row>
    <row r="12" spans="2:7" ht="8.4499999999999993" customHeight="1" x14ac:dyDescent="0.2">
      <c r="B12" s="40"/>
      <c r="C12" s="167"/>
      <c r="D12" s="167"/>
      <c r="E12" s="167"/>
      <c r="F12" s="167"/>
      <c r="G12" s="167"/>
    </row>
    <row r="13" spans="2:7" x14ac:dyDescent="0.2">
      <c r="B13" s="367" t="s">
        <v>144</v>
      </c>
      <c r="C13" s="375"/>
      <c r="D13" s="375"/>
      <c r="E13" s="375"/>
      <c r="F13" s="375"/>
      <c r="G13" s="375"/>
    </row>
    <row r="14" spans="2:7" ht="24.6" customHeight="1" x14ac:dyDescent="0.2">
      <c r="B14" s="438" t="s">
        <v>135</v>
      </c>
      <c r="C14" s="438"/>
      <c r="D14" s="438"/>
      <c r="E14" s="438"/>
      <c r="F14" s="438"/>
      <c r="G14" s="438"/>
    </row>
    <row r="15" spans="2:7" ht="39" customHeight="1" x14ac:dyDescent="0.2">
      <c r="B15" s="438" t="s">
        <v>217</v>
      </c>
      <c r="C15" s="438"/>
      <c r="D15" s="438"/>
      <c r="E15" s="438"/>
      <c r="F15" s="438"/>
      <c r="G15" s="438"/>
    </row>
    <row r="16" spans="2:7" ht="14.45" customHeight="1" x14ac:dyDescent="0.2">
      <c r="B16" s="369" t="s">
        <v>198</v>
      </c>
      <c r="C16" s="390"/>
      <c r="D16" s="390"/>
      <c r="E16" s="390"/>
      <c r="F16" s="390"/>
      <c r="G16" s="390"/>
    </row>
    <row r="17" spans="2:7" ht="29.25" customHeight="1" x14ac:dyDescent="0.2">
      <c r="B17" s="438" t="s">
        <v>129</v>
      </c>
      <c r="C17" s="438"/>
      <c r="D17" s="438"/>
      <c r="E17" s="438"/>
      <c r="F17" s="438"/>
      <c r="G17" s="438"/>
    </row>
  </sheetData>
  <mergeCells count="4">
    <mergeCell ref="B14:G14"/>
    <mergeCell ref="B15:G15"/>
    <mergeCell ref="B17:G17"/>
    <mergeCell ref="D5:G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9AC04-AACC-48E4-B3C1-0760AE72B82D}">
  <dimension ref="B2:G24"/>
  <sheetViews>
    <sheetView showGridLines="0" zoomScaleNormal="100" workbookViewId="0"/>
  </sheetViews>
  <sheetFormatPr baseColWidth="10" defaultColWidth="11.42578125" defaultRowHeight="12.75" x14ac:dyDescent="0.2"/>
  <cols>
    <col min="1" max="1" width="3.42578125" style="4" customWidth="1"/>
    <col min="2" max="2" width="70.140625" style="4" customWidth="1"/>
    <col min="3" max="7" width="18.28515625" style="4" customWidth="1"/>
    <col min="8" max="8" width="12.7109375" style="4" customWidth="1"/>
    <col min="9" max="16384" width="11.42578125" style="4"/>
  </cols>
  <sheetData>
    <row r="2" spans="2:7" x14ac:dyDescent="0.2">
      <c r="B2" s="22" t="s">
        <v>114</v>
      </c>
    </row>
    <row r="3" spans="2:7" x14ac:dyDescent="0.2">
      <c r="B3" s="4" t="s">
        <v>82</v>
      </c>
    </row>
    <row r="5" spans="2:7" ht="28.15" customHeight="1" x14ac:dyDescent="0.2">
      <c r="B5" s="21"/>
      <c r="C5" s="468" t="s">
        <v>177</v>
      </c>
      <c r="D5" s="465" t="s">
        <v>180</v>
      </c>
      <c r="E5" s="466"/>
      <c r="F5" s="466"/>
      <c r="G5" s="467"/>
    </row>
    <row r="6" spans="2:7" ht="16.350000000000001" customHeight="1" x14ac:dyDescent="0.2">
      <c r="B6" s="57"/>
      <c r="C6" s="469"/>
      <c r="D6" s="41" t="s">
        <v>29</v>
      </c>
      <c r="E6" s="41" t="s">
        <v>30</v>
      </c>
      <c r="F6" s="41" t="s">
        <v>31</v>
      </c>
      <c r="G6" s="41" t="s">
        <v>32</v>
      </c>
    </row>
    <row r="7" spans="2:7" x14ac:dyDescent="0.2">
      <c r="B7" s="42" t="s">
        <v>33</v>
      </c>
      <c r="C7" s="401">
        <v>0.2</v>
      </c>
      <c r="D7" s="401">
        <v>28.52</v>
      </c>
      <c r="E7" s="401">
        <v>19.45</v>
      </c>
      <c r="F7" s="401">
        <v>32.590000000000003</v>
      </c>
      <c r="G7" s="401">
        <v>9.57</v>
      </c>
    </row>
    <row r="8" spans="2:7" x14ac:dyDescent="0.2">
      <c r="B8" s="46" t="s">
        <v>105</v>
      </c>
      <c r="C8" s="402">
        <v>0.38</v>
      </c>
      <c r="D8" s="402">
        <v>60.76</v>
      </c>
      <c r="E8" s="402">
        <v>46.62</v>
      </c>
      <c r="F8" s="402">
        <v>57.84</v>
      </c>
      <c r="G8" s="402">
        <v>9.9600000000000009</v>
      </c>
    </row>
    <row r="9" spans="2:7" ht="25.5" x14ac:dyDescent="0.2">
      <c r="B9" s="350" t="s">
        <v>163</v>
      </c>
      <c r="C9" s="402">
        <v>0.46</v>
      </c>
      <c r="D9" s="402">
        <v>50.19</v>
      </c>
      <c r="E9" s="402">
        <v>39.64</v>
      </c>
      <c r="F9" s="402">
        <v>45.37</v>
      </c>
      <c r="G9" s="402">
        <v>7.3</v>
      </c>
    </row>
    <row r="10" spans="2:7" x14ac:dyDescent="0.2">
      <c r="B10" s="46" t="s">
        <v>35</v>
      </c>
      <c r="C10" s="402">
        <v>8.32</v>
      </c>
      <c r="D10" s="402">
        <v>44.01</v>
      </c>
      <c r="E10" s="402">
        <v>40.380000000000003</v>
      </c>
      <c r="F10" s="402">
        <v>40.31</v>
      </c>
      <c r="G10" s="402">
        <v>24.08</v>
      </c>
    </row>
    <row r="11" spans="2:7" x14ac:dyDescent="0.2">
      <c r="B11" s="46" t="s">
        <v>36</v>
      </c>
      <c r="C11" s="402">
        <v>3.22</v>
      </c>
      <c r="D11" s="402">
        <v>19.04</v>
      </c>
      <c r="E11" s="402">
        <v>14.36</v>
      </c>
      <c r="F11" s="402">
        <v>18.100000000000001</v>
      </c>
      <c r="G11" s="402">
        <v>9.51</v>
      </c>
    </row>
    <row r="12" spans="2:7" x14ac:dyDescent="0.2">
      <c r="B12" s="46" t="s">
        <v>37</v>
      </c>
      <c r="C12" s="402">
        <v>1.72</v>
      </c>
      <c r="D12" s="402">
        <v>15.78</v>
      </c>
      <c r="E12" s="402">
        <v>4.71</v>
      </c>
      <c r="F12" s="402">
        <v>7.46</v>
      </c>
      <c r="G12" s="402">
        <v>1.21</v>
      </c>
    </row>
    <row r="13" spans="2:7" x14ac:dyDescent="0.2">
      <c r="B13" s="46" t="s">
        <v>48</v>
      </c>
      <c r="C13" s="402">
        <v>7.87</v>
      </c>
      <c r="D13" s="402">
        <v>31.7</v>
      </c>
      <c r="E13" s="402">
        <v>26.51</v>
      </c>
      <c r="F13" s="402">
        <v>15.86</v>
      </c>
      <c r="G13" s="402">
        <v>4.1500000000000004</v>
      </c>
    </row>
    <row r="14" spans="2:7" x14ac:dyDescent="0.2">
      <c r="B14" s="46" t="s">
        <v>38</v>
      </c>
      <c r="C14" s="402">
        <v>11.36</v>
      </c>
      <c r="D14" s="402">
        <v>40.42</v>
      </c>
      <c r="E14" s="402">
        <v>38.19</v>
      </c>
      <c r="F14" s="402">
        <v>30.98</v>
      </c>
      <c r="G14" s="402">
        <v>12.03</v>
      </c>
    </row>
    <row r="15" spans="2:7" x14ac:dyDescent="0.2">
      <c r="B15" s="46" t="s">
        <v>211</v>
      </c>
      <c r="C15" s="402">
        <v>10.130000000000001</v>
      </c>
      <c r="D15" s="402">
        <v>71.41</v>
      </c>
      <c r="E15" s="402">
        <v>67.41</v>
      </c>
      <c r="F15" s="402">
        <v>61.71</v>
      </c>
      <c r="G15" s="402">
        <v>55.19</v>
      </c>
    </row>
    <row r="16" spans="2:7" x14ac:dyDescent="0.2">
      <c r="B16" s="184" t="s">
        <v>21</v>
      </c>
      <c r="C16" s="403">
        <v>3.97</v>
      </c>
      <c r="D16" s="403">
        <v>32</v>
      </c>
      <c r="E16" s="403">
        <v>21.35</v>
      </c>
      <c r="F16" s="403">
        <v>13.99</v>
      </c>
      <c r="G16" s="403">
        <v>7.39</v>
      </c>
    </row>
    <row r="17" spans="2:7" x14ac:dyDescent="0.2">
      <c r="B17" s="85" t="s">
        <v>77</v>
      </c>
      <c r="C17" s="404">
        <v>4.07</v>
      </c>
      <c r="D17" s="404">
        <v>40.67</v>
      </c>
      <c r="E17" s="404">
        <v>32.81</v>
      </c>
      <c r="F17" s="404">
        <v>34.81</v>
      </c>
      <c r="G17" s="404">
        <v>13.58</v>
      </c>
    </row>
    <row r="18" spans="2:7" ht="7.5" customHeight="1" x14ac:dyDescent="0.2">
      <c r="B18" s="168"/>
      <c r="C18" s="169"/>
      <c r="D18" s="169"/>
      <c r="E18" s="169"/>
      <c r="F18" s="169"/>
      <c r="G18" s="169"/>
    </row>
    <row r="19" spans="2:7" x14ac:dyDescent="0.2">
      <c r="B19" s="440" t="s">
        <v>144</v>
      </c>
      <c r="C19" s="440"/>
      <c r="D19" s="440"/>
      <c r="E19" s="440"/>
      <c r="F19" s="440"/>
      <c r="G19" s="440"/>
    </row>
    <row r="20" spans="2:7" ht="24.6" customHeight="1" x14ac:dyDescent="0.2">
      <c r="B20" s="438" t="s">
        <v>131</v>
      </c>
      <c r="C20" s="438"/>
      <c r="D20" s="438"/>
      <c r="E20" s="438"/>
      <c r="F20" s="438"/>
      <c r="G20" s="438"/>
    </row>
    <row r="21" spans="2:7" ht="25.5" customHeight="1" x14ac:dyDescent="0.2">
      <c r="B21" s="438" t="s">
        <v>178</v>
      </c>
      <c r="C21" s="438"/>
      <c r="D21" s="438"/>
      <c r="E21" s="438"/>
      <c r="F21" s="438"/>
      <c r="G21" s="438"/>
    </row>
    <row r="22" spans="2:7" ht="13.9" customHeight="1" x14ac:dyDescent="0.2">
      <c r="B22" s="369" t="s">
        <v>199</v>
      </c>
      <c r="C22" s="390"/>
      <c r="D22" s="390"/>
      <c r="E22" s="390"/>
      <c r="F22" s="390"/>
      <c r="G22" s="390"/>
    </row>
    <row r="23" spans="2:7" ht="13.15" customHeight="1" x14ac:dyDescent="0.2">
      <c r="B23" s="438" t="s">
        <v>179</v>
      </c>
      <c r="C23" s="438"/>
      <c r="D23" s="438"/>
      <c r="E23" s="438"/>
      <c r="F23" s="438"/>
      <c r="G23" s="438"/>
    </row>
    <row r="24" spans="2:7" ht="14.45" customHeight="1" x14ac:dyDescent="0.2">
      <c r="B24" s="438" t="s">
        <v>130</v>
      </c>
      <c r="C24" s="438"/>
      <c r="D24" s="438"/>
      <c r="E24" s="438"/>
      <c r="F24" s="438"/>
      <c r="G24" s="438"/>
    </row>
  </sheetData>
  <mergeCells count="7">
    <mergeCell ref="B23:G23"/>
    <mergeCell ref="B24:G24"/>
    <mergeCell ref="C5:C6"/>
    <mergeCell ref="D5:G5"/>
    <mergeCell ref="B19:G19"/>
    <mergeCell ref="B20:G20"/>
    <mergeCell ref="B21:G2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2CDE5-D6D7-421D-AA56-A1534C5F04B9}">
  <dimension ref="B2:G16"/>
  <sheetViews>
    <sheetView workbookViewId="0"/>
  </sheetViews>
  <sheetFormatPr baseColWidth="10" defaultColWidth="11.42578125" defaultRowHeight="12.75" x14ac:dyDescent="0.2"/>
  <cols>
    <col min="1" max="1" width="4.28515625" style="4" customWidth="1"/>
    <col min="2" max="2" width="36" style="4" customWidth="1"/>
    <col min="3" max="16384" width="11.42578125" style="4"/>
  </cols>
  <sheetData>
    <row r="2" spans="2:7" x14ac:dyDescent="0.2">
      <c r="B2" s="5" t="s">
        <v>115</v>
      </c>
      <c r="E2" s="76"/>
    </row>
    <row r="3" spans="2:7" x14ac:dyDescent="0.2">
      <c r="B3" s="22"/>
      <c r="E3" s="76"/>
    </row>
    <row r="4" spans="2:7" x14ac:dyDescent="0.2">
      <c r="B4" s="4" t="s">
        <v>82</v>
      </c>
      <c r="E4" s="76"/>
    </row>
    <row r="5" spans="2:7" x14ac:dyDescent="0.2">
      <c r="B5" s="77"/>
      <c r="C5" s="27">
        <v>2021</v>
      </c>
      <c r="D5" s="27">
        <v>2022</v>
      </c>
      <c r="E5" s="78">
        <v>2023</v>
      </c>
      <c r="F5" s="27">
        <v>2024</v>
      </c>
      <c r="G5" s="27">
        <v>2025</v>
      </c>
    </row>
    <row r="6" spans="2:7" x14ac:dyDescent="0.2">
      <c r="B6" s="42" t="s">
        <v>10</v>
      </c>
      <c r="C6" s="47">
        <v>31.94</v>
      </c>
      <c r="D6" s="47">
        <v>24.05</v>
      </c>
      <c r="E6" s="47">
        <v>23.32</v>
      </c>
      <c r="F6" s="47">
        <v>24.08</v>
      </c>
      <c r="G6" s="47">
        <v>24.37</v>
      </c>
    </row>
    <row r="7" spans="2:7" x14ac:dyDescent="0.2">
      <c r="B7" s="79" t="s">
        <v>54</v>
      </c>
      <c r="C7" s="80">
        <v>34.69</v>
      </c>
      <c r="D7" s="80">
        <v>30.81</v>
      </c>
      <c r="E7" s="80">
        <v>31.56</v>
      </c>
      <c r="F7" s="80">
        <v>32.96</v>
      </c>
      <c r="G7" s="80">
        <v>33.200000000000003</v>
      </c>
    </row>
    <row r="8" spans="2:7" x14ac:dyDescent="0.2">
      <c r="B8" s="46" t="s">
        <v>1</v>
      </c>
      <c r="C8" s="47">
        <v>17.95</v>
      </c>
      <c r="D8" s="47">
        <v>14.74</v>
      </c>
      <c r="E8" s="47">
        <v>13.65</v>
      </c>
      <c r="F8" s="47">
        <v>14.22</v>
      </c>
      <c r="G8" s="47">
        <v>14.7</v>
      </c>
    </row>
    <row r="9" spans="2:7" x14ac:dyDescent="0.2">
      <c r="B9" s="46" t="s">
        <v>2</v>
      </c>
      <c r="C9" s="47">
        <v>5.71</v>
      </c>
      <c r="D9" s="47">
        <v>4.25</v>
      </c>
      <c r="E9" s="47">
        <v>4.97</v>
      </c>
      <c r="F9" s="47">
        <v>6.28</v>
      </c>
      <c r="G9" s="47">
        <v>6.12</v>
      </c>
    </row>
    <row r="10" spans="2:7" x14ac:dyDescent="0.2">
      <c r="B10" s="81" t="s">
        <v>25</v>
      </c>
      <c r="C10" s="82">
        <v>21.94</v>
      </c>
      <c r="D10" s="82">
        <v>16.88</v>
      </c>
      <c r="E10" s="82">
        <v>16.13</v>
      </c>
      <c r="F10" s="82">
        <v>17.440000000000001</v>
      </c>
      <c r="G10" s="82">
        <v>17.600000000000001</v>
      </c>
    </row>
    <row r="11" spans="2:7" x14ac:dyDescent="0.2">
      <c r="B11" s="84" t="s">
        <v>46</v>
      </c>
      <c r="C11" s="50">
        <v>23.48</v>
      </c>
      <c r="D11" s="50">
        <v>22.7</v>
      </c>
      <c r="E11" s="50">
        <v>23.02</v>
      </c>
      <c r="F11" s="50">
        <v>22.51</v>
      </c>
      <c r="G11" s="50">
        <v>24.5</v>
      </c>
    </row>
    <row r="12" spans="2:7" x14ac:dyDescent="0.2">
      <c r="B12" s="170"/>
      <c r="C12" s="48"/>
      <c r="D12" s="48"/>
      <c r="E12" s="48"/>
      <c r="F12" s="48"/>
    </row>
    <row r="13" spans="2:7" s="382" customFormat="1" x14ac:dyDescent="0.2">
      <c r="B13" s="380" t="s">
        <v>141</v>
      </c>
      <c r="C13" s="369"/>
      <c r="D13" s="369"/>
      <c r="E13" s="381"/>
      <c r="F13" s="369"/>
    </row>
    <row r="14" spans="2:7" s="382" customFormat="1" ht="38.25" customHeight="1" x14ac:dyDescent="0.2">
      <c r="B14" s="438" t="s">
        <v>127</v>
      </c>
      <c r="C14" s="438"/>
      <c r="D14" s="438"/>
      <c r="E14" s="438"/>
      <c r="F14" s="438"/>
      <c r="G14" s="438"/>
    </row>
    <row r="15" spans="2:7" s="382" customFormat="1" ht="25.5" customHeight="1" x14ac:dyDescent="0.2">
      <c r="B15" s="438" t="s">
        <v>136</v>
      </c>
      <c r="C15" s="438"/>
      <c r="D15" s="438"/>
      <c r="E15" s="438"/>
      <c r="F15" s="438"/>
      <c r="G15" s="438"/>
    </row>
    <row r="16" spans="2:7" x14ac:dyDescent="0.2">
      <c r="E16" s="76"/>
    </row>
  </sheetData>
  <mergeCells count="2">
    <mergeCell ref="B15:G15"/>
    <mergeCell ref="B14:G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D4E5-D75B-4DF7-A50B-72E3167F14C9}">
  <dimension ref="B2:I29"/>
  <sheetViews>
    <sheetView zoomScaleNormal="100" workbookViewId="0"/>
  </sheetViews>
  <sheetFormatPr baseColWidth="10" defaultColWidth="11.42578125" defaultRowHeight="12.75" x14ac:dyDescent="0.2"/>
  <cols>
    <col min="1" max="1" width="3.7109375" style="4" customWidth="1"/>
    <col min="2" max="2" width="14.85546875" style="4" customWidth="1"/>
    <col min="3" max="3" width="78.5703125" style="4" customWidth="1"/>
    <col min="4" max="4" width="13.140625" style="4" customWidth="1"/>
    <col min="5" max="5" width="13.5703125" style="4" customWidth="1"/>
    <col min="6" max="6" width="12.28515625" style="4" customWidth="1"/>
    <col min="7" max="7" width="13" style="4" customWidth="1"/>
    <col min="8" max="16384" width="11.42578125" style="4"/>
  </cols>
  <sheetData>
    <row r="2" spans="2:6" ht="27" customHeight="1" x14ac:dyDescent="0.2">
      <c r="B2" s="470" t="s">
        <v>112</v>
      </c>
      <c r="C2" s="470"/>
      <c r="D2" s="470"/>
      <c r="E2" s="470"/>
      <c r="F2" s="470"/>
    </row>
    <row r="3" spans="2:6" x14ac:dyDescent="0.2">
      <c r="B3" s="22"/>
    </row>
    <row r="4" spans="2:6" x14ac:dyDescent="0.2">
      <c r="B4" s="4" t="s">
        <v>82</v>
      </c>
    </row>
    <row r="5" spans="2:6" ht="52.15" customHeight="1" x14ac:dyDescent="0.2">
      <c r="B5" s="468" t="s">
        <v>102</v>
      </c>
      <c r="C5" s="468"/>
      <c r="D5" s="359" t="s">
        <v>83</v>
      </c>
      <c r="E5" s="359" t="s">
        <v>55</v>
      </c>
      <c r="F5" s="359" t="s">
        <v>84</v>
      </c>
    </row>
    <row r="6" spans="2:6" x14ac:dyDescent="0.2">
      <c r="B6" s="472" t="s">
        <v>27</v>
      </c>
      <c r="C6" s="6" t="s">
        <v>10</v>
      </c>
      <c r="D6" s="73">
        <v>24.37</v>
      </c>
      <c r="E6" s="73">
        <v>35.58</v>
      </c>
      <c r="F6" s="73">
        <v>68.510000000000005</v>
      </c>
    </row>
    <row r="7" spans="2:6" x14ac:dyDescent="0.2">
      <c r="B7" s="473"/>
      <c r="C7" s="38" t="s">
        <v>1</v>
      </c>
      <c r="D7" s="74">
        <v>14.7</v>
      </c>
      <c r="E7" s="74">
        <v>27.3</v>
      </c>
      <c r="F7" s="74">
        <v>53.84</v>
      </c>
    </row>
    <row r="8" spans="2:6" x14ac:dyDescent="0.2">
      <c r="B8" s="473"/>
      <c r="C8" s="38" t="s">
        <v>2</v>
      </c>
      <c r="D8" s="74">
        <v>6.12</v>
      </c>
      <c r="E8" s="74">
        <v>14.37</v>
      </c>
      <c r="F8" s="74">
        <v>42.58</v>
      </c>
    </row>
    <row r="9" spans="2:6" x14ac:dyDescent="0.2">
      <c r="B9" s="472" t="s">
        <v>28</v>
      </c>
      <c r="C9" s="6" t="s">
        <v>11</v>
      </c>
      <c r="D9" s="73">
        <v>18.38</v>
      </c>
      <c r="E9" s="73">
        <v>29.22</v>
      </c>
      <c r="F9" s="73">
        <v>62.92</v>
      </c>
    </row>
    <row r="10" spans="2:6" x14ac:dyDescent="0.2">
      <c r="B10" s="474"/>
      <c r="C10" s="39" t="s">
        <v>12</v>
      </c>
      <c r="D10" s="75">
        <v>16.23</v>
      </c>
      <c r="E10" s="75">
        <v>27.8</v>
      </c>
      <c r="F10" s="75">
        <v>58.39</v>
      </c>
    </row>
    <row r="11" spans="2:6" x14ac:dyDescent="0.2">
      <c r="B11" s="475" t="s">
        <v>41</v>
      </c>
      <c r="C11" s="38" t="s">
        <v>39</v>
      </c>
      <c r="D11" s="74">
        <v>12.39</v>
      </c>
      <c r="E11" s="74">
        <v>20.73</v>
      </c>
      <c r="F11" s="74">
        <v>59.79</v>
      </c>
    </row>
    <row r="12" spans="2:6" x14ac:dyDescent="0.2">
      <c r="B12" s="475"/>
      <c r="C12" s="38" t="s">
        <v>85</v>
      </c>
      <c r="D12" s="74">
        <v>19.690000000000001</v>
      </c>
      <c r="E12" s="74">
        <v>31.13</v>
      </c>
      <c r="F12" s="74">
        <v>63.26</v>
      </c>
    </row>
    <row r="13" spans="2:6" x14ac:dyDescent="0.2">
      <c r="B13" s="475"/>
      <c r="C13" s="38" t="s">
        <v>100</v>
      </c>
      <c r="D13" s="74">
        <v>16.7</v>
      </c>
      <c r="E13" s="74">
        <v>28.26</v>
      </c>
      <c r="F13" s="74">
        <v>59.12</v>
      </c>
    </row>
    <row r="14" spans="2:6" x14ac:dyDescent="0.2">
      <c r="B14" s="476" t="s">
        <v>94</v>
      </c>
      <c r="C14" s="6" t="s">
        <v>33</v>
      </c>
      <c r="D14" s="73">
        <v>55.68</v>
      </c>
      <c r="E14" s="73">
        <v>76.97</v>
      </c>
      <c r="F14" s="73">
        <v>72.33</v>
      </c>
    </row>
    <row r="15" spans="2:6" ht="15" customHeight="1" x14ac:dyDescent="0.2">
      <c r="B15" s="477"/>
      <c r="C15" s="38" t="s">
        <v>105</v>
      </c>
      <c r="D15" s="74">
        <v>24.3</v>
      </c>
      <c r="E15" s="74">
        <v>35.479999999999997</v>
      </c>
      <c r="F15" s="74">
        <v>68.489999999999995</v>
      </c>
    </row>
    <row r="16" spans="2:6" x14ac:dyDescent="0.2">
      <c r="B16" s="477"/>
      <c r="C16" s="38" t="s">
        <v>34</v>
      </c>
      <c r="D16" s="74">
        <v>7.62</v>
      </c>
      <c r="E16" s="74">
        <v>13.62</v>
      </c>
      <c r="F16" s="74">
        <v>55.91</v>
      </c>
    </row>
    <row r="17" spans="2:9" x14ac:dyDescent="0.2">
      <c r="B17" s="477"/>
      <c r="C17" s="38" t="s">
        <v>35</v>
      </c>
      <c r="D17" s="74">
        <v>9.19</v>
      </c>
      <c r="E17" s="74">
        <v>18.98</v>
      </c>
      <c r="F17" s="74">
        <v>48.4</v>
      </c>
    </row>
    <row r="18" spans="2:9" x14ac:dyDescent="0.2">
      <c r="B18" s="477"/>
      <c r="C18" s="38" t="s">
        <v>36</v>
      </c>
      <c r="D18" s="74">
        <v>38.61</v>
      </c>
      <c r="E18" s="74">
        <v>67.61</v>
      </c>
      <c r="F18" s="74">
        <v>57.1</v>
      </c>
    </row>
    <row r="19" spans="2:9" x14ac:dyDescent="0.2">
      <c r="B19" s="477"/>
      <c r="C19" s="38" t="s">
        <v>37</v>
      </c>
      <c r="D19" s="74">
        <v>28.36</v>
      </c>
      <c r="E19" s="74">
        <v>52.94</v>
      </c>
      <c r="F19" s="74">
        <v>53.56</v>
      </c>
    </row>
    <row r="20" spans="2:9" x14ac:dyDescent="0.2">
      <c r="B20" s="477"/>
      <c r="C20" s="46" t="s">
        <v>48</v>
      </c>
      <c r="D20" s="74">
        <v>0.15</v>
      </c>
      <c r="E20" s="74">
        <v>1.19</v>
      </c>
      <c r="F20" s="74" t="s">
        <v>53</v>
      </c>
    </row>
    <row r="21" spans="2:9" x14ac:dyDescent="0.2">
      <c r="B21" s="477"/>
      <c r="C21" s="38" t="s">
        <v>38</v>
      </c>
      <c r="D21" s="74">
        <v>0.14000000000000001</v>
      </c>
      <c r="E21" s="74">
        <v>0.33</v>
      </c>
      <c r="F21" s="74" t="s">
        <v>53</v>
      </c>
    </row>
    <row r="22" spans="2:9" x14ac:dyDescent="0.2">
      <c r="B22" s="477"/>
      <c r="C22" s="38" t="s">
        <v>211</v>
      </c>
      <c r="D22" s="74">
        <v>0.99</v>
      </c>
      <c r="E22" s="74">
        <v>7.89</v>
      </c>
      <c r="F22" s="74" t="s">
        <v>53</v>
      </c>
    </row>
    <row r="23" spans="2:9" x14ac:dyDescent="0.2">
      <c r="B23" s="477"/>
      <c r="C23" s="38" t="s">
        <v>21</v>
      </c>
      <c r="D23" s="405">
        <v>1.1499999999999999</v>
      </c>
      <c r="E23" s="74">
        <v>3.94</v>
      </c>
      <c r="F23" s="74" t="s">
        <v>53</v>
      </c>
    </row>
    <row r="24" spans="2:9" x14ac:dyDescent="0.2">
      <c r="B24" s="478" t="s">
        <v>25</v>
      </c>
      <c r="C24" s="478"/>
      <c r="D24" s="406">
        <v>17.600000000000001</v>
      </c>
      <c r="E24" s="406">
        <v>28.7</v>
      </c>
      <c r="F24" s="406">
        <v>61.32</v>
      </c>
      <c r="I24" s="102"/>
    </row>
    <row r="25" spans="2:9" x14ac:dyDescent="0.2">
      <c r="B25" s="479" t="s">
        <v>46</v>
      </c>
      <c r="C25" s="479"/>
      <c r="D25" s="410">
        <v>24.5</v>
      </c>
      <c r="E25" s="407">
        <v>35.15</v>
      </c>
      <c r="F25" s="407">
        <v>69.69</v>
      </c>
      <c r="I25" s="415"/>
    </row>
    <row r="26" spans="2:9" ht="23.25" customHeight="1" x14ac:dyDescent="0.2">
      <c r="B26" s="364" t="s">
        <v>151</v>
      </c>
      <c r="C26" s="369"/>
      <c r="D26" s="369"/>
      <c r="E26" s="369"/>
      <c r="F26" s="383"/>
    </row>
    <row r="27" spans="2:9" ht="26.25" customHeight="1" x14ac:dyDescent="0.2">
      <c r="B27" s="438" t="s">
        <v>137</v>
      </c>
      <c r="C27" s="438"/>
      <c r="D27" s="438"/>
      <c r="E27" s="438"/>
      <c r="F27" s="438"/>
    </row>
    <row r="28" spans="2:9" ht="15" customHeight="1" x14ac:dyDescent="0.2">
      <c r="B28" s="471" t="s">
        <v>221</v>
      </c>
      <c r="C28" s="471"/>
      <c r="D28" s="365"/>
      <c r="E28" s="365"/>
      <c r="F28" s="378"/>
    </row>
    <row r="29" spans="2:9" ht="40.5" customHeight="1" x14ac:dyDescent="0.2">
      <c r="B29" s="438" t="s">
        <v>200</v>
      </c>
      <c r="C29" s="438"/>
      <c r="D29" s="438"/>
      <c r="E29" s="438"/>
      <c r="F29" s="438"/>
    </row>
  </sheetData>
  <mergeCells count="11">
    <mergeCell ref="B2:F2"/>
    <mergeCell ref="B28:C28"/>
    <mergeCell ref="B29:F29"/>
    <mergeCell ref="B5:C5"/>
    <mergeCell ref="B6:B8"/>
    <mergeCell ref="B9:B10"/>
    <mergeCell ref="B11:B13"/>
    <mergeCell ref="B14:B23"/>
    <mergeCell ref="B24:C24"/>
    <mergeCell ref="B25:C25"/>
    <mergeCell ref="B27:F27"/>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72851-3D75-432D-87A1-2AF218CD5D8A}">
  <dimension ref="B2:K21"/>
  <sheetViews>
    <sheetView zoomScaleNormal="100" workbookViewId="0"/>
  </sheetViews>
  <sheetFormatPr baseColWidth="10" defaultColWidth="11.42578125" defaultRowHeight="12.75" x14ac:dyDescent="0.2"/>
  <cols>
    <col min="1" max="1" width="3.7109375" style="4" customWidth="1"/>
    <col min="2" max="2" width="10.7109375" style="4" customWidth="1"/>
    <col min="3" max="7" width="11.42578125" style="4"/>
    <col min="8" max="8" width="11.42578125" style="4" customWidth="1"/>
    <col min="9" max="9" width="8.7109375" style="4" customWidth="1"/>
    <col min="10" max="18" width="8" style="4" customWidth="1"/>
    <col min="19" max="16384" width="11.42578125" style="4"/>
  </cols>
  <sheetData>
    <row r="2" spans="2:11" x14ac:dyDescent="0.2">
      <c r="B2" s="22" t="s">
        <v>91</v>
      </c>
      <c r="C2" s="21"/>
      <c r="D2" s="21"/>
      <c r="E2" s="21"/>
      <c r="F2" s="21"/>
      <c r="G2" s="21"/>
      <c r="H2" s="21"/>
    </row>
    <row r="3" spans="2:11" x14ac:dyDescent="0.2">
      <c r="B3" s="22"/>
      <c r="C3" s="21"/>
      <c r="D3" s="21"/>
      <c r="E3" s="21"/>
      <c r="F3" s="21"/>
      <c r="G3" s="21"/>
      <c r="H3" s="21"/>
    </row>
    <row r="4" spans="2:11" x14ac:dyDescent="0.2">
      <c r="B4" s="4" t="s">
        <v>82</v>
      </c>
      <c r="C4" s="21"/>
      <c r="D4" s="21"/>
      <c r="E4" s="21"/>
      <c r="F4" s="21"/>
      <c r="G4" s="21"/>
      <c r="H4" s="21"/>
      <c r="K4" s="123"/>
    </row>
    <row r="5" spans="2:11" ht="18" customHeight="1" x14ac:dyDescent="0.2">
      <c r="B5" s="57"/>
      <c r="C5" s="480" t="s">
        <v>25</v>
      </c>
      <c r="D5" s="481"/>
      <c r="E5" s="482"/>
      <c r="F5" s="481" t="s">
        <v>46</v>
      </c>
      <c r="G5" s="481"/>
      <c r="H5" s="483"/>
    </row>
    <row r="6" spans="2:11" ht="25.5" x14ac:dyDescent="0.2">
      <c r="B6" s="58"/>
      <c r="C6" s="59" t="s">
        <v>216</v>
      </c>
      <c r="D6" s="357" t="s">
        <v>50</v>
      </c>
      <c r="E6" s="60" t="s">
        <v>86</v>
      </c>
      <c r="F6" s="416" t="s">
        <v>216</v>
      </c>
      <c r="G6" s="357" t="s">
        <v>50</v>
      </c>
      <c r="H6" s="358" t="s">
        <v>86</v>
      </c>
    </row>
    <row r="7" spans="2:11" x14ac:dyDescent="0.2">
      <c r="B7" s="61">
        <v>2021</v>
      </c>
      <c r="C7" s="62">
        <v>32.68</v>
      </c>
      <c r="D7" s="43">
        <v>27.42</v>
      </c>
      <c r="E7" s="63">
        <v>39.89</v>
      </c>
      <c r="F7" s="44">
        <v>23.5</v>
      </c>
      <c r="G7" s="43">
        <v>24.13</v>
      </c>
      <c r="H7" s="45">
        <v>52.37</v>
      </c>
    </row>
    <row r="8" spans="2:11" x14ac:dyDescent="0.2">
      <c r="B8" s="360">
        <v>2022</v>
      </c>
      <c r="C8" s="64">
        <v>49.67</v>
      </c>
      <c r="D8" s="47">
        <v>30.09</v>
      </c>
      <c r="E8" s="65">
        <v>20.239999999999998</v>
      </c>
      <c r="F8" s="48">
        <v>33.71</v>
      </c>
      <c r="G8" s="47">
        <v>35.840000000000003</v>
      </c>
      <c r="H8" s="49">
        <v>30.45</v>
      </c>
      <c r="J8" s="66"/>
    </row>
    <row r="9" spans="2:11" x14ac:dyDescent="0.2">
      <c r="B9" s="360">
        <v>2023</v>
      </c>
      <c r="C9" s="64">
        <v>60.58</v>
      </c>
      <c r="D9" s="47">
        <v>27.89</v>
      </c>
      <c r="E9" s="65">
        <v>11.53</v>
      </c>
      <c r="F9" s="48">
        <v>40.56</v>
      </c>
      <c r="G9" s="47">
        <v>35.36</v>
      </c>
      <c r="H9" s="49">
        <v>24.07</v>
      </c>
    </row>
    <row r="10" spans="2:11" x14ac:dyDescent="0.2">
      <c r="B10" s="360">
        <v>2024</v>
      </c>
      <c r="C10" s="64">
        <v>57.25</v>
      </c>
      <c r="D10" s="47">
        <v>30.86</v>
      </c>
      <c r="E10" s="65">
        <v>11.89</v>
      </c>
      <c r="F10" s="48">
        <v>41.45</v>
      </c>
      <c r="G10" s="47">
        <v>34.450000000000003</v>
      </c>
      <c r="H10" s="49">
        <v>24.1</v>
      </c>
    </row>
    <row r="11" spans="2:11" x14ac:dyDescent="0.2">
      <c r="B11" s="67">
        <v>2025</v>
      </c>
      <c r="C11" s="68">
        <v>60.19</v>
      </c>
      <c r="D11" s="69">
        <v>28.8</v>
      </c>
      <c r="E11" s="70">
        <v>11.01</v>
      </c>
      <c r="F11" s="71">
        <v>42.35</v>
      </c>
      <c r="G11" s="69">
        <v>35.85</v>
      </c>
      <c r="H11" s="72">
        <v>21.76</v>
      </c>
    </row>
    <row r="12" spans="2:11" ht="8.4499999999999993" customHeight="1" x14ac:dyDescent="0.2">
      <c r="B12" s="171"/>
      <c r="C12" s="48"/>
      <c r="D12" s="48"/>
      <c r="E12" s="48"/>
      <c r="F12" s="48"/>
      <c r="G12" s="48"/>
      <c r="H12" s="48"/>
    </row>
    <row r="13" spans="2:11" s="371" customFormat="1" ht="14.45" customHeight="1" x14ac:dyDescent="0.2">
      <c r="B13" s="367" t="s">
        <v>191</v>
      </c>
      <c r="C13" s="367"/>
      <c r="D13" s="367"/>
      <c r="E13" s="367"/>
      <c r="F13" s="367"/>
      <c r="G13" s="367"/>
      <c r="H13" s="367"/>
    </row>
    <row r="14" spans="2:11" ht="54.75" customHeight="1" x14ac:dyDescent="0.2">
      <c r="B14" s="438" t="s">
        <v>139</v>
      </c>
      <c r="C14" s="438"/>
      <c r="D14" s="438"/>
      <c r="E14" s="438"/>
      <c r="F14" s="438"/>
      <c r="G14" s="438"/>
      <c r="H14" s="438"/>
    </row>
    <row r="15" spans="2:11" ht="66" customHeight="1" x14ac:dyDescent="0.2">
      <c r="B15" s="484" t="s">
        <v>201</v>
      </c>
      <c r="C15" s="484"/>
      <c r="D15" s="484"/>
      <c r="E15" s="484"/>
      <c r="F15" s="484"/>
      <c r="G15" s="484"/>
      <c r="H15" s="484"/>
      <c r="I15" s="102"/>
    </row>
    <row r="16" spans="2:11" ht="27.6" customHeight="1" x14ac:dyDescent="0.2">
      <c r="B16" s="438" t="s">
        <v>140</v>
      </c>
      <c r="C16" s="438"/>
      <c r="D16" s="438"/>
      <c r="E16" s="438"/>
      <c r="F16" s="438"/>
      <c r="G16" s="438"/>
      <c r="H16" s="438"/>
    </row>
    <row r="17" spans="2:8" x14ac:dyDescent="0.2">
      <c r="B17" s="21"/>
      <c r="C17" s="21"/>
      <c r="D17" s="21"/>
      <c r="E17" s="21"/>
      <c r="F17" s="21"/>
      <c r="G17" s="21"/>
      <c r="H17" s="21"/>
    </row>
    <row r="21" spans="2:8" x14ac:dyDescent="0.2">
      <c r="G21" s="102"/>
    </row>
  </sheetData>
  <mergeCells count="5">
    <mergeCell ref="C5:E5"/>
    <mergeCell ref="F5:H5"/>
    <mergeCell ref="B14:H14"/>
    <mergeCell ref="B15:H15"/>
    <mergeCell ref="B16:H16"/>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81E8-3D3D-4F78-A24B-A547105EFED6}">
  <dimension ref="B1:G29"/>
  <sheetViews>
    <sheetView zoomScaleNormal="100" workbookViewId="0"/>
  </sheetViews>
  <sheetFormatPr baseColWidth="10" defaultColWidth="13.5703125" defaultRowHeight="12.75" x14ac:dyDescent="0.2"/>
  <cols>
    <col min="1" max="1" width="2.85546875" style="4" customWidth="1"/>
    <col min="2" max="2" width="13.5703125" style="4"/>
    <col min="3" max="3" width="35.42578125" style="4" customWidth="1"/>
    <col min="4" max="6" width="15.28515625" style="4" customWidth="1"/>
    <col min="7" max="16384" width="13.5703125" style="4"/>
  </cols>
  <sheetData>
    <row r="1" spans="2:6" ht="12.75" customHeight="1" x14ac:dyDescent="0.2"/>
    <row r="2" spans="2:6" ht="26.25" customHeight="1" x14ac:dyDescent="0.2">
      <c r="B2" s="485" t="s">
        <v>116</v>
      </c>
      <c r="C2" s="485"/>
      <c r="D2" s="485"/>
      <c r="E2" s="485"/>
      <c r="F2" s="485"/>
    </row>
    <row r="3" spans="2:6" ht="11.45" customHeight="1" x14ac:dyDescent="0.2">
      <c r="B3" s="5"/>
    </row>
    <row r="4" spans="2:6" x14ac:dyDescent="0.2">
      <c r="B4" s="4" t="s">
        <v>82</v>
      </c>
    </row>
    <row r="5" spans="2:6" ht="15" customHeight="1" x14ac:dyDescent="0.2">
      <c r="B5" s="488" t="s">
        <v>44</v>
      </c>
      <c r="C5" s="488"/>
      <c r="D5" s="444" t="s">
        <v>87</v>
      </c>
      <c r="E5" s="444" t="s">
        <v>42</v>
      </c>
      <c r="F5" s="444" t="s">
        <v>43</v>
      </c>
    </row>
    <row r="6" spans="2:6" ht="34.5" customHeight="1" x14ac:dyDescent="0.2">
      <c r="B6" s="472"/>
      <c r="C6" s="472"/>
      <c r="D6" s="468"/>
      <c r="E6" s="468"/>
      <c r="F6" s="468"/>
    </row>
    <row r="7" spans="2:6" x14ac:dyDescent="0.2">
      <c r="B7" s="476" t="s">
        <v>40</v>
      </c>
      <c r="C7" s="6" t="s">
        <v>10</v>
      </c>
      <c r="D7" s="51">
        <v>77.650000000000006</v>
      </c>
      <c r="E7" s="51">
        <v>20.28</v>
      </c>
      <c r="F7" s="51">
        <v>2.0699999999999998</v>
      </c>
    </row>
    <row r="8" spans="2:6" x14ac:dyDescent="0.2">
      <c r="B8" s="477"/>
      <c r="C8" s="38" t="s">
        <v>1</v>
      </c>
      <c r="D8" s="52">
        <v>70.87</v>
      </c>
      <c r="E8" s="52">
        <v>28.39</v>
      </c>
      <c r="F8" s="52">
        <v>0.74</v>
      </c>
    </row>
    <row r="9" spans="2:6" ht="13.5" customHeight="1" x14ac:dyDescent="0.2">
      <c r="B9" s="477"/>
      <c r="C9" s="38" t="s">
        <v>2</v>
      </c>
      <c r="D9" s="52">
        <v>60</v>
      </c>
      <c r="E9" s="52">
        <v>37.340000000000003</v>
      </c>
      <c r="F9" s="52">
        <v>2.66</v>
      </c>
    </row>
    <row r="10" spans="2:6" ht="12.75" customHeight="1" x14ac:dyDescent="0.2">
      <c r="B10" s="476" t="s">
        <v>28</v>
      </c>
      <c r="C10" s="6" t="s">
        <v>11</v>
      </c>
      <c r="D10" s="51">
        <v>71.290000000000006</v>
      </c>
      <c r="E10" s="51">
        <v>27.35</v>
      </c>
      <c r="F10" s="51">
        <v>1.36</v>
      </c>
    </row>
    <row r="11" spans="2:6" x14ac:dyDescent="0.2">
      <c r="B11" s="489"/>
      <c r="C11" s="39" t="s">
        <v>12</v>
      </c>
      <c r="D11" s="408">
        <v>78.33</v>
      </c>
      <c r="E11" s="408">
        <v>19.34</v>
      </c>
      <c r="F11" s="408">
        <v>2.33</v>
      </c>
    </row>
    <row r="12" spans="2:6" x14ac:dyDescent="0.2">
      <c r="B12" s="476" t="s">
        <v>41</v>
      </c>
      <c r="C12" s="6" t="s">
        <v>39</v>
      </c>
      <c r="D12" s="51">
        <v>73.510000000000005</v>
      </c>
      <c r="E12" s="51">
        <v>23.51</v>
      </c>
      <c r="F12" s="51">
        <v>2.98</v>
      </c>
    </row>
    <row r="13" spans="2:6" x14ac:dyDescent="0.2">
      <c r="B13" s="477"/>
      <c r="C13" s="38" t="s">
        <v>85</v>
      </c>
      <c r="D13" s="52">
        <v>71.510000000000005</v>
      </c>
      <c r="E13" s="52">
        <v>26.68</v>
      </c>
      <c r="F13" s="52">
        <v>1.8</v>
      </c>
    </row>
    <row r="14" spans="2:6" x14ac:dyDescent="0.2">
      <c r="B14" s="489"/>
      <c r="C14" s="39" t="s">
        <v>101</v>
      </c>
      <c r="D14" s="408">
        <v>76.81</v>
      </c>
      <c r="E14" s="408">
        <v>21.91</v>
      </c>
      <c r="F14" s="408">
        <v>1.28</v>
      </c>
    </row>
    <row r="15" spans="2:6" ht="15" customHeight="1" x14ac:dyDescent="0.2">
      <c r="B15" s="476" t="s">
        <v>88</v>
      </c>
      <c r="C15" s="53" t="s">
        <v>52</v>
      </c>
      <c r="D15" s="51">
        <v>66.010000000000005</v>
      </c>
      <c r="E15" s="51">
        <v>33.99</v>
      </c>
      <c r="F15" s="51">
        <v>0</v>
      </c>
    </row>
    <row r="16" spans="2:6" ht="12.75" customHeight="1" x14ac:dyDescent="0.2">
      <c r="B16" s="477"/>
      <c r="C16" s="54" t="s">
        <v>181</v>
      </c>
      <c r="D16" s="52">
        <v>75.95</v>
      </c>
      <c r="E16" s="52">
        <v>22.13</v>
      </c>
      <c r="F16" s="52">
        <v>1.92</v>
      </c>
    </row>
    <row r="17" spans="2:7" x14ac:dyDescent="0.2">
      <c r="B17" s="477"/>
      <c r="C17" s="55" t="s">
        <v>50</v>
      </c>
      <c r="D17" s="52">
        <v>81.94</v>
      </c>
      <c r="E17" s="52">
        <v>15.78</v>
      </c>
      <c r="F17" s="52">
        <v>2.27</v>
      </c>
    </row>
    <row r="18" spans="2:7" x14ac:dyDescent="0.2">
      <c r="B18" s="477"/>
      <c r="C18" s="55" t="s">
        <v>51</v>
      </c>
      <c r="D18" s="52">
        <v>85.05</v>
      </c>
      <c r="E18" s="52">
        <v>6.22</v>
      </c>
      <c r="F18" s="52">
        <v>8.73</v>
      </c>
    </row>
    <row r="19" spans="2:7" x14ac:dyDescent="0.2">
      <c r="B19" s="486" t="s">
        <v>25</v>
      </c>
      <c r="C19" s="487"/>
      <c r="D19" s="353">
        <v>73.78</v>
      </c>
      <c r="E19" s="353">
        <v>24.52</v>
      </c>
      <c r="F19" s="353">
        <v>1.7</v>
      </c>
    </row>
    <row r="20" spans="2:7" ht="20.25" customHeight="1" x14ac:dyDescent="0.2">
      <c r="B20" s="490" t="s">
        <v>46</v>
      </c>
      <c r="C20" s="491"/>
      <c r="D20" s="354">
        <v>73.650000000000006</v>
      </c>
      <c r="E20" s="354">
        <v>24.2</v>
      </c>
      <c r="F20" s="354">
        <v>2.15</v>
      </c>
    </row>
    <row r="21" spans="2:7" ht="15" customHeight="1" x14ac:dyDescent="0.2">
      <c r="B21" s="172"/>
      <c r="C21" s="172"/>
      <c r="D21" s="173"/>
      <c r="E21" s="173"/>
      <c r="F21" s="173"/>
    </row>
    <row r="22" spans="2:7" ht="19.5" customHeight="1" x14ac:dyDescent="0.2">
      <c r="B22" s="391" t="s">
        <v>151</v>
      </c>
      <c r="C22" s="369"/>
      <c r="D22" s="369"/>
      <c r="E22" s="21"/>
      <c r="F22" s="21"/>
    </row>
    <row r="23" spans="2:7" ht="39" customHeight="1" x14ac:dyDescent="0.2">
      <c r="B23" s="438" t="s">
        <v>138</v>
      </c>
      <c r="C23" s="438"/>
      <c r="D23" s="438"/>
      <c r="E23" s="438"/>
      <c r="F23" s="438"/>
    </row>
    <row r="24" spans="2:7" ht="27.6" customHeight="1" x14ac:dyDescent="0.2">
      <c r="B24" s="438" t="s">
        <v>218</v>
      </c>
      <c r="C24" s="464"/>
      <c r="D24" s="464"/>
      <c r="E24" s="464"/>
      <c r="F24" s="464"/>
    </row>
    <row r="25" spans="2:7" ht="26.45" customHeight="1" x14ac:dyDescent="0.2">
      <c r="B25" s="438" t="s">
        <v>212</v>
      </c>
      <c r="C25" s="438"/>
      <c r="D25" s="438"/>
      <c r="E25" s="438"/>
      <c r="F25" s="438"/>
    </row>
    <row r="29" spans="2:7" x14ac:dyDescent="0.2">
      <c r="G29" s="124"/>
    </row>
  </sheetData>
  <mergeCells count="14">
    <mergeCell ref="B2:F2"/>
    <mergeCell ref="B25:F25"/>
    <mergeCell ref="B23:F23"/>
    <mergeCell ref="B19:C19"/>
    <mergeCell ref="B5:C6"/>
    <mergeCell ref="B7:B9"/>
    <mergeCell ref="B12:B14"/>
    <mergeCell ref="D5:D6"/>
    <mergeCell ref="E5:E6"/>
    <mergeCell ref="F5:F6"/>
    <mergeCell ref="B20:C20"/>
    <mergeCell ref="B15:B18"/>
    <mergeCell ref="B24:F24"/>
    <mergeCell ref="B10:B11"/>
  </mergeCells>
  <pageMargins left="0.7" right="0.7" top="0.75" bottom="0.75" header="0.3" footer="0.3"/>
  <pageSetup paperSize="9" orientation="portrait" copies="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8B4A5-3D10-41F2-83A7-1D87D6A0B82B}">
  <dimension ref="B1:O22"/>
  <sheetViews>
    <sheetView zoomScaleNormal="100" workbookViewId="0"/>
  </sheetViews>
  <sheetFormatPr baseColWidth="10" defaultColWidth="11.42578125" defaultRowHeight="12.75" x14ac:dyDescent="0.2"/>
  <cols>
    <col min="1" max="1" width="3.42578125" style="4" customWidth="1"/>
    <col min="2" max="2" width="31.5703125" style="4" customWidth="1"/>
    <col min="3" max="9" width="9.140625" style="4" customWidth="1"/>
    <col min="10" max="10" width="0.42578125" style="4" customWidth="1"/>
    <col min="11" max="15" width="9.42578125" style="4" customWidth="1"/>
    <col min="16" max="16" width="11.42578125" style="4"/>
    <col min="17" max="17" width="13" style="4" customWidth="1"/>
    <col min="18" max="16384" width="11.42578125" style="4"/>
  </cols>
  <sheetData>
    <row r="1" spans="2:15" ht="12.75" customHeight="1" x14ac:dyDescent="0.2"/>
    <row r="2" spans="2:15" x14ac:dyDescent="0.2">
      <c r="B2" s="5" t="s">
        <v>95</v>
      </c>
      <c r="C2" s="22"/>
      <c r="D2" s="22"/>
      <c r="E2" s="22"/>
      <c r="F2" s="22"/>
      <c r="G2" s="22"/>
      <c r="H2" s="22"/>
      <c r="I2" s="22"/>
      <c r="J2" s="22"/>
    </row>
    <row r="3" spans="2:15" x14ac:dyDescent="0.2">
      <c r="B3" s="4" t="s">
        <v>82</v>
      </c>
    </row>
    <row r="4" spans="2:15" x14ac:dyDescent="0.2">
      <c r="B4" s="21"/>
      <c r="C4" s="41">
        <v>2014</v>
      </c>
      <c r="D4" s="41">
        <v>2015</v>
      </c>
      <c r="E4" s="41">
        <v>2016</v>
      </c>
      <c r="F4" s="41">
        <v>2017</v>
      </c>
      <c r="G4" s="41">
        <v>2018</v>
      </c>
      <c r="H4" s="41">
        <v>2019</v>
      </c>
      <c r="I4" s="255">
        <v>2020</v>
      </c>
      <c r="J4" s="256"/>
      <c r="K4" s="257" t="s">
        <v>6</v>
      </c>
      <c r="L4" s="41" t="s">
        <v>7</v>
      </c>
      <c r="M4" s="41" t="s">
        <v>8</v>
      </c>
      <c r="N4" s="41" t="s">
        <v>9</v>
      </c>
      <c r="O4" s="41">
        <v>2025</v>
      </c>
    </row>
    <row r="5" spans="2:15" x14ac:dyDescent="0.2">
      <c r="B5" s="42" t="s">
        <v>0</v>
      </c>
      <c r="C5" s="43">
        <v>2.95</v>
      </c>
      <c r="D5" s="43">
        <v>2.87</v>
      </c>
      <c r="E5" s="43">
        <v>2.84</v>
      </c>
      <c r="F5" s="43">
        <v>3.17</v>
      </c>
      <c r="G5" s="43">
        <v>2.7</v>
      </c>
      <c r="H5" s="43">
        <v>3.13</v>
      </c>
      <c r="I5" s="258">
        <v>2.97</v>
      </c>
      <c r="J5" s="44"/>
      <c r="K5" s="45">
        <v>4.21</v>
      </c>
      <c r="L5" s="43">
        <v>4.63</v>
      </c>
      <c r="M5" s="43">
        <v>3.86</v>
      </c>
      <c r="N5" s="43">
        <v>4.01</v>
      </c>
      <c r="O5" s="43">
        <v>4.18</v>
      </c>
    </row>
    <row r="6" spans="2:15" x14ac:dyDescent="0.2">
      <c r="B6" s="46" t="s">
        <v>142</v>
      </c>
      <c r="C6" s="47">
        <v>3.11</v>
      </c>
      <c r="D6" s="47">
        <v>3.04</v>
      </c>
      <c r="E6" s="47">
        <v>3.09</v>
      </c>
      <c r="F6" s="47">
        <v>2.44</v>
      </c>
      <c r="G6" s="47">
        <v>2.62</v>
      </c>
      <c r="H6" s="47">
        <v>2.54</v>
      </c>
      <c r="I6" s="259">
        <v>3.27</v>
      </c>
      <c r="J6" s="260"/>
      <c r="K6" s="49">
        <v>3.67</v>
      </c>
      <c r="L6" s="47">
        <v>5.58</v>
      </c>
      <c r="M6" s="47">
        <v>4.1900000000000004</v>
      </c>
      <c r="N6" s="47">
        <v>3.77</v>
      </c>
      <c r="O6" s="47">
        <v>3.74</v>
      </c>
    </row>
    <row r="7" spans="2:15" x14ac:dyDescent="0.2">
      <c r="B7" s="46" t="s">
        <v>1</v>
      </c>
      <c r="C7" s="47">
        <v>4.28</v>
      </c>
      <c r="D7" s="47">
        <v>4.45</v>
      </c>
      <c r="E7" s="47">
        <v>4.95</v>
      </c>
      <c r="F7" s="47">
        <v>4.71</v>
      </c>
      <c r="G7" s="47">
        <v>4.66</v>
      </c>
      <c r="H7" s="47">
        <v>4.9800000000000004</v>
      </c>
      <c r="I7" s="259">
        <v>5.88</v>
      </c>
      <c r="J7" s="260"/>
      <c r="K7" s="49">
        <v>6.68</v>
      </c>
      <c r="L7" s="47">
        <v>7.74</v>
      </c>
      <c r="M7" s="47">
        <v>6.56</v>
      </c>
      <c r="N7" s="47">
        <v>5.87</v>
      </c>
      <c r="O7" s="47">
        <v>5.5</v>
      </c>
    </row>
    <row r="8" spans="2:15" x14ac:dyDescent="0.2">
      <c r="B8" s="46" t="s">
        <v>2</v>
      </c>
      <c r="C8" s="47">
        <v>4.57</v>
      </c>
      <c r="D8" s="47">
        <v>4.5199999999999996</v>
      </c>
      <c r="E8" s="47">
        <v>4.84</v>
      </c>
      <c r="F8" s="47">
        <v>4.74</v>
      </c>
      <c r="G8" s="47">
        <v>4.99</v>
      </c>
      <c r="H8" s="47">
        <v>4.76</v>
      </c>
      <c r="I8" s="259">
        <v>5.94</v>
      </c>
      <c r="J8" s="260"/>
      <c r="K8" s="49">
        <v>6.84</v>
      </c>
      <c r="L8" s="47">
        <v>7.76</v>
      </c>
      <c r="M8" s="47">
        <v>6.03</v>
      </c>
      <c r="N8" s="47">
        <v>5.78</v>
      </c>
      <c r="O8" s="47">
        <v>6.1</v>
      </c>
    </row>
    <row r="9" spans="2:15" x14ac:dyDescent="0.2">
      <c r="B9" s="261" t="s">
        <v>25</v>
      </c>
      <c r="C9" s="262">
        <v>3.77</v>
      </c>
      <c r="D9" s="262">
        <v>3.77</v>
      </c>
      <c r="E9" s="262">
        <v>4</v>
      </c>
      <c r="F9" s="262">
        <v>3.87</v>
      </c>
      <c r="G9" s="262">
        <v>3.81</v>
      </c>
      <c r="H9" s="262">
        <v>3.97</v>
      </c>
      <c r="I9" s="263">
        <v>4.59</v>
      </c>
      <c r="J9" s="264"/>
      <c r="K9" s="265">
        <v>5.44</v>
      </c>
      <c r="L9" s="262">
        <v>6.5</v>
      </c>
      <c r="M9" s="262">
        <v>5.27</v>
      </c>
      <c r="N9" s="262">
        <v>4.9400000000000004</v>
      </c>
      <c r="O9" s="262">
        <v>4.9000000000000004</v>
      </c>
    </row>
    <row r="10" spans="2:15" x14ac:dyDescent="0.2">
      <c r="B10" s="266" t="s">
        <v>46</v>
      </c>
      <c r="C10" s="50">
        <v>3.65</v>
      </c>
      <c r="D10" s="50">
        <v>3.59</v>
      </c>
      <c r="E10" s="50">
        <v>3.68</v>
      </c>
      <c r="F10" s="50">
        <v>3.64</v>
      </c>
      <c r="G10" s="50">
        <v>3.77</v>
      </c>
      <c r="H10" s="50">
        <v>3.67</v>
      </c>
      <c r="I10" s="267">
        <v>4.3499999999999996</v>
      </c>
      <c r="J10" s="268"/>
      <c r="K10" s="269">
        <v>5.14</v>
      </c>
      <c r="L10" s="50">
        <v>5.37</v>
      </c>
      <c r="M10" s="50">
        <v>4.78</v>
      </c>
      <c r="N10" s="50">
        <v>4.8</v>
      </c>
      <c r="O10" s="50">
        <v>4.82</v>
      </c>
    </row>
    <row r="11" spans="2:15" x14ac:dyDescent="0.2">
      <c r="B11" s="170"/>
      <c r="C11" s="44"/>
      <c r="D11" s="44"/>
      <c r="E11" s="44"/>
      <c r="F11" s="44"/>
      <c r="G11" s="44"/>
      <c r="H11" s="44"/>
      <c r="I11" s="44"/>
      <c r="J11" s="44"/>
      <c r="K11" s="44"/>
      <c r="L11" s="48"/>
      <c r="M11" s="48"/>
      <c r="N11" s="48"/>
      <c r="O11" s="48"/>
    </row>
    <row r="12" spans="2:15" x14ac:dyDescent="0.2">
      <c r="B12" s="492" t="s">
        <v>141</v>
      </c>
      <c r="C12" s="492"/>
      <c r="D12" s="492"/>
      <c r="E12" s="492"/>
      <c r="F12" s="492"/>
      <c r="G12" s="492"/>
      <c r="H12" s="492"/>
      <c r="I12" s="492"/>
      <c r="J12" s="492"/>
      <c r="K12" s="492"/>
      <c r="L12" s="21"/>
      <c r="M12" s="377"/>
    </row>
    <row r="13" spans="2:15" ht="27" customHeight="1" x14ac:dyDescent="0.2">
      <c r="B13" s="471" t="s">
        <v>152</v>
      </c>
      <c r="C13" s="471"/>
      <c r="D13" s="471"/>
      <c r="E13" s="471"/>
      <c r="F13" s="471"/>
      <c r="G13" s="471"/>
      <c r="H13" s="471"/>
      <c r="I13" s="471"/>
      <c r="J13" s="471"/>
      <c r="K13" s="471"/>
      <c r="L13" s="471"/>
      <c r="M13" s="471"/>
      <c r="N13" s="471"/>
      <c r="O13" s="471"/>
    </row>
    <row r="14" spans="2:15" ht="13.9" customHeight="1" x14ac:dyDescent="0.2">
      <c r="B14" s="21" t="s">
        <v>202</v>
      </c>
      <c r="C14" s="21"/>
      <c r="D14" s="21"/>
      <c r="E14" s="21"/>
      <c r="F14" s="21"/>
      <c r="G14" s="21"/>
      <c r="H14" s="21"/>
      <c r="I14" s="21"/>
      <c r="J14" s="21"/>
      <c r="K14" s="21"/>
      <c r="L14" s="21"/>
      <c r="M14" s="377"/>
    </row>
    <row r="15" spans="2:15" x14ac:dyDescent="0.2">
      <c r="B15" s="369" t="s">
        <v>184</v>
      </c>
      <c r="C15" s="369"/>
      <c r="D15" s="369"/>
      <c r="E15" s="369"/>
      <c r="F15" s="369"/>
      <c r="G15" s="369"/>
      <c r="H15" s="369"/>
      <c r="I15" s="369"/>
      <c r="J15" s="369"/>
      <c r="K15" s="369"/>
      <c r="L15" s="21"/>
      <c r="M15" s="377"/>
    </row>
    <row r="16" spans="2:15" x14ac:dyDescent="0.2">
      <c r="B16" s="384" t="s">
        <v>185</v>
      </c>
      <c r="C16" s="365"/>
      <c r="D16" s="365"/>
      <c r="E16" s="365"/>
      <c r="F16" s="365"/>
      <c r="G16" s="365"/>
      <c r="H16" s="365"/>
      <c r="I16" s="365"/>
      <c r="J16" s="365"/>
      <c r="K16" s="365"/>
      <c r="L16" s="21"/>
      <c r="M16" s="377"/>
    </row>
    <row r="21" spans="14:15" x14ac:dyDescent="0.2">
      <c r="N21" s="352"/>
      <c r="O21" s="352"/>
    </row>
    <row r="22" spans="14:15" x14ac:dyDescent="0.2">
      <c r="N22" s="385"/>
      <c r="O22" s="385"/>
    </row>
  </sheetData>
  <mergeCells count="2">
    <mergeCell ref="B12:K12"/>
    <mergeCell ref="B13:O13"/>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0D32A-0D66-40FB-AF8A-0201BE5E9EDF}">
  <dimension ref="B1:I16"/>
  <sheetViews>
    <sheetView zoomScaleNormal="100" workbookViewId="0"/>
  </sheetViews>
  <sheetFormatPr baseColWidth="10" defaultColWidth="11.42578125" defaultRowHeight="12.75" x14ac:dyDescent="0.2"/>
  <cols>
    <col min="1" max="1" width="3" style="4" customWidth="1"/>
    <col min="2" max="2" width="22.85546875" style="4" customWidth="1"/>
    <col min="3" max="3" width="13.5703125" style="4" customWidth="1"/>
    <col min="4" max="4" width="13" style="4" customWidth="1"/>
    <col min="5" max="16384" width="11.42578125" style="4"/>
  </cols>
  <sheetData>
    <row r="1" spans="2:9" ht="7.5" customHeight="1" x14ac:dyDescent="0.2"/>
    <row r="2" spans="2:9" ht="27.75" customHeight="1" x14ac:dyDescent="0.2">
      <c r="B2" s="485" t="s">
        <v>147</v>
      </c>
      <c r="C2" s="485"/>
      <c r="D2" s="485"/>
      <c r="E2" s="485"/>
      <c r="F2" s="485"/>
      <c r="G2" s="485"/>
      <c r="H2" s="485"/>
    </row>
    <row r="3" spans="2:9" ht="22.5" customHeight="1" x14ac:dyDescent="0.2">
      <c r="B3" s="4" t="s">
        <v>82</v>
      </c>
    </row>
    <row r="4" spans="2:9" ht="38.25" x14ac:dyDescent="0.2">
      <c r="B4" s="272"/>
      <c r="C4" s="359" t="s">
        <v>146</v>
      </c>
      <c r="D4" s="359" t="s">
        <v>142</v>
      </c>
      <c r="E4" s="359" t="s">
        <v>1</v>
      </c>
      <c r="F4" s="359" t="s">
        <v>2</v>
      </c>
      <c r="G4" s="36" t="s">
        <v>25</v>
      </c>
      <c r="H4" s="273" t="s">
        <v>78</v>
      </c>
      <c r="I4" s="21"/>
    </row>
    <row r="5" spans="2:9" x14ac:dyDescent="0.2">
      <c r="B5" s="274" t="s">
        <v>28</v>
      </c>
      <c r="C5" s="7"/>
      <c r="D5" s="7"/>
      <c r="E5" s="7"/>
      <c r="F5" s="7"/>
      <c r="G5" s="275"/>
      <c r="H5" s="276"/>
    </row>
    <row r="6" spans="2:9" x14ac:dyDescent="0.2">
      <c r="B6" s="38" t="s">
        <v>11</v>
      </c>
      <c r="C6" s="277">
        <v>5.07</v>
      </c>
      <c r="D6" s="277">
        <v>4.04</v>
      </c>
      <c r="E6" s="277">
        <v>5.81</v>
      </c>
      <c r="F6" s="277">
        <v>6.35</v>
      </c>
      <c r="G6" s="278">
        <v>5.39</v>
      </c>
      <c r="H6" s="279">
        <v>5.67</v>
      </c>
    </row>
    <row r="7" spans="2:9" x14ac:dyDescent="0.2">
      <c r="B7" s="39" t="s">
        <v>12</v>
      </c>
      <c r="C7" s="280">
        <v>3.18</v>
      </c>
      <c r="D7" s="280">
        <v>3.11</v>
      </c>
      <c r="E7" s="280">
        <v>5</v>
      </c>
      <c r="F7" s="280">
        <v>5.15</v>
      </c>
      <c r="G7" s="281">
        <v>4.0199999999999996</v>
      </c>
      <c r="H7" s="282">
        <v>4.08</v>
      </c>
    </row>
    <row r="8" spans="2:9" x14ac:dyDescent="0.2">
      <c r="B8" s="283" t="s">
        <v>41</v>
      </c>
      <c r="C8" s="284"/>
      <c r="D8" s="284"/>
      <c r="E8" s="284"/>
      <c r="F8" s="284"/>
      <c r="G8" s="285"/>
      <c r="H8" s="286"/>
    </row>
    <row r="9" spans="2:9" x14ac:dyDescent="0.2">
      <c r="B9" s="38" t="s">
        <v>22</v>
      </c>
      <c r="C9" s="277">
        <v>3.25</v>
      </c>
      <c r="D9" s="277">
        <v>5.15</v>
      </c>
      <c r="E9" s="277">
        <v>2.0299999999999998</v>
      </c>
      <c r="F9" s="277">
        <v>3.12</v>
      </c>
      <c r="G9" s="278">
        <v>3.14</v>
      </c>
      <c r="H9" s="279">
        <v>4</v>
      </c>
    </row>
    <row r="10" spans="2:9" x14ac:dyDescent="0.2">
      <c r="B10" s="38" t="s">
        <v>80</v>
      </c>
      <c r="C10" s="277">
        <v>4.0599999999999996</v>
      </c>
      <c r="D10" s="277">
        <v>2.87</v>
      </c>
      <c r="E10" s="277">
        <v>4.01</v>
      </c>
      <c r="F10" s="277">
        <v>5.73</v>
      </c>
      <c r="G10" s="278">
        <v>4.13</v>
      </c>
      <c r="H10" s="279">
        <v>4.3899999999999997</v>
      </c>
    </row>
    <row r="11" spans="2:9" x14ac:dyDescent="0.2">
      <c r="B11" s="39" t="s">
        <v>92</v>
      </c>
      <c r="C11" s="280">
        <v>4.7699999999999996</v>
      </c>
      <c r="D11" s="280">
        <v>4.5999999999999996</v>
      </c>
      <c r="E11" s="280">
        <v>7.66</v>
      </c>
      <c r="F11" s="280">
        <v>8.06</v>
      </c>
      <c r="G11" s="281">
        <v>6.37</v>
      </c>
      <c r="H11" s="282">
        <v>5.93</v>
      </c>
    </row>
    <row r="12" spans="2:9" x14ac:dyDescent="0.2">
      <c r="B12" s="287" t="s">
        <v>145</v>
      </c>
      <c r="C12" s="288">
        <v>4.18</v>
      </c>
      <c r="D12" s="288">
        <v>3.74</v>
      </c>
      <c r="E12" s="288">
        <v>5.5</v>
      </c>
      <c r="F12" s="288">
        <v>6.1</v>
      </c>
      <c r="G12" s="289">
        <v>4.9000000000000004</v>
      </c>
      <c r="H12" s="290">
        <v>4.82</v>
      </c>
    </row>
    <row r="13" spans="2:9" ht="24" customHeight="1" x14ac:dyDescent="0.2">
      <c r="B13" s="493" t="s">
        <v>144</v>
      </c>
      <c r="C13" s="493"/>
      <c r="D13" s="493"/>
      <c r="E13" s="493"/>
      <c r="F13" s="493"/>
      <c r="G13" s="493"/>
      <c r="H13" s="493"/>
    </row>
    <row r="14" spans="2:9" ht="39" customHeight="1" x14ac:dyDescent="0.2">
      <c r="B14" s="438" t="s">
        <v>135</v>
      </c>
      <c r="C14" s="438"/>
      <c r="D14" s="438"/>
      <c r="E14" s="438"/>
      <c r="F14" s="438"/>
      <c r="G14" s="438"/>
      <c r="H14" s="438"/>
    </row>
    <row r="15" spans="2:9" ht="18" customHeight="1" x14ac:dyDescent="0.2">
      <c r="B15" s="369" t="s">
        <v>143</v>
      </c>
      <c r="C15" s="369"/>
      <c r="D15" s="369"/>
      <c r="E15" s="369"/>
      <c r="F15" s="369"/>
      <c r="G15" s="369"/>
      <c r="H15" s="369"/>
    </row>
    <row r="16" spans="2:9" ht="29.45" customHeight="1" x14ac:dyDescent="0.2">
      <c r="B16" s="464" t="s">
        <v>183</v>
      </c>
      <c r="C16" s="464"/>
      <c r="D16" s="464"/>
      <c r="E16" s="464"/>
      <c r="F16" s="464"/>
      <c r="G16" s="464"/>
      <c r="H16" s="464"/>
    </row>
  </sheetData>
  <mergeCells count="4">
    <mergeCell ref="B13:H13"/>
    <mergeCell ref="B14:H14"/>
    <mergeCell ref="B16:H16"/>
    <mergeCell ref="B2:H2"/>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4D63-FED6-4E39-85B9-11ABE4E4322E}">
  <dimension ref="B1:I24"/>
  <sheetViews>
    <sheetView zoomScaleNormal="100" workbookViewId="0"/>
  </sheetViews>
  <sheetFormatPr baseColWidth="10" defaultColWidth="11.42578125" defaultRowHeight="12.75" x14ac:dyDescent="0.2"/>
  <cols>
    <col min="1" max="1" width="2.42578125" style="4" customWidth="1"/>
    <col min="2" max="2" width="11.42578125" style="4"/>
    <col min="3" max="4" width="11.5703125" style="4" customWidth="1"/>
    <col min="5" max="5" width="13" style="4" customWidth="1"/>
    <col min="6" max="7" width="11.5703125" style="4" customWidth="1"/>
    <col min="8" max="8" width="19.140625" style="4" customWidth="1"/>
    <col min="9" max="16384" width="11.42578125" style="4"/>
  </cols>
  <sheetData>
    <row r="1" spans="2:8" ht="9" customHeight="1" x14ac:dyDescent="0.2"/>
    <row r="2" spans="2:8" ht="29.25" customHeight="1" x14ac:dyDescent="0.2">
      <c r="B2" s="485" t="s">
        <v>96</v>
      </c>
      <c r="C2" s="485"/>
      <c r="D2" s="485"/>
      <c r="E2" s="485"/>
      <c r="F2" s="485"/>
      <c r="G2" s="485"/>
      <c r="H2" s="485"/>
    </row>
    <row r="3" spans="2:8" x14ac:dyDescent="0.2">
      <c r="B3" s="5"/>
    </row>
    <row r="4" spans="2:8" x14ac:dyDescent="0.2">
      <c r="B4" s="4" t="s">
        <v>82</v>
      </c>
    </row>
    <row r="5" spans="2:8" ht="28.35" customHeight="1" x14ac:dyDescent="0.2">
      <c r="C5" s="291" t="s">
        <v>11</v>
      </c>
      <c r="D5" s="291" t="s">
        <v>12</v>
      </c>
      <c r="E5" s="291" t="s">
        <v>186</v>
      </c>
      <c r="F5" s="291" t="s">
        <v>187</v>
      </c>
      <c r="G5" s="409" t="s">
        <v>203</v>
      </c>
      <c r="H5" s="291" t="s">
        <v>25</v>
      </c>
    </row>
    <row r="6" spans="2:8" x14ac:dyDescent="0.2">
      <c r="B6" s="23">
        <v>2014</v>
      </c>
      <c r="C6" s="32">
        <v>4.3600000000000003</v>
      </c>
      <c r="D6" s="32">
        <v>2.8</v>
      </c>
      <c r="E6" s="32">
        <v>2.52</v>
      </c>
      <c r="F6" s="32">
        <v>3.59</v>
      </c>
      <c r="G6" s="32">
        <v>4.5</v>
      </c>
      <c r="H6" s="32">
        <v>3.77</v>
      </c>
    </row>
    <row r="7" spans="2:8" x14ac:dyDescent="0.2">
      <c r="B7" s="24">
        <v>2015</v>
      </c>
      <c r="C7" s="32">
        <v>4.22</v>
      </c>
      <c r="D7" s="32">
        <v>3</v>
      </c>
      <c r="E7" s="32">
        <v>2.4900000000000002</v>
      </c>
      <c r="F7" s="32">
        <v>3.44</v>
      </c>
      <c r="G7" s="32">
        <v>4.72</v>
      </c>
      <c r="H7" s="32">
        <v>3.77</v>
      </c>
    </row>
    <row r="8" spans="2:8" x14ac:dyDescent="0.2">
      <c r="B8" s="24">
        <v>2016</v>
      </c>
      <c r="C8" s="32">
        <v>4.34</v>
      </c>
      <c r="D8" s="32">
        <v>3.41</v>
      </c>
      <c r="E8" s="32">
        <v>3.17</v>
      </c>
      <c r="F8" s="32">
        <v>3.58</v>
      </c>
      <c r="G8" s="32">
        <v>4.9000000000000004</v>
      </c>
      <c r="H8" s="32">
        <v>4</v>
      </c>
    </row>
    <row r="9" spans="2:8" x14ac:dyDescent="0.2">
      <c r="B9" s="24">
        <v>2017</v>
      </c>
      <c r="C9" s="32">
        <v>4.42</v>
      </c>
      <c r="D9" s="32">
        <v>2.93</v>
      </c>
      <c r="E9" s="32">
        <v>2.7</v>
      </c>
      <c r="F9" s="32">
        <v>3.61</v>
      </c>
      <c r="G9" s="32">
        <v>4.6500000000000004</v>
      </c>
      <c r="H9" s="32">
        <v>3.87</v>
      </c>
    </row>
    <row r="10" spans="2:8" x14ac:dyDescent="0.2">
      <c r="B10" s="24">
        <v>2018</v>
      </c>
      <c r="C10" s="32">
        <v>4.3600000000000003</v>
      </c>
      <c r="D10" s="32">
        <v>2.85</v>
      </c>
      <c r="E10" s="32">
        <v>2.7</v>
      </c>
      <c r="F10" s="32">
        <v>3.51</v>
      </c>
      <c r="G10" s="32">
        <v>4.63</v>
      </c>
      <c r="H10" s="32">
        <v>3.81</v>
      </c>
    </row>
    <row r="11" spans="2:8" x14ac:dyDescent="0.2">
      <c r="B11" s="24">
        <v>2019</v>
      </c>
      <c r="C11" s="32">
        <v>4.54</v>
      </c>
      <c r="D11" s="32">
        <v>2.97</v>
      </c>
      <c r="E11" s="32">
        <v>3.36</v>
      </c>
      <c r="F11" s="32">
        <v>3.59</v>
      </c>
      <c r="G11" s="32">
        <v>4.71</v>
      </c>
      <c r="H11" s="32">
        <v>3.97</v>
      </c>
    </row>
    <row r="12" spans="2:8" x14ac:dyDescent="0.2">
      <c r="B12" s="24">
        <v>2020</v>
      </c>
      <c r="C12" s="32">
        <v>5.12</v>
      </c>
      <c r="D12" s="32">
        <v>3.63</v>
      </c>
      <c r="E12" s="32">
        <v>3.25</v>
      </c>
      <c r="F12" s="32">
        <v>4.37</v>
      </c>
      <c r="G12" s="32">
        <v>5.3</v>
      </c>
      <c r="H12" s="32">
        <v>4.59</v>
      </c>
    </row>
    <row r="13" spans="2:8" ht="5.25" customHeight="1" thickBot="1" x14ac:dyDescent="0.25">
      <c r="B13" s="292"/>
      <c r="C13" s="33"/>
      <c r="D13" s="33"/>
      <c r="E13" s="33"/>
      <c r="F13" s="33"/>
      <c r="G13" s="33"/>
      <c r="H13" s="33"/>
    </row>
    <row r="14" spans="2:8" ht="13.5" thickTop="1" x14ac:dyDescent="0.2">
      <c r="B14" s="24" t="s">
        <v>6</v>
      </c>
      <c r="C14" s="34">
        <v>6.13</v>
      </c>
      <c r="D14" s="34">
        <v>4.2</v>
      </c>
      <c r="E14" s="34">
        <v>3.7</v>
      </c>
      <c r="F14" s="34">
        <v>4.7300000000000004</v>
      </c>
      <c r="G14" s="34">
        <v>6.95</v>
      </c>
      <c r="H14" s="34">
        <v>5.44</v>
      </c>
    </row>
    <row r="15" spans="2:8" x14ac:dyDescent="0.2">
      <c r="B15" s="24" t="s">
        <v>7</v>
      </c>
      <c r="C15" s="34">
        <v>7.55</v>
      </c>
      <c r="D15" s="34">
        <v>4.68</v>
      </c>
      <c r="E15" s="34">
        <v>4.59</v>
      </c>
      <c r="F15" s="34">
        <v>5.63</v>
      </c>
      <c r="G15" s="34">
        <v>8.24</v>
      </c>
      <c r="H15" s="34">
        <v>6.5</v>
      </c>
    </row>
    <row r="16" spans="2:8" x14ac:dyDescent="0.2">
      <c r="B16" s="24" t="s">
        <v>8</v>
      </c>
      <c r="C16" s="34">
        <v>6.05</v>
      </c>
      <c r="D16" s="34">
        <v>3.98</v>
      </c>
      <c r="E16" s="34">
        <v>3.49</v>
      </c>
      <c r="F16" s="34">
        <v>4.34</v>
      </c>
      <c r="G16" s="34">
        <v>6.98</v>
      </c>
      <c r="H16" s="34">
        <v>5.27</v>
      </c>
    </row>
    <row r="17" spans="2:9" x14ac:dyDescent="0.2">
      <c r="B17" s="24" t="s">
        <v>9</v>
      </c>
      <c r="C17" s="34">
        <v>5.65</v>
      </c>
      <c r="D17" s="34">
        <v>3.71</v>
      </c>
      <c r="E17" s="34">
        <v>3.41</v>
      </c>
      <c r="F17" s="34">
        <v>4.0999999999999996</v>
      </c>
      <c r="G17" s="34">
        <v>6.41</v>
      </c>
      <c r="H17" s="34">
        <v>4.9400000000000004</v>
      </c>
    </row>
    <row r="18" spans="2:9" x14ac:dyDescent="0.2">
      <c r="B18" s="25">
        <v>2025</v>
      </c>
      <c r="C18" s="35">
        <v>5.39</v>
      </c>
      <c r="D18" s="35">
        <v>4.0199999999999996</v>
      </c>
      <c r="E18" s="35">
        <v>3.14</v>
      </c>
      <c r="F18" s="35">
        <v>4.13</v>
      </c>
      <c r="G18" s="35">
        <v>6.37</v>
      </c>
      <c r="H18" s="35">
        <v>4.9000000000000004</v>
      </c>
    </row>
    <row r="19" spans="2:9" x14ac:dyDescent="0.2">
      <c r="B19" s="165"/>
      <c r="C19" s="166"/>
      <c r="D19" s="166"/>
      <c r="E19" s="166"/>
      <c r="F19" s="166"/>
      <c r="G19" s="166"/>
      <c r="H19" s="166"/>
    </row>
    <row r="20" spans="2:9" x14ac:dyDescent="0.2">
      <c r="B20" s="440" t="s">
        <v>141</v>
      </c>
      <c r="C20" s="440"/>
      <c r="D20" s="440"/>
      <c r="E20" s="440"/>
      <c r="F20" s="440"/>
      <c r="G20" s="440"/>
      <c r="H20" s="440"/>
      <c r="I20" s="440"/>
    </row>
    <row r="21" spans="2:9" ht="39" customHeight="1" x14ac:dyDescent="0.2">
      <c r="B21" s="438" t="s">
        <v>131</v>
      </c>
      <c r="C21" s="438"/>
      <c r="D21" s="438"/>
      <c r="E21" s="438"/>
      <c r="F21" s="438"/>
      <c r="G21" s="438"/>
      <c r="H21" s="438"/>
      <c r="I21" s="378"/>
    </row>
    <row r="22" spans="2:9" ht="28.15" customHeight="1" x14ac:dyDescent="0.2">
      <c r="B22" s="438" t="s">
        <v>202</v>
      </c>
      <c r="C22" s="438"/>
      <c r="D22" s="438"/>
      <c r="E22" s="438"/>
      <c r="F22" s="438"/>
      <c r="G22" s="438"/>
      <c r="H22" s="438"/>
      <c r="I22" s="378"/>
    </row>
    <row r="23" spans="2:9" ht="27" customHeight="1" x14ac:dyDescent="0.2">
      <c r="B23" s="438" t="s">
        <v>184</v>
      </c>
      <c r="C23" s="438"/>
      <c r="D23" s="438"/>
      <c r="E23" s="438"/>
      <c r="F23" s="438"/>
      <c r="G23" s="438"/>
      <c r="H23" s="438"/>
      <c r="I23" s="21"/>
    </row>
    <row r="24" spans="2:9" ht="27" customHeight="1" x14ac:dyDescent="0.2">
      <c r="B24" s="464" t="s">
        <v>182</v>
      </c>
      <c r="C24" s="464"/>
      <c r="D24" s="464"/>
      <c r="E24" s="464"/>
      <c r="F24" s="464"/>
      <c r="G24" s="464"/>
      <c r="H24" s="464"/>
      <c r="I24" s="378"/>
    </row>
  </sheetData>
  <mergeCells count="6">
    <mergeCell ref="B2:H2"/>
    <mergeCell ref="B20:I20"/>
    <mergeCell ref="B21:H21"/>
    <mergeCell ref="B22:H22"/>
    <mergeCell ref="B24:H24"/>
    <mergeCell ref="B23:H23"/>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96468-4FF2-454A-BD7F-CAEFB16EF592}">
  <dimension ref="B1:P39"/>
  <sheetViews>
    <sheetView zoomScaleNormal="100" workbookViewId="0"/>
  </sheetViews>
  <sheetFormatPr baseColWidth="10" defaultColWidth="11.42578125" defaultRowHeight="14.25" x14ac:dyDescent="0.2"/>
  <cols>
    <col min="1" max="1" width="2.85546875" style="254" customWidth="1"/>
    <col min="2" max="2" width="35" style="254" customWidth="1"/>
    <col min="3" max="9" width="10.42578125" style="254" customWidth="1"/>
    <col min="10" max="10" width="1.140625" style="254" customWidth="1"/>
    <col min="11" max="15" width="10.42578125" style="254" customWidth="1"/>
    <col min="16" max="16384" width="11.42578125" style="254"/>
  </cols>
  <sheetData>
    <row r="1" spans="2:16" ht="11.25" customHeight="1" x14ac:dyDescent="0.2"/>
    <row r="2" spans="2:16" ht="15" x14ac:dyDescent="0.25">
      <c r="B2" s="5" t="s">
        <v>189</v>
      </c>
      <c r="C2" s="293"/>
      <c r="D2" s="293"/>
      <c r="E2" s="293"/>
      <c r="F2" s="293"/>
      <c r="G2" s="293"/>
      <c r="H2" s="293"/>
      <c r="I2" s="293"/>
      <c r="J2" s="293"/>
    </row>
    <row r="3" spans="2:16" ht="15" x14ac:dyDescent="0.25">
      <c r="B3" s="5"/>
      <c r="C3" s="293"/>
      <c r="D3" s="293"/>
      <c r="E3" s="293"/>
      <c r="F3" s="293"/>
      <c r="G3" s="293"/>
      <c r="H3" s="293"/>
      <c r="I3" s="293"/>
      <c r="J3" s="293"/>
    </row>
    <row r="4" spans="2:16" x14ac:dyDescent="0.2">
      <c r="B4" s="4" t="s">
        <v>150</v>
      </c>
    </row>
    <row r="5" spans="2:16" x14ac:dyDescent="0.2">
      <c r="B5" s="4"/>
      <c r="C5" s="27">
        <v>2014</v>
      </c>
      <c r="D5" s="27">
        <v>2015</v>
      </c>
      <c r="E5" s="27">
        <v>2016</v>
      </c>
      <c r="F5" s="27">
        <v>2017</v>
      </c>
      <c r="G5" s="27">
        <v>2018</v>
      </c>
      <c r="H5" s="27">
        <v>2019</v>
      </c>
      <c r="I5" s="294">
        <v>2020</v>
      </c>
      <c r="J5" s="295"/>
      <c r="K5" s="296" t="s">
        <v>6</v>
      </c>
      <c r="L5" s="27" t="s">
        <v>7</v>
      </c>
      <c r="M5" s="27" t="s">
        <v>8</v>
      </c>
      <c r="N5" s="27" t="s">
        <v>9</v>
      </c>
      <c r="O5" s="297" t="s">
        <v>149</v>
      </c>
    </row>
    <row r="6" spans="2:16" x14ac:dyDescent="0.2">
      <c r="B6" s="28" t="s">
        <v>0</v>
      </c>
      <c r="C6" s="298">
        <v>6.32</v>
      </c>
      <c r="D6" s="298">
        <v>6.27</v>
      </c>
      <c r="E6" s="298">
        <v>6.38</v>
      </c>
      <c r="F6" s="298">
        <v>6.91</v>
      </c>
      <c r="G6" s="298">
        <v>5.92</v>
      </c>
      <c r="H6" s="298">
        <v>6.7</v>
      </c>
      <c r="I6" s="299">
        <v>6.59</v>
      </c>
      <c r="J6" s="300"/>
      <c r="K6" s="301">
        <v>9.6121999999999996</v>
      </c>
      <c r="L6" s="302">
        <v>10.034800000000001</v>
      </c>
      <c r="M6" s="302">
        <v>8.1763999999999992</v>
      </c>
      <c r="N6" s="303">
        <v>8.5397999999999996</v>
      </c>
      <c r="O6" s="303">
        <v>8.9565000000000001</v>
      </c>
      <c r="P6" s="304"/>
    </row>
    <row r="7" spans="2:16" x14ac:dyDescent="0.2">
      <c r="B7" s="29" t="s">
        <v>142</v>
      </c>
      <c r="C7" s="298">
        <v>5.9</v>
      </c>
      <c r="D7" s="298">
        <v>6.32</v>
      </c>
      <c r="E7" s="298">
        <v>6.2</v>
      </c>
      <c r="F7" s="298">
        <v>4.71</v>
      </c>
      <c r="G7" s="298">
        <v>5.23</v>
      </c>
      <c r="H7" s="298">
        <v>5.41</v>
      </c>
      <c r="I7" s="299">
        <v>6.95</v>
      </c>
      <c r="J7" s="300"/>
      <c r="K7" s="301">
        <v>7.8792999999999997</v>
      </c>
      <c r="L7" s="302">
        <v>11.7257</v>
      </c>
      <c r="M7" s="302">
        <v>9.3971999999999998</v>
      </c>
      <c r="N7" s="303">
        <v>8.2035999999999998</v>
      </c>
      <c r="O7" s="303">
        <v>8.1469000000000005</v>
      </c>
      <c r="P7" s="304"/>
    </row>
    <row r="8" spans="2:16" x14ac:dyDescent="0.2">
      <c r="B8" s="29" t="s">
        <v>1</v>
      </c>
      <c r="C8" s="298">
        <v>9.56</v>
      </c>
      <c r="D8" s="298">
        <v>10.220000000000001</v>
      </c>
      <c r="E8" s="298">
        <v>11.17</v>
      </c>
      <c r="F8" s="298">
        <v>10.59</v>
      </c>
      <c r="G8" s="298">
        <v>10.79</v>
      </c>
      <c r="H8" s="298">
        <v>11.38</v>
      </c>
      <c r="I8" s="299">
        <v>13.82</v>
      </c>
      <c r="J8" s="300"/>
      <c r="K8" s="301">
        <v>15.191599999999999</v>
      </c>
      <c r="L8" s="302">
        <v>17.489000000000001</v>
      </c>
      <c r="M8" s="302">
        <v>14.9383</v>
      </c>
      <c r="N8" s="303">
        <v>13.3157</v>
      </c>
      <c r="O8" s="303">
        <v>12.665800000000001</v>
      </c>
      <c r="P8" s="304"/>
    </row>
    <row r="9" spans="2:16" x14ac:dyDescent="0.2">
      <c r="B9" s="29" t="s">
        <v>2</v>
      </c>
      <c r="C9" s="298">
        <v>9.9499999999999993</v>
      </c>
      <c r="D9" s="298">
        <v>9.83</v>
      </c>
      <c r="E9" s="298">
        <v>10.74</v>
      </c>
      <c r="F9" s="298">
        <v>10.48</v>
      </c>
      <c r="G9" s="298">
        <v>11.15</v>
      </c>
      <c r="H9" s="298">
        <v>10.57</v>
      </c>
      <c r="I9" s="299">
        <v>13.63</v>
      </c>
      <c r="J9" s="300"/>
      <c r="K9" s="301">
        <v>15.6599</v>
      </c>
      <c r="L9" s="302">
        <v>18.097000000000001</v>
      </c>
      <c r="M9" s="302">
        <v>14.2622</v>
      </c>
      <c r="N9" s="303">
        <v>12.951700000000001</v>
      </c>
      <c r="O9" s="303">
        <v>14.2821</v>
      </c>
      <c r="P9" s="304"/>
    </row>
    <row r="10" spans="2:16" x14ac:dyDescent="0.2">
      <c r="B10" s="30" t="s">
        <v>25</v>
      </c>
      <c r="C10" s="305">
        <v>8.1</v>
      </c>
      <c r="D10" s="305">
        <v>8.34</v>
      </c>
      <c r="E10" s="305">
        <v>8.83</v>
      </c>
      <c r="F10" s="305">
        <v>8.4700000000000006</v>
      </c>
      <c r="G10" s="305">
        <v>8.51</v>
      </c>
      <c r="H10" s="305">
        <v>8.83</v>
      </c>
      <c r="I10" s="306">
        <v>10.49</v>
      </c>
      <c r="J10" s="307"/>
      <c r="K10" s="308">
        <v>12.3096</v>
      </c>
      <c r="L10" s="309">
        <v>14.5008</v>
      </c>
      <c r="M10" s="309">
        <v>11.921799999999999</v>
      </c>
      <c r="N10" s="310">
        <v>10.969799999999999</v>
      </c>
      <c r="O10" s="310">
        <v>11.0451</v>
      </c>
      <c r="P10" s="304"/>
    </row>
    <row r="11" spans="2:16" x14ac:dyDescent="0.2">
      <c r="B11" s="31" t="s">
        <v>46</v>
      </c>
      <c r="C11" s="311">
        <v>8.31</v>
      </c>
      <c r="D11" s="311">
        <v>8.18</v>
      </c>
      <c r="E11" s="311">
        <v>8.3800000000000008</v>
      </c>
      <c r="F11" s="311">
        <v>8.35</v>
      </c>
      <c r="G11" s="311">
        <v>8.68</v>
      </c>
      <c r="H11" s="311">
        <v>8.44</v>
      </c>
      <c r="I11" s="312">
        <v>10.18</v>
      </c>
      <c r="J11" s="313"/>
      <c r="K11" s="314">
        <v>11.3803</v>
      </c>
      <c r="L11" s="315">
        <v>11.667999999999999</v>
      </c>
      <c r="M11" s="315">
        <v>10.3002</v>
      </c>
      <c r="N11" s="315">
        <v>10.5741</v>
      </c>
      <c r="O11" s="316">
        <v>10.592499999999999</v>
      </c>
      <c r="P11" s="304"/>
    </row>
    <row r="12" spans="2:16" x14ac:dyDescent="0.2">
      <c r="B12" s="40"/>
      <c r="C12" s="386"/>
      <c r="D12" s="386"/>
      <c r="E12" s="386"/>
      <c r="F12" s="386"/>
      <c r="G12" s="386"/>
      <c r="H12" s="386"/>
      <c r="I12" s="386"/>
      <c r="J12" s="386"/>
      <c r="K12" s="387"/>
      <c r="L12" s="387"/>
      <c r="M12" s="387"/>
      <c r="N12" s="387"/>
      <c r="O12" s="388"/>
      <c r="P12" s="304"/>
    </row>
    <row r="13" spans="2:16" x14ac:dyDescent="0.2">
      <c r="B13" s="494" t="s">
        <v>141</v>
      </c>
      <c r="C13" s="494"/>
      <c r="D13" s="494"/>
      <c r="E13" s="494"/>
      <c r="F13" s="494"/>
      <c r="G13" s="494"/>
      <c r="H13" s="494"/>
      <c r="I13" s="494"/>
      <c r="J13" s="232"/>
      <c r="K13" s="270"/>
      <c r="L13" s="270"/>
      <c r="M13" s="270"/>
      <c r="N13" s="317"/>
      <c r="O13" s="317"/>
    </row>
    <row r="14" spans="2:16" ht="24" customHeight="1" x14ac:dyDescent="0.2">
      <c r="B14" s="495" t="s">
        <v>148</v>
      </c>
      <c r="C14" s="495"/>
      <c r="D14" s="495"/>
      <c r="E14" s="495"/>
      <c r="F14" s="495"/>
      <c r="G14" s="495"/>
      <c r="H14" s="495"/>
      <c r="I14" s="495"/>
      <c r="J14" s="495"/>
      <c r="K14" s="495"/>
      <c r="L14" s="495"/>
      <c r="M14" s="495"/>
      <c r="N14" s="495"/>
      <c r="O14" s="495"/>
    </row>
    <row r="15" spans="2:16" x14ac:dyDescent="0.2">
      <c r="B15" s="183" t="s">
        <v>202</v>
      </c>
      <c r="C15" s="183"/>
      <c r="D15" s="183"/>
      <c r="E15" s="183"/>
      <c r="F15" s="183"/>
      <c r="G15" s="183"/>
      <c r="H15" s="183"/>
      <c r="I15" s="183"/>
      <c r="J15" s="183"/>
      <c r="K15" s="183"/>
      <c r="L15" s="183"/>
      <c r="M15" s="183"/>
      <c r="N15" s="317"/>
      <c r="O15" s="317"/>
    </row>
    <row r="16" spans="2:16" x14ac:dyDescent="0.2">
      <c r="B16" s="229" t="s">
        <v>184</v>
      </c>
      <c r="C16" s="229"/>
      <c r="D16" s="229"/>
      <c r="E16" s="229"/>
      <c r="F16" s="229"/>
      <c r="G16" s="229"/>
      <c r="H16" s="229"/>
      <c r="I16" s="229"/>
      <c r="J16" s="229"/>
      <c r="K16" s="270"/>
      <c r="L16" s="270"/>
      <c r="M16" s="271"/>
      <c r="N16" s="317"/>
      <c r="O16" s="317"/>
    </row>
    <row r="17" spans="2:15" x14ac:dyDescent="0.2">
      <c r="B17" s="318" t="s">
        <v>213</v>
      </c>
      <c r="C17" s="233"/>
      <c r="D17" s="233"/>
      <c r="E17" s="233"/>
      <c r="F17" s="233"/>
      <c r="G17" s="233"/>
      <c r="H17" s="233"/>
      <c r="I17" s="233"/>
      <c r="J17" s="233"/>
      <c r="K17" s="270"/>
      <c r="L17" s="304"/>
      <c r="M17" s="304"/>
      <c r="N17" s="304"/>
      <c r="O17" s="304"/>
    </row>
    <row r="18" spans="2:15" x14ac:dyDescent="0.2">
      <c r="B18" s="183"/>
      <c r="C18" s="233"/>
      <c r="D18" s="233"/>
      <c r="E18" s="233"/>
      <c r="F18" s="233"/>
      <c r="G18" s="233"/>
      <c r="H18" s="233"/>
      <c r="I18" s="233"/>
      <c r="J18" s="233"/>
      <c r="K18" s="270"/>
      <c r="L18" s="270"/>
      <c r="M18" s="271"/>
    </row>
    <row r="19" spans="2:15" x14ac:dyDescent="0.2">
      <c r="N19" s="317"/>
      <c r="O19" s="317"/>
    </row>
    <row r="21" spans="2:15" ht="15" x14ac:dyDescent="0.25">
      <c r="M21" s="319"/>
    </row>
    <row r="22" spans="2:15" ht="15" x14ac:dyDescent="0.25">
      <c r="M22" s="320"/>
    </row>
    <row r="23" spans="2:15" x14ac:dyDescent="0.2">
      <c r="M23" s="321"/>
    </row>
    <row r="39" spans="9:9" x14ac:dyDescent="0.2">
      <c r="I39" s="412"/>
    </row>
  </sheetData>
  <mergeCells count="2">
    <mergeCell ref="B13:I13"/>
    <mergeCell ref="B14:O14"/>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9433-27D7-4338-B63C-A57EB8E514BB}">
  <dimension ref="B1:I19"/>
  <sheetViews>
    <sheetView zoomScaleNormal="100" workbookViewId="0"/>
  </sheetViews>
  <sheetFormatPr baseColWidth="10" defaultColWidth="11.42578125" defaultRowHeight="14.25" x14ac:dyDescent="0.2"/>
  <cols>
    <col min="1" max="1" width="3.42578125" style="254" customWidth="1"/>
    <col min="2" max="2" width="28.85546875" style="4" customWidth="1"/>
    <col min="3" max="8" width="12.42578125" style="4" customWidth="1"/>
    <col min="9" max="16384" width="11.42578125" style="254"/>
  </cols>
  <sheetData>
    <row r="1" spans="2:9" ht="12.75" customHeight="1" x14ac:dyDescent="0.2"/>
    <row r="2" spans="2:9" x14ac:dyDescent="0.2">
      <c r="B2" s="22" t="s">
        <v>117</v>
      </c>
    </row>
    <row r="3" spans="2:9" x14ac:dyDescent="0.2">
      <c r="B3" s="22"/>
    </row>
    <row r="4" spans="2:9" x14ac:dyDescent="0.2">
      <c r="B4" s="4" t="s">
        <v>150</v>
      </c>
      <c r="C4" s="253"/>
    </row>
    <row r="5" spans="2:9" ht="42.6" customHeight="1" x14ac:dyDescent="0.2">
      <c r="B5" s="322"/>
      <c r="C5" s="323" t="s">
        <v>0</v>
      </c>
      <c r="D5" s="323" t="s">
        <v>142</v>
      </c>
      <c r="E5" s="323" t="s">
        <v>1</v>
      </c>
      <c r="F5" s="323" t="s">
        <v>2</v>
      </c>
      <c r="G5" s="324" t="s">
        <v>25</v>
      </c>
      <c r="H5" s="323" t="s">
        <v>78</v>
      </c>
    </row>
    <row r="6" spans="2:9" x14ac:dyDescent="0.2">
      <c r="B6" s="325" t="s">
        <v>28</v>
      </c>
      <c r="C6" s="326"/>
      <c r="D6" s="326"/>
      <c r="E6" s="326"/>
      <c r="F6" s="326"/>
      <c r="G6" s="327"/>
      <c r="H6" s="326"/>
    </row>
    <row r="7" spans="2:9" x14ac:dyDescent="0.2">
      <c r="B7" s="328" t="s">
        <v>11</v>
      </c>
      <c r="C7" s="329">
        <v>10.5243</v>
      </c>
      <c r="D7" s="329">
        <v>8.5952999999999999</v>
      </c>
      <c r="E7" s="329">
        <v>13.3063</v>
      </c>
      <c r="F7" s="329">
        <v>14.8466</v>
      </c>
      <c r="G7" s="330">
        <v>12.0305</v>
      </c>
      <c r="H7" s="329">
        <v>12.0589</v>
      </c>
      <c r="I7" s="331"/>
    </row>
    <row r="8" spans="2:9" x14ac:dyDescent="0.2">
      <c r="B8" s="328" t="s">
        <v>12</v>
      </c>
      <c r="C8" s="329">
        <v>7.2079000000000004</v>
      </c>
      <c r="D8" s="329">
        <v>7.1822999999999997</v>
      </c>
      <c r="E8" s="329">
        <v>11.6227</v>
      </c>
      <c r="F8" s="389">
        <v>12.126200000000001</v>
      </c>
      <c r="G8" s="330">
        <v>9.2914999999999992</v>
      </c>
      <c r="H8" s="329">
        <v>9.3280999999999992</v>
      </c>
      <c r="I8" s="331"/>
    </row>
    <row r="9" spans="2:9" x14ac:dyDescent="0.2">
      <c r="B9" s="332" t="s">
        <v>41</v>
      </c>
      <c r="C9" s="26"/>
      <c r="D9" s="26"/>
      <c r="E9" s="26"/>
      <c r="F9" s="26"/>
      <c r="G9" s="333"/>
      <c r="H9" s="26"/>
    </row>
    <row r="10" spans="2:9" x14ac:dyDescent="0.2">
      <c r="B10" s="328" t="s">
        <v>22</v>
      </c>
      <c r="C10" s="329">
        <v>6.7961999999999998</v>
      </c>
      <c r="D10" s="329">
        <v>10.7737</v>
      </c>
      <c r="E10" s="329">
        <v>3.4809999999999999</v>
      </c>
      <c r="F10" s="329">
        <v>6.8266999999999998</v>
      </c>
      <c r="G10" s="330">
        <v>6.4467999999999996</v>
      </c>
      <c r="H10" s="329">
        <v>8.1249000000000002</v>
      </c>
      <c r="I10" s="331"/>
    </row>
    <row r="11" spans="2:9" x14ac:dyDescent="0.2">
      <c r="B11" s="328" t="s">
        <v>80</v>
      </c>
      <c r="C11" s="329">
        <v>8.6201000000000008</v>
      </c>
      <c r="D11" s="329">
        <v>5.7042000000000002</v>
      </c>
      <c r="E11" s="329">
        <v>8.7902000000000005</v>
      </c>
      <c r="F11" s="329">
        <v>13.281599999999999</v>
      </c>
      <c r="G11" s="330">
        <v>8.9870999999999999</v>
      </c>
      <c r="H11" s="329">
        <v>9.6522000000000006</v>
      </c>
      <c r="I11" s="331"/>
    </row>
    <row r="12" spans="2:9" x14ac:dyDescent="0.2">
      <c r="B12" s="351" t="s">
        <v>92</v>
      </c>
      <c r="C12" s="334">
        <v>10.404199999999999</v>
      </c>
      <c r="D12" s="334">
        <v>10.773899999999999</v>
      </c>
      <c r="E12" s="334">
        <v>18.295300000000001</v>
      </c>
      <c r="F12" s="334">
        <v>19.2774</v>
      </c>
      <c r="G12" s="335">
        <v>14.9322</v>
      </c>
      <c r="H12" s="334">
        <v>13.3994</v>
      </c>
      <c r="I12" s="331"/>
    </row>
    <row r="13" spans="2:9" x14ac:dyDescent="0.2">
      <c r="B13" s="336" t="s">
        <v>145</v>
      </c>
      <c r="C13" s="337">
        <v>8.9565000000000001</v>
      </c>
      <c r="D13" s="337">
        <v>8.1469000000000005</v>
      </c>
      <c r="E13" s="337">
        <v>12.665800000000001</v>
      </c>
      <c r="F13" s="337">
        <v>14.2821</v>
      </c>
      <c r="G13" s="338">
        <v>11.0451</v>
      </c>
      <c r="H13" s="339">
        <v>10.592499999999999</v>
      </c>
      <c r="I13" s="331"/>
    </row>
    <row r="14" spans="2:9" ht="27" customHeight="1" x14ac:dyDescent="0.2">
      <c r="B14" s="497" t="s">
        <v>151</v>
      </c>
      <c r="C14" s="497"/>
      <c r="D14" s="497"/>
      <c r="E14" s="497"/>
      <c r="F14" s="497"/>
      <c r="G14" s="497"/>
      <c r="H14" s="497"/>
    </row>
    <row r="15" spans="2:9" ht="40.5" customHeight="1" x14ac:dyDescent="0.2">
      <c r="B15" s="498" t="s">
        <v>135</v>
      </c>
      <c r="C15" s="498"/>
      <c r="D15" s="498"/>
      <c r="E15" s="498"/>
      <c r="F15" s="498"/>
      <c r="G15" s="498"/>
      <c r="H15" s="498"/>
    </row>
    <row r="16" spans="2:9" ht="15" customHeight="1" x14ac:dyDescent="0.2">
      <c r="B16" s="229" t="s">
        <v>143</v>
      </c>
      <c r="C16" s="229"/>
      <c r="D16" s="229"/>
      <c r="E16" s="229"/>
      <c r="F16" s="229"/>
      <c r="G16" s="229"/>
      <c r="H16" s="229"/>
    </row>
    <row r="17" spans="2:8" ht="24.75" customHeight="1" x14ac:dyDescent="0.2">
      <c r="B17" s="496" t="s">
        <v>214</v>
      </c>
      <c r="C17" s="496"/>
      <c r="D17" s="496"/>
      <c r="E17" s="496"/>
      <c r="F17" s="496"/>
      <c r="G17" s="496"/>
      <c r="H17" s="496"/>
    </row>
    <row r="19" spans="2:8" x14ac:dyDescent="0.2">
      <c r="C19" s="352"/>
    </row>
  </sheetData>
  <mergeCells count="3">
    <mergeCell ref="B17:H17"/>
    <mergeCell ref="B14:H14"/>
    <mergeCell ref="B15:H15"/>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39E88-E5B0-4687-BE5F-2E0A743A9396}">
  <dimension ref="B1:O27"/>
  <sheetViews>
    <sheetView zoomScaleNormal="100" workbookViewId="0"/>
  </sheetViews>
  <sheetFormatPr baseColWidth="10" defaultColWidth="11.42578125" defaultRowHeight="14.25" x14ac:dyDescent="0.2"/>
  <cols>
    <col min="1" max="1" width="2.5703125" style="254" customWidth="1"/>
    <col min="2" max="4" width="11.42578125" style="254"/>
    <col min="5" max="5" width="13.42578125" style="254" customWidth="1"/>
    <col min="6" max="6" width="13.85546875" style="254" customWidth="1"/>
    <col min="7" max="16384" width="11.42578125" style="254"/>
  </cols>
  <sheetData>
    <row r="1" spans="2:15" ht="9.75" customHeight="1" x14ac:dyDescent="0.2"/>
    <row r="2" spans="2:15" x14ac:dyDescent="0.2">
      <c r="B2" s="5" t="s">
        <v>97</v>
      </c>
      <c r="C2" s="4"/>
      <c r="D2" s="4"/>
      <c r="E2" s="4"/>
      <c r="F2" s="4"/>
      <c r="G2" s="4"/>
      <c r="H2" s="4"/>
      <c r="I2" s="4"/>
    </row>
    <row r="3" spans="2:15" x14ac:dyDescent="0.2">
      <c r="B3" s="5"/>
      <c r="C3" s="4"/>
      <c r="D3" s="4"/>
      <c r="E3" s="4"/>
      <c r="F3" s="4"/>
      <c r="G3" s="4"/>
      <c r="H3" s="4"/>
      <c r="I3" s="4"/>
    </row>
    <row r="4" spans="2:15" x14ac:dyDescent="0.2">
      <c r="B4" s="4" t="s">
        <v>150</v>
      </c>
      <c r="C4" s="4"/>
      <c r="D4" s="4"/>
      <c r="E4" s="4"/>
      <c r="F4" s="4"/>
      <c r="G4" s="4"/>
      <c r="H4" s="4"/>
      <c r="I4" s="4"/>
    </row>
    <row r="5" spans="2:15" ht="38.25" x14ac:dyDescent="0.2">
      <c r="B5" s="4"/>
      <c r="C5" s="231" t="s">
        <v>11</v>
      </c>
      <c r="D5" s="231" t="s">
        <v>12</v>
      </c>
      <c r="E5" s="231" t="s">
        <v>186</v>
      </c>
      <c r="F5" s="231" t="s">
        <v>80</v>
      </c>
      <c r="G5" s="231" t="s">
        <v>92</v>
      </c>
      <c r="H5" s="231" t="s">
        <v>25</v>
      </c>
      <c r="I5" s="4"/>
    </row>
    <row r="6" spans="2:15" x14ac:dyDescent="0.2">
      <c r="B6" s="23">
        <v>2014</v>
      </c>
      <c r="C6" s="340">
        <v>9.3000000000000007</v>
      </c>
      <c r="D6" s="340">
        <v>6.14</v>
      </c>
      <c r="E6" s="340">
        <v>5</v>
      </c>
      <c r="F6" s="340">
        <v>7.51</v>
      </c>
      <c r="G6" s="340">
        <v>10.17</v>
      </c>
      <c r="H6" s="340">
        <v>8.1</v>
      </c>
      <c r="I6" s="4"/>
    </row>
    <row r="7" spans="2:15" x14ac:dyDescent="0.2">
      <c r="B7" s="24">
        <v>2015</v>
      </c>
      <c r="C7" s="340">
        <v>9.2200000000000006</v>
      </c>
      <c r="D7" s="340">
        <v>6.82</v>
      </c>
      <c r="E7" s="340">
        <v>5.16</v>
      </c>
      <c r="F7" s="340">
        <v>7.38</v>
      </c>
      <c r="G7" s="340">
        <v>10.93</v>
      </c>
      <c r="H7" s="340">
        <v>8.34</v>
      </c>
      <c r="I7" s="4"/>
    </row>
    <row r="8" spans="2:15" x14ac:dyDescent="0.2">
      <c r="B8" s="24">
        <v>2016</v>
      </c>
      <c r="C8" s="340">
        <v>9.51</v>
      </c>
      <c r="D8" s="340">
        <v>7.66</v>
      </c>
      <c r="E8" s="340">
        <v>6.46</v>
      </c>
      <c r="F8" s="340">
        <v>7.63</v>
      </c>
      <c r="G8" s="340">
        <v>11.41</v>
      </c>
      <c r="H8" s="340">
        <v>8.83</v>
      </c>
      <c r="I8" s="4"/>
    </row>
    <row r="9" spans="2:15" x14ac:dyDescent="0.2">
      <c r="B9" s="24">
        <v>2017</v>
      </c>
      <c r="C9" s="340">
        <v>9.5</v>
      </c>
      <c r="D9" s="340">
        <v>6.68</v>
      </c>
      <c r="E9" s="340">
        <v>4.92</v>
      </c>
      <c r="F9" s="340">
        <v>7.72</v>
      </c>
      <c r="G9" s="340">
        <v>10.72</v>
      </c>
      <c r="H9" s="340">
        <v>8.4700000000000006</v>
      </c>
      <c r="I9" s="4"/>
    </row>
    <row r="10" spans="2:15" x14ac:dyDescent="0.2">
      <c r="B10" s="24">
        <v>2018</v>
      </c>
      <c r="C10" s="340">
        <v>9.73</v>
      </c>
      <c r="D10" s="340">
        <v>6.38</v>
      </c>
      <c r="E10" s="340">
        <v>5.39</v>
      </c>
      <c r="F10" s="340">
        <v>7.64</v>
      </c>
      <c r="G10" s="340">
        <v>10.82</v>
      </c>
      <c r="H10" s="340">
        <v>8.51</v>
      </c>
      <c r="I10" s="4"/>
    </row>
    <row r="11" spans="2:15" x14ac:dyDescent="0.2">
      <c r="B11" s="24">
        <v>2019</v>
      </c>
      <c r="C11" s="340">
        <v>10.029999999999999</v>
      </c>
      <c r="D11" s="340">
        <v>6.71</v>
      </c>
      <c r="E11" s="340">
        <v>6.47</v>
      </c>
      <c r="F11" s="340">
        <v>7.76</v>
      </c>
      <c r="G11" s="340">
        <v>11.1</v>
      </c>
      <c r="H11" s="340">
        <v>8.83</v>
      </c>
      <c r="I11" s="4"/>
    </row>
    <row r="12" spans="2:15" ht="15" thickBot="1" x14ac:dyDescent="0.25">
      <c r="B12" s="292">
        <v>2020</v>
      </c>
      <c r="C12" s="341">
        <v>11.46</v>
      </c>
      <c r="D12" s="341">
        <v>8.69</v>
      </c>
      <c r="E12" s="341">
        <v>6.89</v>
      </c>
      <c r="F12" s="341">
        <v>9.82</v>
      </c>
      <c r="G12" s="341">
        <v>12.49</v>
      </c>
      <c r="H12" s="341">
        <v>10.49</v>
      </c>
      <c r="I12" s="4"/>
    </row>
    <row r="13" spans="2:15" ht="0.75" customHeight="1" thickTop="1" x14ac:dyDescent="0.2">
      <c r="B13" s="24"/>
      <c r="C13" s="340"/>
      <c r="D13" s="340"/>
      <c r="E13" s="340"/>
      <c r="F13" s="340"/>
      <c r="G13" s="340"/>
      <c r="H13" s="340"/>
      <c r="I13" s="4"/>
    </row>
    <row r="14" spans="2:15" x14ac:dyDescent="0.2">
      <c r="B14" s="24" t="s">
        <v>6</v>
      </c>
      <c r="C14" s="303">
        <v>13.6335</v>
      </c>
      <c r="D14" s="303">
        <v>9.9181000000000008</v>
      </c>
      <c r="E14" s="303">
        <v>7.3460000000000001</v>
      </c>
      <c r="F14" s="303">
        <v>10.496700000000001</v>
      </c>
      <c r="G14" s="303">
        <v>16.333500000000001</v>
      </c>
      <c r="H14" s="303">
        <v>12.3096</v>
      </c>
      <c r="I14" s="4"/>
    </row>
    <row r="15" spans="2:15" x14ac:dyDescent="0.2">
      <c r="B15" s="24" t="s">
        <v>7</v>
      </c>
      <c r="C15" s="303">
        <v>16.705100000000002</v>
      </c>
      <c r="D15" s="303">
        <v>10.687200000000001</v>
      </c>
      <c r="E15" s="303">
        <v>9.1783999999999999</v>
      </c>
      <c r="F15" s="303">
        <v>12.3164</v>
      </c>
      <c r="G15" s="303">
        <v>19.063300000000002</v>
      </c>
      <c r="H15" s="303">
        <v>14.5008</v>
      </c>
      <c r="I15" s="342"/>
    </row>
    <row r="16" spans="2:15" x14ac:dyDescent="0.2">
      <c r="B16" s="24" t="s">
        <v>8</v>
      </c>
      <c r="C16" s="303">
        <v>13.436</v>
      </c>
      <c r="D16" s="303">
        <v>9.3856999999999999</v>
      </c>
      <c r="E16" s="303">
        <v>7.1627000000000001</v>
      </c>
      <c r="F16" s="303">
        <v>9.4928000000000008</v>
      </c>
      <c r="G16" s="303">
        <v>16.407</v>
      </c>
      <c r="H16" s="303">
        <v>11.921799999999999</v>
      </c>
      <c r="I16" s="4"/>
      <c r="O16" s="317"/>
    </row>
    <row r="17" spans="2:11" x14ac:dyDescent="0.2">
      <c r="B17" s="24" t="s">
        <v>9</v>
      </c>
      <c r="C17" s="303">
        <v>12.351000000000001</v>
      </c>
      <c r="D17" s="303">
        <v>8.5632999999999999</v>
      </c>
      <c r="E17" s="303">
        <v>6.2072000000000003</v>
      </c>
      <c r="F17" s="303">
        <v>8.8985000000000003</v>
      </c>
      <c r="G17" s="303">
        <v>14.8653</v>
      </c>
      <c r="H17" s="303">
        <v>10.969799999999999</v>
      </c>
      <c r="I17" s="4"/>
      <c r="J17" s="304"/>
      <c r="K17" s="304"/>
    </row>
    <row r="18" spans="2:11" x14ac:dyDescent="0.2">
      <c r="B18" s="25">
        <v>2025</v>
      </c>
      <c r="C18" s="343">
        <v>12.0305</v>
      </c>
      <c r="D18" s="343">
        <v>9.2914999999999992</v>
      </c>
      <c r="E18" s="343">
        <v>6.4467999999999996</v>
      </c>
      <c r="F18" s="343">
        <v>8.9870999999999999</v>
      </c>
      <c r="G18" s="343">
        <v>14.9322</v>
      </c>
      <c r="H18" s="343">
        <v>11.0451</v>
      </c>
      <c r="I18" s="83"/>
      <c r="J18" s="304"/>
    </row>
    <row r="19" spans="2:11" x14ac:dyDescent="0.2">
      <c r="B19" s="165"/>
      <c r="C19" s="388"/>
      <c r="D19" s="388"/>
      <c r="E19" s="388"/>
      <c r="F19" s="388"/>
      <c r="G19" s="388"/>
      <c r="H19" s="388"/>
      <c r="I19" s="83"/>
      <c r="J19" s="304"/>
    </row>
    <row r="20" spans="2:11" x14ac:dyDescent="0.2">
      <c r="B20" s="494" t="s">
        <v>141</v>
      </c>
      <c r="C20" s="494"/>
      <c r="D20" s="494"/>
      <c r="E20" s="494"/>
      <c r="F20" s="494"/>
      <c r="G20" s="494"/>
      <c r="H20" s="494"/>
      <c r="I20" s="233"/>
    </row>
    <row r="21" spans="2:11" ht="39" customHeight="1" x14ac:dyDescent="0.2">
      <c r="B21" s="499" t="s">
        <v>131</v>
      </c>
      <c r="C21" s="499"/>
      <c r="D21" s="499"/>
      <c r="E21" s="499"/>
      <c r="F21" s="499"/>
      <c r="G21" s="499"/>
      <c r="H21" s="499"/>
      <c r="I21" s="499"/>
    </row>
    <row r="22" spans="2:11" ht="22.5" customHeight="1" x14ac:dyDescent="0.2">
      <c r="B22" s="501" t="s">
        <v>202</v>
      </c>
      <c r="C22" s="501"/>
      <c r="D22" s="501"/>
      <c r="E22" s="501"/>
      <c r="F22" s="501"/>
      <c r="G22" s="501"/>
      <c r="H22" s="501"/>
      <c r="I22" s="501"/>
    </row>
    <row r="23" spans="2:11" ht="25.5" customHeight="1" x14ac:dyDescent="0.2">
      <c r="B23" s="495" t="s">
        <v>184</v>
      </c>
      <c r="C23" s="495"/>
      <c r="D23" s="495"/>
      <c r="E23" s="495"/>
      <c r="F23" s="495"/>
      <c r="G23" s="495"/>
      <c r="H23" s="495"/>
      <c r="I23" s="495"/>
    </row>
    <row r="24" spans="2:11" ht="28.15" customHeight="1" x14ac:dyDescent="0.2">
      <c r="B24" s="500" t="s">
        <v>188</v>
      </c>
      <c r="C24" s="500"/>
      <c r="D24" s="500"/>
      <c r="E24" s="500"/>
      <c r="F24" s="500"/>
      <c r="G24" s="500"/>
      <c r="H24" s="500"/>
      <c r="I24" s="270"/>
    </row>
    <row r="26" spans="2:11" x14ac:dyDescent="0.2">
      <c r="C26" s="317"/>
    </row>
    <row r="27" spans="2:11" x14ac:dyDescent="0.2">
      <c r="C27" s="344"/>
    </row>
  </sheetData>
  <mergeCells count="5">
    <mergeCell ref="B20:H20"/>
    <mergeCell ref="B21:I21"/>
    <mergeCell ref="B24:H24"/>
    <mergeCell ref="B22:I22"/>
    <mergeCell ref="B23:I2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Sommaire</vt:lpstr>
      <vt:lpstr>Figure 1</vt:lpstr>
      <vt:lpstr>Figure 2</vt:lpstr>
      <vt:lpstr>Figure 3</vt:lpstr>
      <vt:lpstr>Figure 4</vt:lpstr>
      <vt:lpstr>Figure 5</vt:lpstr>
      <vt:lpstr>Figure 6</vt:lpstr>
      <vt:lpstr>Figure 7</vt:lpstr>
      <vt:lpstr>Figure 8</vt:lpstr>
      <vt:lpstr>Figure 9</vt:lpstr>
      <vt:lpstr>Figure 10</vt:lpstr>
      <vt:lpstr>Figure 11</vt:lpstr>
      <vt:lpstr>Figure 12</vt:lpstr>
      <vt:lpstr>Figure 13</vt:lpstr>
      <vt:lpstr>Figure 14</vt:lpstr>
      <vt:lpstr>Figure 15</vt:lpstr>
      <vt:lpstr>Figure 16</vt:lpstr>
      <vt:lpstr>Figure 17</vt:lpstr>
      <vt:lpstr>Figure 18</vt:lpstr>
      <vt:lpstr>Figure 19</vt:lpstr>
      <vt:lpstr>Figure 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csterchele-adc</dc:creator>
  <cp:lastModifiedBy>CASTAING Elisabeth</cp:lastModifiedBy>
  <dcterms:created xsi:type="dcterms:W3CDTF">2025-03-24T15:48:47Z</dcterms:created>
  <dcterms:modified xsi:type="dcterms:W3CDTF">2026-10-06T12:54:39Z</dcterms:modified>
</cp:coreProperties>
</file>