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SIL\Doe\PublicationsWeb\IP 2026\IP2094 Emploi dans la fonction publique 2024\"/>
    </mc:Choice>
  </mc:AlternateContent>
  <xr:revisionPtr revIDLastSave="0" documentId="13_ncr:1_{BA6FC286-183C-4761-83EA-FA18A2D3300C}" xr6:coauthVersionLast="47" xr6:coauthVersionMax="47" xr10:uidLastSave="{00000000-0000-0000-0000-000000000000}"/>
  <bookViews>
    <workbookView xWindow="-120" yWindow="-120" windowWidth="29040" windowHeight="15720" xr2:uid="{1BE9A330-D4D4-443F-ACCA-8FA5A576FC1E}"/>
  </bookViews>
  <sheets>
    <sheet name="Sommaire" sheetId="9" r:id="rId1"/>
    <sheet name="Figure 1" sheetId="2" r:id="rId2"/>
    <sheet name="Figure 2" sheetId="3" r:id="rId3"/>
    <sheet name="Figure 3" sheetId="4" r:id="rId4"/>
    <sheet name="Figure 4" sheetId="5" r:id="rId5"/>
    <sheet name="Figure 5" sheetId="6" r:id="rId6"/>
    <sheet name="Tableau complémentaire 1" sheetId="7" r:id="rId7"/>
    <sheet name="Tableau complémentaire 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" i="9" l="1"/>
  <c r="A18" i="9"/>
  <c r="A13" i="9"/>
  <c r="A11" i="9"/>
  <c r="A9" i="9"/>
  <c r="A7" i="9"/>
  <c r="A5" i="9"/>
</calcChain>
</file>

<file path=xl/sharedStrings.xml><?xml version="1.0" encoding="utf-8"?>
<sst xmlns="http://schemas.openxmlformats.org/spreadsheetml/2006/main" count="180" uniqueCount="93">
  <si>
    <t>Figure 1 – Effectifs et évolution par versant de la fonction publique entre 2023 et 2024</t>
  </si>
  <si>
    <t>en milliers</t>
  </si>
  <si>
    <t>Versant de la fonction publique</t>
  </si>
  <si>
    <t>2023</t>
  </si>
  <si>
    <t>2024</t>
  </si>
  <si>
    <t>Évolution sur un an 
(en %)</t>
  </si>
  <si>
    <t>Y compris contrats aidés</t>
  </si>
  <si>
    <t>Hors contrats aidés</t>
  </si>
  <si>
    <t>Fonction publique de l'État (FPE)</t>
  </si>
  <si>
    <t>Fonction publique territoriale (FPT)</t>
  </si>
  <si>
    <t>Fonction publique hospitalière (FPH)</t>
  </si>
  <si>
    <t>Ensemble de la fonction publique</t>
  </si>
  <si>
    <t>1. Postes principaux au 31 décembre.</t>
  </si>
  <si>
    <t>2. Tout poste actif dans l'année.</t>
  </si>
  <si>
    <t>Lecture : Les effectifs de la fonction publique de l’État, y compris bénéficiaires de contrats aidés, s’élèvent à 2 587 400 fin 2024.</t>
  </si>
  <si>
    <t>Champ : France hors Mayotte.</t>
  </si>
  <si>
    <t>Source : Insee, Système d'information sur les agents des services publics (Siasp).</t>
  </si>
  <si>
    <t>Figure 2 – Évolution des effectifs par versant de la fonction publique depuis 2012</t>
  </si>
  <si>
    <t>en %</t>
  </si>
  <si>
    <t>Année</t>
  </si>
  <si>
    <t>Lecture : Entre fin 2023 et fin 2024, les effectifs de la fonction publique territoriale augmentent de 0,3 %.</t>
  </si>
  <si>
    <t>Figure 3 – Caractéristiques des salariés par versant de la fonction publique en 2024</t>
  </si>
  <si>
    <t>en %</t>
  </si>
  <si>
    <t>Caractéristiques</t>
  </si>
  <si>
    <t>Statut</t>
  </si>
  <si>
    <t>Fonctionnaires</t>
  </si>
  <si>
    <t>Contractuels</t>
  </si>
  <si>
    <t>Militaires</t>
  </si>
  <si>
    <t>///</t>
  </si>
  <si>
    <t>Bénéficiaires de contrats aidés</t>
  </si>
  <si>
    <t>Autres catégories et statuts</t>
  </si>
  <si>
    <t>Catégorie A</t>
  </si>
  <si>
    <t>Catégorie B</t>
  </si>
  <si>
    <t>Indéterminée</t>
  </si>
  <si>
    <t>Âge</t>
  </si>
  <si>
    <t>De 15 à 24 ans</t>
  </si>
  <si>
    <t>De 25 à 34 ans</t>
  </si>
  <si>
    <t>De 35 à 49 ans</t>
  </si>
  <si>
    <t>50 ans ou plus</t>
  </si>
  <si>
    <t>Temps de travail</t>
  </si>
  <si>
    <r>
      <t>Temps partiel</t>
    </r>
    <r>
      <rPr>
        <vertAlign val="superscript"/>
        <sz val="10"/>
        <color rgb="FF000000"/>
        <rFont val="Arial"/>
        <family val="2"/>
      </rPr>
      <t>2</t>
    </r>
  </si>
  <si>
    <t>/// : absence de résultats due à la nature des choses.</t>
  </si>
  <si>
    <t>1. Une catégorie hiérarchique a été attribuée aux non-titulaires selon leur code grade et tous les bénéficiaires de contrats aidés sont classés ici en catégorie C.</t>
  </si>
  <si>
    <t>2. Inclut les temps non complets et incomplets.</t>
  </si>
  <si>
    <t>Lecture : Fin 2024, dans la fonction publique hospitalière, 66,2 % des agents sont fonctionnaires.</t>
  </si>
  <si>
    <t>Champ : France hors Mayotte, postes principaux au 31 décembre, y compris bénéficiaires de contrats aidés.</t>
  </si>
  <si>
    <t>Figure 4 – Part de femmes par versant de la fonction publique et caractéristiques d’emploi en 2024</t>
  </si>
  <si>
    <t>Fonction publique de l’État (FPE)</t>
  </si>
  <si>
    <t>Ensemble</t>
  </si>
  <si>
    <t>Lecture : Fin 2024, dans la fonction publique, 84,1 % des agents à temps partiel, non complet ou incomplet sont des femmes.</t>
  </si>
  <si>
    <r>
      <rPr>
        <b/>
        <sz val="10"/>
        <color theme="1"/>
        <rFont val="Arial"/>
        <family val="2"/>
      </rPr>
      <t>Figure 5 – Nombre d'entrants et de sortants de personnels civils par versant ou par statut depuis 2022</t>
    </r>
  </si>
  <si>
    <t>Versant ou statut et année</t>
  </si>
  <si>
    <t>Nombre d'entrants</t>
  </si>
  <si>
    <t>Nombre de sortants</t>
  </si>
  <si>
    <t>Lecture : En 2024, 70 900 fonctionnaires sont entrés dans la fonction publique et 175 100 en sont sortis.</t>
  </si>
  <si>
    <t>Champ : France hors Mayotte, agents civils, postes principaux au 31 décembre.</t>
  </si>
  <si>
    <t>Tableau complémentaire 1 – Effectifs et évolution par versant de la fonction publique et par statut entre 2023 et 2024</t>
  </si>
  <si>
    <t>Fonctionnaires (y compris militaires)</t>
  </si>
  <si>
    <t>Lecture : Le nombre de fonctionnaires de la fonction publique de l'État s'établit à 1 815 400 fin 2024.</t>
  </si>
  <si>
    <t>Tableau complémentaire 2 – Effectifs et évolution par versant de la fonction publique et type d’employeur entre 2023 et 2024</t>
  </si>
  <si>
    <t>Versant et type d'employeur</t>
  </si>
  <si>
    <t>Ministères</t>
  </si>
  <si>
    <t>Éducation, enseignement supérieur et recherche</t>
  </si>
  <si>
    <t>Économie et finances</t>
  </si>
  <si>
    <t>Intérieur</t>
  </si>
  <si>
    <t>Écologie et environnement</t>
  </si>
  <si>
    <t>Justice</t>
  </si>
  <si>
    <t>Travail, santé et solidarités</t>
  </si>
  <si>
    <t>Armées (militaires)</t>
  </si>
  <si>
    <t>Armées (personnels civils)</t>
  </si>
  <si>
    <t>Autres ministères</t>
  </si>
  <si>
    <t>Établissements publics à caractère administratif (EPA)</t>
  </si>
  <si>
    <t>Régions</t>
  </si>
  <si>
    <t>Départements</t>
  </si>
  <si>
    <r>
      <rPr>
        <sz val="10"/>
        <color rgb="FF000000"/>
        <rFont val="Arial"/>
        <family val="2"/>
      </rPr>
      <t>Secteur communal</t>
    </r>
    <r>
      <rPr>
        <vertAlign val="superscript"/>
        <sz val="10"/>
        <color rgb="FF000000"/>
        <rFont val="Arial"/>
        <family val="2"/>
      </rPr>
      <t>1</t>
    </r>
  </si>
  <si>
    <t>Hôpitaux</t>
  </si>
  <si>
    <r>
      <rPr>
        <sz val="10"/>
        <color rgb="FF000000"/>
        <rFont val="Arial"/>
        <family val="2"/>
      </rPr>
      <t>Établissements médico-sociaux (EMS)</t>
    </r>
    <r>
      <rPr>
        <vertAlign val="superscript"/>
        <sz val="10"/>
        <color rgb="FF000000"/>
        <rFont val="Arial"/>
        <family val="2"/>
      </rPr>
      <t>2</t>
    </r>
  </si>
  <si>
    <t>Lecture : En 2024, 99 700 agents de la fonction publique territoriale sont employés par les régions.</t>
  </si>
  <si>
    <t>Données des figures de la publication</t>
  </si>
  <si>
    <t>Données complémentaires</t>
  </si>
  <si>
    <t>1. Y compris établissements publics de coopération intercommunale (EPCI) à fiscalité propre, syndicats, métropole de Lyon et métropole du Grand Paris, établissements publics territoriaux, caisses de crédit municipal, régies et EPA locaux.</t>
  </si>
  <si>
    <t>2. Y compris établissements d'hébergement pour personnes âgées dépendantes (Ehpad) autonomes de la FPH.</t>
  </si>
  <si>
    <t>2 010,2</t>
  </si>
  <si>
    <t>2 059,5</t>
  </si>
  <si>
    <t>1 571,9</t>
  </si>
  <si>
    <t>1 578,4</t>
  </si>
  <si>
    <t>1 815,2</t>
  </si>
  <si>
    <t>1 815,4</t>
  </si>
  <si>
    <r>
      <t>Données de l'Insee Première n</t>
    </r>
    <r>
      <rPr>
        <b/>
        <vertAlign val="superscript"/>
        <sz val="12"/>
        <color theme="1"/>
        <rFont val="Arial"/>
        <family val="2"/>
      </rPr>
      <t xml:space="preserve">o </t>
    </r>
    <r>
      <rPr>
        <b/>
        <sz val="12"/>
        <color theme="1"/>
        <rFont val="Arial"/>
        <family val="2"/>
      </rPr>
      <t>2094 « L’emploi dans la fonction publique en 2024 – Le recrutement de contractuels soutient de nouveau la hausse de l'emploi dans la fonction publique »</t>
    </r>
  </si>
  <si>
    <t>Catégorie C</t>
  </si>
  <si>
    <r>
      <t>Effectifs au 31 décembre</t>
    </r>
    <r>
      <rPr>
        <b/>
        <vertAlign val="superscript"/>
        <sz val="10"/>
        <color theme="5" tint="-0.249977111117893"/>
        <rFont val="Arial"/>
        <family val="2"/>
      </rPr>
      <t>1</t>
    </r>
  </si>
  <si>
    <r>
      <t>Volume de travail en équivalent temps plein</t>
    </r>
    <r>
      <rPr>
        <b/>
        <vertAlign val="superscript"/>
        <sz val="10"/>
        <color theme="5" tint="-0.249977111117893"/>
        <rFont val="Arial"/>
        <family val="2"/>
      </rPr>
      <t>2</t>
    </r>
  </si>
  <si>
    <r>
      <t>Catégorie</t>
    </r>
    <r>
      <rPr>
        <b/>
        <vertAlign val="superscript"/>
        <sz val="10"/>
        <color theme="5" tint="-0.249977111117893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</si>
</sst>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Liberation Sans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sz val="10"/>
      <color rgb="FF000000"/>
      <name val="Arial1"/>
    </font>
    <font>
      <b/>
      <sz val="10"/>
      <color rgb="FF000000"/>
      <name val="Arial1"/>
    </font>
    <font>
      <b/>
      <sz val="10"/>
      <color theme="1"/>
      <name val="Arial1"/>
    </font>
    <font>
      <sz val="10"/>
      <color rgb="FF000000"/>
      <name val="Arial"/>
      <family val="2"/>
    </font>
    <font>
      <b/>
      <sz val="10"/>
      <color theme="1"/>
      <name val="Liberation Sans"/>
      <family val="2"/>
    </font>
    <font>
      <vertAlign val="superscript"/>
      <sz val="10"/>
      <color rgb="FF000000"/>
      <name val="Arial"/>
      <family val="2"/>
    </font>
    <font>
      <b/>
      <sz val="10"/>
      <color rgb="FF0070C0"/>
      <name val="Arial1"/>
    </font>
    <font>
      <u/>
      <sz val="10"/>
      <color theme="10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u/>
      <sz val="10"/>
      <color rgb="FF000099"/>
      <name val="Arial"/>
      <family val="2"/>
    </font>
    <font>
      <sz val="10"/>
      <color rgb="FF000099"/>
      <name val="Arial"/>
      <family val="2"/>
    </font>
    <font>
      <b/>
      <sz val="10"/>
      <color theme="5" tint="-0.249977111117893"/>
      <name val="Arial"/>
      <family val="2"/>
    </font>
    <font>
      <b/>
      <vertAlign val="superscript"/>
      <sz val="10"/>
      <color theme="5" tint="-0.249977111117893"/>
      <name val="Arial"/>
      <family val="2"/>
    </font>
    <font>
      <b/>
      <sz val="10"/>
      <color theme="5" tint="-0.249977111117893"/>
      <name val="Arial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3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1" applyFont="1" applyProtection="1">
      <protection locked="0"/>
    </xf>
    <xf numFmtId="0" fontId="3" fillId="0" borderId="0" xfId="1"/>
    <xf numFmtId="0" fontId="1" fillId="0" borderId="0" xfId="1" applyFont="1" applyAlignment="1">
      <alignment horizontal="right"/>
    </xf>
    <xf numFmtId="0" fontId="2" fillId="0" borderId="4" xfId="1" applyFont="1" applyBorder="1" applyAlignment="1" applyProtection="1">
      <alignment horizontal="center" vertical="center" wrapText="1"/>
      <protection locked="0"/>
    </xf>
    <xf numFmtId="0" fontId="4" fillId="0" borderId="4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Alignment="1" applyProtection="1">
      <alignment vertical="center"/>
      <protection locked="0"/>
    </xf>
    <xf numFmtId="0" fontId="6" fillId="0" borderId="5" xfId="1" applyFont="1" applyBorder="1" applyAlignment="1" applyProtection="1">
      <alignment vertical="center"/>
      <protection locked="0"/>
    </xf>
    <xf numFmtId="164" fontId="6" fillId="0" borderId="5" xfId="1" applyNumberFormat="1" applyFont="1" applyBorder="1" applyAlignment="1" applyProtection="1">
      <alignment horizontal="right" vertical="center"/>
      <protection locked="0"/>
    </xf>
    <xf numFmtId="164" fontId="4" fillId="0" borderId="6" xfId="1" applyNumberFormat="1" applyFont="1" applyBorder="1" applyAlignment="1" applyProtection="1">
      <alignment horizontal="left" vertical="center"/>
      <protection locked="0"/>
    </xf>
    <xf numFmtId="164" fontId="7" fillId="0" borderId="5" xfId="1" applyNumberFormat="1" applyFont="1" applyBorder="1" applyAlignment="1" applyProtection="1">
      <alignment horizontal="right" vertical="center"/>
      <protection locked="0"/>
    </xf>
    <xf numFmtId="164" fontId="8" fillId="0" borderId="5" xfId="1" applyNumberFormat="1" applyFont="1" applyBorder="1" applyAlignment="1" applyProtection="1">
      <alignment horizontal="right"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164" fontId="7" fillId="0" borderId="7" xfId="1" applyNumberFormat="1" applyFont="1" applyBorder="1" applyAlignment="1" applyProtection="1">
      <alignment horizontal="righ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6" fillId="0" borderId="0" xfId="1" applyFont="1" applyAlignment="1" applyProtection="1">
      <alignment vertical="center"/>
      <protection locked="0"/>
    </xf>
    <xf numFmtId="164" fontId="6" fillId="0" borderId="0" xfId="1" applyNumberFormat="1" applyFont="1" applyAlignment="1" applyProtection="1">
      <alignment vertical="center"/>
      <protection locked="0"/>
    </xf>
    <xf numFmtId="0" fontId="9" fillId="0" borderId="0" xfId="1" applyFont="1" applyProtection="1">
      <protection locked="0"/>
    </xf>
    <xf numFmtId="0" fontId="4" fillId="0" borderId="0" xfId="1" applyFont="1" applyProtection="1"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right" vertical="center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left"/>
      <protection locked="0"/>
    </xf>
    <xf numFmtId="165" fontId="6" fillId="0" borderId="5" xfId="1" applyNumberFormat="1" applyFont="1" applyBorder="1" applyAlignment="1" applyProtection="1">
      <alignment vertical="center"/>
      <protection locked="0"/>
    </xf>
    <xf numFmtId="165" fontId="7" fillId="0" borderId="5" xfId="1" applyNumberFormat="1" applyFont="1" applyBorder="1" applyAlignment="1" applyProtection="1">
      <alignment vertical="center"/>
      <protection locked="0"/>
    </xf>
    <xf numFmtId="0" fontId="3" fillId="0" borderId="5" xfId="1" applyBorder="1" applyAlignment="1">
      <alignment horizontal="left"/>
    </xf>
    <xf numFmtId="165" fontId="3" fillId="0" borderId="5" xfId="1" applyNumberFormat="1" applyBorder="1"/>
    <xf numFmtId="165" fontId="10" fillId="0" borderId="5" xfId="1" applyNumberFormat="1" applyFont="1" applyBorder="1"/>
    <xf numFmtId="0" fontId="1" fillId="0" borderId="5" xfId="1" applyFont="1" applyBorder="1" applyAlignment="1">
      <alignment horizontal="left"/>
    </xf>
    <xf numFmtId="0" fontId="3" fillId="0" borderId="7" xfId="1" applyBorder="1" applyAlignment="1">
      <alignment horizontal="left"/>
    </xf>
    <xf numFmtId="165" fontId="3" fillId="0" borderId="7" xfId="1" applyNumberFormat="1" applyBorder="1"/>
    <xf numFmtId="165" fontId="10" fillId="0" borderId="7" xfId="1" applyNumberFormat="1" applyFont="1" applyBorder="1"/>
    <xf numFmtId="0" fontId="4" fillId="0" borderId="1" xfId="1" applyFont="1" applyBorder="1" applyAlignment="1" applyProtection="1">
      <alignment horizontal="center" vertical="center" wrapText="1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0" fontId="4" fillId="0" borderId="9" xfId="1" applyFont="1" applyBorder="1" applyAlignment="1" applyProtection="1">
      <alignment horizontal="center" vertical="center" wrapText="1"/>
      <protection locked="0"/>
    </xf>
    <xf numFmtId="0" fontId="5" fillId="0" borderId="2" xfId="1" applyFont="1" applyBorder="1" applyProtection="1">
      <protection locked="0"/>
    </xf>
    <xf numFmtId="164" fontId="6" fillId="0" borderId="10" xfId="1" applyNumberFormat="1" applyFont="1" applyBorder="1" applyAlignment="1" applyProtection="1">
      <alignment horizontal="right"/>
      <protection locked="0"/>
    </xf>
    <xf numFmtId="164" fontId="4" fillId="0" borderId="10" xfId="1" applyNumberFormat="1" applyFont="1" applyBorder="1" applyAlignment="1" applyProtection="1">
      <alignment horizontal="right"/>
      <protection locked="0"/>
    </xf>
    <xf numFmtId="164" fontId="9" fillId="0" borderId="10" xfId="1" applyNumberFormat="1" applyFont="1" applyBorder="1" applyAlignment="1" applyProtection="1">
      <alignment horizontal="right"/>
      <protection locked="0"/>
    </xf>
    <xf numFmtId="0" fontId="9" fillId="0" borderId="0" xfId="1" applyFont="1"/>
    <xf numFmtId="0" fontId="5" fillId="0" borderId="5" xfId="1" applyFont="1" applyBorder="1" applyProtection="1">
      <protection locked="0"/>
    </xf>
    <xf numFmtId="164" fontId="6" fillId="0" borderId="5" xfId="1" applyNumberFormat="1" applyFont="1" applyBorder="1" applyAlignment="1" applyProtection="1">
      <alignment horizontal="right"/>
      <protection locked="0"/>
    </xf>
    <xf numFmtId="0" fontId="9" fillId="0" borderId="11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9" fillId="0" borderId="12" xfId="1" applyFont="1" applyBorder="1" applyProtection="1">
      <protection locked="0"/>
    </xf>
    <xf numFmtId="164" fontId="4" fillId="0" borderId="14" xfId="1" applyNumberFormat="1" applyFont="1" applyBorder="1" applyAlignment="1" applyProtection="1">
      <alignment horizontal="right"/>
      <protection locked="0"/>
    </xf>
    <xf numFmtId="0" fontId="2" fillId="0" borderId="9" xfId="1" applyFont="1" applyBorder="1" applyAlignment="1">
      <alignment horizontal="center" vertical="center" wrapText="1"/>
    </xf>
    <xf numFmtId="164" fontId="4" fillId="0" borderId="5" xfId="1" applyNumberFormat="1" applyFont="1" applyBorder="1" applyAlignment="1" applyProtection="1">
      <alignment horizontal="right" vertical="center"/>
      <protection locked="0"/>
    </xf>
    <xf numFmtId="0" fontId="1" fillId="0" borderId="5" xfId="1" applyFont="1" applyBorder="1" applyAlignment="1">
      <alignment horizontal="right"/>
    </xf>
    <xf numFmtId="164" fontId="6" fillId="0" borderId="0" xfId="1" applyNumberFormat="1" applyFont="1" applyAlignment="1" applyProtection="1">
      <alignment horizontal="right" vertical="center"/>
      <protection locked="0"/>
    </xf>
    <xf numFmtId="0" fontId="9" fillId="0" borderId="5" xfId="1" applyFont="1" applyBorder="1" applyProtection="1">
      <protection locked="0"/>
    </xf>
    <xf numFmtId="164" fontId="6" fillId="0" borderId="11" xfId="1" applyNumberFormat="1" applyFont="1" applyBorder="1" applyAlignment="1" applyProtection="1">
      <alignment horizontal="right" vertical="center"/>
      <protection locked="0"/>
    </xf>
    <xf numFmtId="0" fontId="12" fillId="0" borderId="5" xfId="1" applyFont="1" applyBorder="1" applyAlignment="1" applyProtection="1">
      <alignment vertical="center"/>
      <protection locked="0"/>
    </xf>
    <xf numFmtId="0" fontId="7" fillId="0" borderId="12" xfId="1" applyFont="1" applyBorder="1" applyProtection="1">
      <protection locked="0"/>
    </xf>
    <xf numFmtId="164" fontId="7" fillId="0" borderId="7" xfId="1" applyNumberFormat="1" applyFont="1" applyBorder="1" applyAlignment="1" applyProtection="1">
      <alignment horizontal="right"/>
      <protection locked="0"/>
    </xf>
    <xf numFmtId="164" fontId="7" fillId="0" borderId="13" xfId="1" applyNumberFormat="1" applyFont="1" applyBorder="1" applyAlignment="1" applyProtection="1">
      <alignment horizontal="right"/>
      <protection locked="0"/>
    </xf>
    <xf numFmtId="164" fontId="3" fillId="0" borderId="0" xfId="1" applyNumberFormat="1"/>
    <xf numFmtId="0" fontId="4" fillId="0" borderId="2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left" vertical="center"/>
      <protection locked="0"/>
    </xf>
    <xf numFmtId="0" fontId="7" fillId="0" borderId="5" xfId="1" applyFont="1" applyBorder="1" applyAlignment="1" applyProtection="1">
      <alignment horizontal="left" vertical="center"/>
      <protection locked="0"/>
    </xf>
    <xf numFmtId="164" fontId="7" fillId="0" borderId="5" xfId="1" applyNumberFormat="1" applyFont="1" applyBorder="1" applyAlignment="1" applyProtection="1">
      <alignment horizontal="right"/>
      <protection locked="0"/>
    </xf>
    <xf numFmtId="0" fontId="7" fillId="0" borderId="7" xfId="1" applyFont="1" applyBorder="1" applyAlignment="1" applyProtection="1">
      <alignment horizontal="left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12" fillId="0" borderId="2" xfId="1" applyFont="1" applyBorder="1" applyAlignment="1" applyProtection="1">
      <alignment vertical="center"/>
      <protection locked="0"/>
    </xf>
    <xf numFmtId="0" fontId="3" fillId="0" borderId="5" xfId="1" applyBorder="1" applyAlignment="1">
      <alignment horizontal="left" indent="1"/>
    </xf>
    <xf numFmtId="0" fontId="3" fillId="0" borderId="5" xfId="1" applyBorder="1"/>
    <xf numFmtId="164" fontId="8" fillId="0" borderId="5" xfId="1" applyNumberFormat="1" applyFont="1" applyBorder="1" applyAlignment="1" applyProtection="1">
      <alignment horizontal="right"/>
      <protection locked="0"/>
    </xf>
    <xf numFmtId="0" fontId="7" fillId="0" borderId="11" xfId="1" applyFont="1" applyBorder="1" applyAlignment="1" applyProtection="1">
      <alignment horizontal="left" vertical="center"/>
      <protection locked="0"/>
    </xf>
    <xf numFmtId="164" fontId="7" fillId="0" borderId="6" xfId="1" applyNumberFormat="1" applyFont="1" applyBorder="1" applyAlignment="1" applyProtection="1">
      <alignment horizontal="right"/>
      <protection locked="0"/>
    </xf>
    <xf numFmtId="0" fontId="4" fillId="0" borderId="11" xfId="1" applyFont="1" applyBorder="1" applyAlignment="1" applyProtection="1">
      <alignment horizontal="left" vertical="center"/>
      <protection locked="0"/>
    </xf>
    <xf numFmtId="0" fontId="4" fillId="0" borderId="12" xfId="1" applyFont="1" applyBorder="1" applyAlignment="1" applyProtection="1">
      <alignment horizontal="left" vertical="center"/>
      <protection locked="0"/>
    </xf>
    <xf numFmtId="164" fontId="7" fillId="0" borderId="14" xfId="1" applyNumberFormat="1" applyFont="1" applyBorder="1" applyAlignment="1" applyProtection="1">
      <alignment horizontal="right"/>
      <protection locked="0"/>
    </xf>
    <xf numFmtId="0" fontId="9" fillId="0" borderId="0" xfId="1" applyFont="1" applyAlignment="1" applyProtection="1">
      <alignment vertical="center" wrapText="1"/>
      <protection locked="0"/>
    </xf>
    <xf numFmtId="0" fontId="9" fillId="0" borderId="0" xfId="1" applyFont="1" applyAlignment="1" applyProtection="1">
      <alignment horizontal="left" vertical="center"/>
      <protection locked="0"/>
    </xf>
    <xf numFmtId="0" fontId="2" fillId="0" borderId="0" xfId="0" applyFont="1"/>
    <xf numFmtId="0" fontId="14" fillId="0" borderId="0" xfId="0" applyFont="1"/>
    <xf numFmtId="0" fontId="16" fillId="0" borderId="0" xfId="2" applyFont="1"/>
    <xf numFmtId="0" fontId="17" fillId="0" borderId="0" xfId="0" applyFont="1"/>
    <xf numFmtId="0" fontId="4" fillId="0" borderId="3" xfId="1" applyFont="1" applyBorder="1" applyAlignment="1" applyProtection="1">
      <alignment horizontal="center" vertical="center" wrapText="1"/>
      <protection locked="0"/>
    </xf>
    <xf numFmtId="0" fontId="6" fillId="0" borderId="10" xfId="1" applyFont="1" applyBorder="1" applyProtection="1">
      <protection locked="0"/>
    </xf>
    <xf numFmtId="0" fontId="6" fillId="0" borderId="21" xfId="1" applyFont="1" applyBorder="1" applyProtection="1">
      <protection locked="0"/>
    </xf>
    <xf numFmtId="0" fontId="7" fillId="0" borderId="10" xfId="1" applyFont="1" applyBorder="1" applyProtection="1">
      <protection locked="0"/>
    </xf>
    <xf numFmtId="0" fontId="7" fillId="0" borderId="21" xfId="1" applyFont="1" applyBorder="1" applyProtection="1">
      <protection locked="0"/>
    </xf>
    <xf numFmtId="0" fontId="4" fillId="0" borderId="16" xfId="1" applyFont="1" applyBorder="1" applyAlignment="1" applyProtection="1">
      <alignment horizontal="center" vertical="center"/>
      <protection locked="0"/>
    </xf>
    <xf numFmtId="0" fontId="3" fillId="0" borderId="0" xfId="1" applyAlignment="1">
      <alignment horizontal="right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5" fillId="0" borderId="23" xfId="1" applyFont="1" applyBorder="1" applyProtection="1">
      <protection locked="0"/>
    </xf>
    <xf numFmtId="0" fontId="5" fillId="0" borderId="24" xfId="1" applyFont="1" applyBorder="1" applyProtection="1">
      <protection locked="0"/>
    </xf>
    <xf numFmtId="0" fontId="5" fillId="0" borderId="25" xfId="1" applyFont="1" applyBorder="1" applyProtection="1">
      <protection locked="0"/>
    </xf>
    <xf numFmtId="0" fontId="5" fillId="0" borderId="26" xfId="1" applyFont="1" applyBorder="1" applyProtection="1">
      <protection locked="0"/>
    </xf>
    <xf numFmtId="0" fontId="5" fillId="0" borderId="27" xfId="1" applyFont="1" applyBorder="1" applyProtection="1">
      <protection locked="0"/>
    </xf>
    <xf numFmtId="164" fontId="6" fillId="0" borderId="26" xfId="1" applyNumberFormat="1" applyFont="1" applyBorder="1" applyAlignment="1" applyProtection="1">
      <alignment horizontal="right"/>
      <protection locked="0"/>
    </xf>
    <xf numFmtId="164" fontId="6" fillId="0" borderId="0" xfId="1" applyNumberFormat="1" applyFont="1" applyBorder="1" applyAlignment="1" applyProtection="1">
      <alignment horizontal="right"/>
      <protection locked="0"/>
    </xf>
    <xf numFmtId="164" fontId="4" fillId="0" borderId="17" xfId="1" applyNumberFormat="1" applyFont="1" applyBorder="1" applyAlignment="1" applyProtection="1">
      <alignment horizontal="right"/>
      <protection locked="0"/>
    </xf>
    <xf numFmtId="164" fontId="6" fillId="0" borderId="28" xfId="1" applyNumberFormat="1" applyFont="1" applyBorder="1" applyAlignment="1" applyProtection="1">
      <alignment horizontal="right"/>
      <protection locked="0"/>
    </xf>
    <xf numFmtId="164" fontId="6" fillId="0" borderId="18" xfId="1" applyNumberFormat="1" applyFont="1" applyBorder="1" applyAlignment="1" applyProtection="1">
      <alignment horizontal="right"/>
      <protection locked="0"/>
    </xf>
    <xf numFmtId="164" fontId="6" fillId="0" borderId="29" xfId="1" applyNumberFormat="1" applyFont="1" applyBorder="1" applyAlignment="1" applyProtection="1">
      <alignment horizontal="right"/>
      <protection locked="0"/>
    </xf>
    <xf numFmtId="164" fontId="4" fillId="0" borderId="19" xfId="1" applyNumberFormat="1" applyFont="1" applyBorder="1" applyAlignment="1" applyProtection="1">
      <alignment horizontal="right"/>
      <protection locked="0"/>
    </xf>
    <xf numFmtId="166" fontId="3" fillId="0" borderId="0" xfId="1" applyNumberFormat="1"/>
    <xf numFmtId="0" fontId="4" fillId="0" borderId="2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/>
      <protection locked="0"/>
    </xf>
    <xf numFmtId="0" fontId="4" fillId="0" borderId="7" xfId="1" applyFont="1" applyBorder="1" applyAlignment="1" applyProtection="1">
      <alignment horizontal="center" vertical="center"/>
      <protection locked="0"/>
    </xf>
    <xf numFmtId="0" fontId="4" fillId="0" borderId="3" xfId="1" applyFont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2" fillId="0" borderId="8" xfId="1" applyFont="1" applyBorder="1" applyAlignment="1" applyProtection="1">
      <alignment horizontal="center" vertical="center" wrapText="1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9" fillId="0" borderId="0" xfId="1" applyFont="1" applyAlignment="1" applyProtection="1">
      <alignment wrapText="1"/>
      <protection locked="0"/>
    </xf>
    <xf numFmtId="0" fontId="9" fillId="0" borderId="15" xfId="1" applyFont="1" applyBorder="1" applyAlignment="1" applyProtection="1">
      <alignment horizontal="left" vertical="center" wrapText="1"/>
      <protection locked="0"/>
    </xf>
    <xf numFmtId="0" fontId="4" fillId="0" borderId="30" xfId="1" applyFont="1" applyBorder="1" applyAlignment="1" applyProtection="1">
      <alignment horizontal="center" vertical="center"/>
      <protection locked="0"/>
    </xf>
    <xf numFmtId="0" fontId="4" fillId="0" borderId="30" xfId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 wrapText="1"/>
      <protection locked="0"/>
    </xf>
    <xf numFmtId="164" fontId="6" fillId="0" borderId="10" xfId="1" applyNumberFormat="1" applyFont="1" applyBorder="1" applyAlignment="1" applyProtection="1">
      <alignment horizontal="right" vertical="center"/>
      <protection locked="0"/>
    </xf>
    <xf numFmtId="164" fontId="6" fillId="0" borderId="21" xfId="1" applyNumberFormat="1" applyFont="1" applyBorder="1" applyAlignment="1" applyProtection="1">
      <alignment horizontal="right" vertical="center"/>
      <protection locked="0"/>
    </xf>
    <xf numFmtId="164" fontId="6" fillId="0" borderId="20" xfId="1" applyNumberFormat="1" applyFont="1" applyBorder="1" applyAlignment="1" applyProtection="1">
      <alignment horizontal="right" vertical="center"/>
      <protection locked="0"/>
    </xf>
    <xf numFmtId="164" fontId="7" fillId="0" borderId="10" xfId="1" applyNumberFormat="1" applyFont="1" applyBorder="1" applyAlignment="1" applyProtection="1">
      <alignment horizontal="right" vertical="center"/>
      <protection locked="0"/>
    </xf>
    <xf numFmtId="164" fontId="7" fillId="0" borderId="21" xfId="1" applyNumberFormat="1" applyFont="1" applyBorder="1" applyAlignment="1" applyProtection="1">
      <alignment horizontal="right" vertical="center"/>
      <protection locked="0"/>
    </xf>
    <xf numFmtId="0" fontId="18" fillId="0" borderId="2" xfId="1" applyFont="1" applyBorder="1" applyAlignment="1" applyProtection="1">
      <alignment vertical="center"/>
      <protection locked="0"/>
    </xf>
    <xf numFmtId="0" fontId="18" fillId="0" borderId="5" xfId="1" applyFont="1" applyBorder="1" applyAlignment="1" applyProtection="1">
      <alignment vertical="center"/>
      <protection locked="0"/>
    </xf>
    <xf numFmtId="0" fontId="18" fillId="0" borderId="22" xfId="1" applyFont="1" applyBorder="1" applyProtection="1">
      <protection locked="0"/>
    </xf>
    <xf numFmtId="0" fontId="18" fillId="0" borderId="11" xfId="1" applyFont="1" applyBorder="1" applyProtection="1">
      <protection locked="0"/>
    </xf>
    <xf numFmtId="0" fontId="20" fillId="0" borderId="5" xfId="1" applyFont="1" applyBorder="1" applyAlignment="1" applyProtection="1">
      <alignment vertical="center"/>
      <protection locked="0"/>
    </xf>
    <xf numFmtId="0" fontId="18" fillId="0" borderId="2" xfId="1" applyFont="1" applyBorder="1" applyProtection="1">
      <protection locked="0"/>
    </xf>
    <xf numFmtId="0" fontId="18" fillId="0" borderId="5" xfId="1" applyFont="1" applyBorder="1" applyProtection="1">
      <protection locked="0"/>
    </xf>
    <xf numFmtId="0" fontId="18" fillId="0" borderId="20" xfId="1" applyFont="1" applyBorder="1" applyAlignment="1" applyProtection="1">
      <alignment horizontal="left" vertical="center"/>
      <protection locked="0"/>
    </xf>
    <xf numFmtId="0" fontId="20" fillId="0" borderId="20" xfId="1" applyFont="1" applyBorder="1" applyProtection="1">
      <protection locked="0"/>
    </xf>
    <xf numFmtId="0" fontId="20" fillId="0" borderId="2" xfId="1" applyFont="1" applyBorder="1" applyAlignment="1" applyProtection="1">
      <alignment vertical="center"/>
      <protection locked="0"/>
    </xf>
  </cellXfs>
  <cellStyles count="3">
    <cellStyle name="Lien hypertexte" xfId="2" builtinId="8"/>
    <cellStyle name="Normal" xfId="0" builtinId="0"/>
    <cellStyle name="Normal 2" xfId="1" xr:uid="{FC1F8E85-3B31-4228-B274-E8AA0D59D6E2}"/>
  </cellStyles>
  <dxfs count="0"/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Iris roug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74695"/>
      </a:accent1>
      <a:accent2>
        <a:srgbClr val="248BFF"/>
      </a:accent2>
      <a:accent3>
        <a:srgbClr val="FB5A5A"/>
      </a:accent3>
      <a:accent4>
        <a:srgbClr val="C4101D"/>
      </a:accent4>
      <a:accent5>
        <a:srgbClr val="BF8101"/>
      </a:accent5>
      <a:accent6>
        <a:srgbClr val="949494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75A9-825E-4BB1-B0BE-D01216E306A1}">
  <dimension ref="A1:J20"/>
  <sheetViews>
    <sheetView tabSelected="1" workbookViewId="0"/>
  </sheetViews>
  <sheetFormatPr baseColWidth="10" defaultRowHeight="12.75"/>
  <sheetData>
    <row r="1" spans="1:9" ht="15" customHeight="1">
      <c r="A1" s="80" t="s">
        <v>88</v>
      </c>
    </row>
    <row r="3" spans="1:9">
      <c r="A3" s="79" t="s">
        <v>78</v>
      </c>
      <c r="B3" s="79"/>
      <c r="C3" s="79"/>
    </row>
    <row r="5" spans="1:9">
      <c r="A5" s="81" t="str">
        <f>'Figure 1'!A1</f>
        <v>Figure 1 – Effectifs et évolution par versant de la fonction publique entre 2023 et 2024</v>
      </c>
      <c r="B5" s="81"/>
      <c r="C5" s="81"/>
      <c r="D5" s="81"/>
      <c r="E5" s="81"/>
      <c r="F5" s="81"/>
      <c r="G5" s="81"/>
      <c r="H5" s="82"/>
      <c r="I5" s="82"/>
    </row>
    <row r="6" spans="1:9">
      <c r="A6" s="82"/>
      <c r="B6" s="82"/>
      <c r="C6" s="82"/>
      <c r="D6" s="82"/>
      <c r="E6" s="82"/>
      <c r="F6" s="82"/>
      <c r="G6" s="82"/>
      <c r="H6" s="82"/>
      <c r="I6" s="82"/>
    </row>
    <row r="7" spans="1:9">
      <c r="A7" s="81" t="str">
        <f>'Figure 2'!A1</f>
        <v>Figure 2 – Évolution des effectifs par versant de la fonction publique depuis 2012</v>
      </c>
      <c r="B7" s="81"/>
      <c r="C7" s="81"/>
      <c r="D7" s="81"/>
      <c r="E7" s="81"/>
      <c r="F7" s="81"/>
      <c r="G7" s="82"/>
      <c r="H7" s="82"/>
      <c r="I7" s="82"/>
    </row>
    <row r="8" spans="1:9">
      <c r="A8" s="82"/>
      <c r="B8" s="82"/>
      <c r="C8" s="82"/>
      <c r="D8" s="82"/>
      <c r="E8" s="82"/>
      <c r="F8" s="82"/>
      <c r="G8" s="82"/>
      <c r="H8" s="82"/>
      <c r="I8" s="82"/>
    </row>
    <row r="9" spans="1:9">
      <c r="A9" s="81" t="str">
        <f>'Figure 3'!A1</f>
        <v>Figure 3 – Caractéristiques des salariés par versant de la fonction publique en 2024</v>
      </c>
      <c r="B9" s="81"/>
      <c r="C9" s="81"/>
      <c r="D9" s="81"/>
      <c r="E9" s="81"/>
      <c r="F9" s="81"/>
      <c r="G9" s="82"/>
      <c r="H9" s="82"/>
      <c r="I9" s="82"/>
    </row>
    <row r="10" spans="1:9">
      <c r="A10" s="82"/>
      <c r="B10" s="82"/>
      <c r="C10" s="82"/>
      <c r="D10" s="82"/>
      <c r="E10" s="82"/>
      <c r="F10" s="82"/>
      <c r="G10" s="82"/>
      <c r="H10" s="82"/>
      <c r="I10" s="82"/>
    </row>
    <row r="11" spans="1:9">
      <c r="A11" s="81" t="str">
        <f>'Figure 4'!A1</f>
        <v>Figure 4 – Part de femmes par versant de la fonction publique et caractéristiques d’emploi en 2024</v>
      </c>
      <c r="B11" s="81"/>
      <c r="C11" s="81"/>
      <c r="D11" s="81"/>
      <c r="E11" s="81"/>
      <c r="F11" s="81"/>
      <c r="G11" s="81"/>
      <c r="H11" s="81"/>
      <c r="I11" s="82"/>
    </row>
    <row r="12" spans="1:9">
      <c r="A12" s="82"/>
      <c r="B12" s="82"/>
      <c r="C12" s="82"/>
      <c r="D12" s="82"/>
      <c r="E12" s="82"/>
      <c r="F12" s="82"/>
      <c r="G12" s="82"/>
      <c r="H12" s="82"/>
      <c r="I12" s="82"/>
    </row>
    <row r="13" spans="1:9">
      <c r="A13" s="81" t="str">
        <f>'Figure 5'!A1</f>
        <v>Figure 5 – Nombre d'entrants et de sortants de personnels civils par versant ou par statut depuis 2022</v>
      </c>
      <c r="B13" s="81"/>
      <c r="C13" s="81"/>
      <c r="D13" s="81"/>
      <c r="E13" s="81"/>
      <c r="F13" s="81"/>
      <c r="G13" s="81"/>
      <c r="H13" s="81"/>
      <c r="I13" s="82"/>
    </row>
    <row r="16" spans="1:9">
      <c r="A16" s="79" t="s">
        <v>79</v>
      </c>
      <c r="B16" s="79"/>
    </row>
    <row r="18" spans="1:10">
      <c r="A18" s="81" t="str">
        <f>'Tableau complémentaire 1'!A1</f>
        <v>Tableau complémentaire 1 – Effectifs et évolution par versant de la fonction publique et par statut entre 2023 et 2024</v>
      </c>
      <c r="B18" s="81"/>
      <c r="C18" s="81"/>
      <c r="D18" s="81"/>
      <c r="E18" s="81"/>
      <c r="F18" s="81"/>
      <c r="G18" s="81"/>
      <c r="H18" s="81"/>
      <c r="I18" s="81"/>
      <c r="J18" s="82"/>
    </row>
    <row r="19" spans="1:10">
      <c r="A19" s="82"/>
      <c r="B19" s="82"/>
      <c r="C19" s="82"/>
      <c r="D19" s="82"/>
      <c r="E19" s="82"/>
      <c r="F19" s="82"/>
      <c r="G19" s="82"/>
      <c r="H19" s="82"/>
      <c r="I19" s="82"/>
      <c r="J19" s="82"/>
    </row>
    <row r="20" spans="1:10">
      <c r="A20" s="81" t="str">
        <f>'Tableau complémentaire 2'!A1</f>
        <v>Tableau complémentaire 2 – Effectifs et évolution par versant de la fonction publique et type d’employeur entre 2023 et 2024</v>
      </c>
      <c r="B20" s="81"/>
      <c r="C20" s="81"/>
      <c r="D20" s="81"/>
      <c r="E20" s="81"/>
      <c r="F20" s="81"/>
      <c r="G20" s="81"/>
      <c r="H20" s="81"/>
      <c r="I20" s="81"/>
      <c r="J20" s="82"/>
    </row>
  </sheetData>
  <hyperlinks>
    <hyperlink ref="A5:G5" location="'Figure 1'!A1" display="'Figure 1'!A1" xr:uid="{4620D3CA-C61B-440A-9B58-B008542984C3}"/>
    <hyperlink ref="A7:F7" location="'Figure 2'!A1" display="'Figure 2'!A1" xr:uid="{2D8E71B4-C0AE-4C89-B7E7-8A8FF941A30D}"/>
    <hyperlink ref="A9:F9" location="'Figure 3'!A1" display="'Figure 3'!A1" xr:uid="{06B68921-7C2F-454B-90DD-A61ABBD32A34}"/>
    <hyperlink ref="A11:H11" location="'Figure 4'!A1" display="'Figure 4'!A1" xr:uid="{C149969B-4D78-49B1-A0ED-159938FFED05}"/>
    <hyperlink ref="A13:H13" location="'Figure 5'!A1" display="'Figure 5'!A1" xr:uid="{4835DA23-520A-4F64-802F-99F4300C1843}"/>
    <hyperlink ref="A18:I18" location="'Tableau complémentaire 1'!A1" display="'Tableau complémentaire 1'!A1" xr:uid="{7DAD939B-2A17-40CB-979C-ED4F0581C828}"/>
    <hyperlink ref="A20:I20" location="'Tableau complémentaire 2'!A1" display="'Tableau complémentaire 2'!A1" xr:uid="{0EF8352B-6DFF-4525-ADC1-3DA651026B6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7547-B515-4821-8A47-86C82F169924}">
  <dimension ref="A1:G19"/>
  <sheetViews>
    <sheetView workbookViewId="0"/>
  </sheetViews>
  <sheetFormatPr baseColWidth="10" defaultColWidth="11.42578125" defaultRowHeight="12.75"/>
  <cols>
    <col min="1" max="1" width="42.85546875" style="2" customWidth="1"/>
    <col min="2" max="6" width="13.140625" style="2" customWidth="1"/>
    <col min="7" max="7" width="12.85546875" style="2" customWidth="1"/>
    <col min="8" max="16384" width="11.42578125" style="2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04" t="s">
        <v>2</v>
      </c>
      <c r="B2" s="104" t="s">
        <v>3</v>
      </c>
      <c r="C2" s="104"/>
      <c r="D2" s="104" t="s">
        <v>4</v>
      </c>
      <c r="E2" s="104"/>
      <c r="F2" s="107" t="s">
        <v>5</v>
      </c>
      <c r="G2" s="108"/>
    </row>
    <row r="3" spans="1:7" ht="38.25">
      <c r="A3" s="105"/>
      <c r="B3" s="4" t="s">
        <v>6</v>
      </c>
      <c r="C3" s="4" t="s">
        <v>7</v>
      </c>
      <c r="D3" s="4" t="s">
        <v>6</v>
      </c>
      <c r="E3" s="4" t="s">
        <v>7</v>
      </c>
      <c r="F3" s="4" t="s">
        <v>6</v>
      </c>
      <c r="G3" s="5" t="s">
        <v>7</v>
      </c>
    </row>
    <row r="4" spans="1:7">
      <c r="A4" s="106"/>
      <c r="B4" s="109" t="s">
        <v>1</v>
      </c>
      <c r="C4" s="110"/>
      <c r="D4" s="110"/>
      <c r="E4" s="111"/>
      <c r="F4" s="109" t="s">
        <v>22</v>
      </c>
      <c r="G4" s="111"/>
    </row>
    <row r="5" spans="1:7" ht="14.25">
      <c r="A5" s="123" t="s">
        <v>90</v>
      </c>
      <c r="B5" s="6"/>
      <c r="C5" s="6"/>
      <c r="D5" s="6"/>
      <c r="E5" s="6"/>
      <c r="F5" s="6"/>
      <c r="G5" s="6"/>
    </row>
    <row r="6" spans="1:7">
      <c r="A6" s="7" t="s">
        <v>8</v>
      </c>
      <c r="B6" s="8">
        <v>2566.6999999999998</v>
      </c>
      <c r="C6" s="8">
        <v>2563.1</v>
      </c>
      <c r="D6" s="8">
        <v>2587.4</v>
      </c>
      <c r="E6" s="8">
        <v>2584</v>
      </c>
      <c r="F6" s="8">
        <v>0.8</v>
      </c>
      <c r="G6" s="8">
        <v>0.8</v>
      </c>
    </row>
    <row r="7" spans="1:7">
      <c r="A7" s="7" t="s">
        <v>9</v>
      </c>
      <c r="B7" s="8">
        <v>2033</v>
      </c>
      <c r="C7" s="8">
        <v>2009.4</v>
      </c>
      <c r="D7" s="8">
        <v>2039.4</v>
      </c>
      <c r="E7" s="8">
        <v>2018.3</v>
      </c>
      <c r="F7" s="8">
        <v>0.3</v>
      </c>
      <c r="G7" s="8">
        <v>0.4</v>
      </c>
    </row>
    <row r="8" spans="1:7">
      <c r="A8" s="7" t="s">
        <v>10</v>
      </c>
      <c r="B8" s="8">
        <v>1244.2</v>
      </c>
      <c r="C8" s="8">
        <v>1242.7</v>
      </c>
      <c r="D8" s="8">
        <v>1249.9000000000001</v>
      </c>
      <c r="E8" s="8">
        <v>1248.5999999999999</v>
      </c>
      <c r="F8" s="8">
        <v>0.5</v>
      </c>
      <c r="G8" s="8">
        <v>0.5</v>
      </c>
    </row>
    <row r="9" spans="1:7">
      <c r="A9" s="9" t="s">
        <v>11</v>
      </c>
      <c r="B9" s="10">
        <v>5843.9</v>
      </c>
      <c r="C9" s="10">
        <v>5815.1</v>
      </c>
      <c r="D9" s="11">
        <v>5876.7</v>
      </c>
      <c r="E9" s="10">
        <v>5850.9</v>
      </c>
      <c r="F9" s="10">
        <v>0.6</v>
      </c>
      <c r="G9" s="10">
        <v>0.6</v>
      </c>
    </row>
    <row r="10" spans="1:7" ht="14.25">
      <c r="A10" s="124" t="s">
        <v>91</v>
      </c>
      <c r="B10" s="12"/>
      <c r="C10" s="12"/>
      <c r="D10" s="12"/>
      <c r="E10" s="12"/>
      <c r="F10" s="12"/>
      <c r="G10" s="12"/>
    </row>
    <row r="11" spans="1:7">
      <c r="A11" s="7" t="s">
        <v>8</v>
      </c>
      <c r="B11" s="8">
        <v>2549.8000000000002</v>
      </c>
      <c r="C11" s="8">
        <v>2547.5</v>
      </c>
      <c r="D11" s="8">
        <v>2581.4</v>
      </c>
      <c r="E11" s="8">
        <v>2579.1</v>
      </c>
      <c r="F11" s="8">
        <v>1.2</v>
      </c>
      <c r="G11" s="8">
        <v>1.2</v>
      </c>
    </row>
    <row r="12" spans="1:7">
      <c r="A12" s="7" t="s">
        <v>9</v>
      </c>
      <c r="B12" s="8">
        <v>1992.2</v>
      </c>
      <c r="C12" s="8">
        <v>1973.2</v>
      </c>
      <c r="D12" s="8">
        <v>1999.3</v>
      </c>
      <c r="E12" s="8">
        <v>1980.4</v>
      </c>
      <c r="F12" s="8">
        <v>0.4</v>
      </c>
      <c r="G12" s="8">
        <v>0.4</v>
      </c>
    </row>
    <row r="13" spans="1:7">
      <c r="A13" s="7" t="s">
        <v>10</v>
      </c>
      <c r="B13" s="8">
        <v>1211.8</v>
      </c>
      <c r="C13" s="8">
        <v>1210.5</v>
      </c>
      <c r="D13" s="8">
        <v>1223.5999999999999</v>
      </c>
      <c r="E13" s="8">
        <v>1222.3</v>
      </c>
      <c r="F13" s="8">
        <v>1</v>
      </c>
      <c r="G13" s="8">
        <v>1</v>
      </c>
    </row>
    <row r="14" spans="1:7">
      <c r="A14" s="13" t="s">
        <v>11</v>
      </c>
      <c r="B14" s="14">
        <v>5753.8</v>
      </c>
      <c r="C14" s="14">
        <v>5731.2</v>
      </c>
      <c r="D14" s="14">
        <v>5804.2</v>
      </c>
      <c r="E14" s="14">
        <v>5781.8</v>
      </c>
      <c r="F14" s="14">
        <v>0.9</v>
      </c>
      <c r="G14" s="14">
        <v>0.9</v>
      </c>
    </row>
    <row r="15" spans="1:7">
      <c r="A15" s="15" t="s">
        <v>12</v>
      </c>
      <c r="B15" s="16"/>
      <c r="C15" s="16"/>
      <c r="D15" s="17"/>
      <c r="E15" s="16"/>
      <c r="F15" s="16"/>
      <c r="G15" s="16"/>
    </row>
    <row r="16" spans="1:7">
      <c r="A16" s="15" t="s">
        <v>13</v>
      </c>
      <c r="B16" s="16"/>
      <c r="C16" s="16"/>
      <c r="D16" s="16"/>
      <c r="E16" s="16"/>
      <c r="F16" s="16"/>
      <c r="G16" s="16"/>
    </row>
    <row r="17" spans="1:7">
      <c r="A17" s="16" t="s">
        <v>14</v>
      </c>
      <c r="B17" s="16"/>
      <c r="C17" s="16"/>
      <c r="D17" s="16"/>
      <c r="E17" s="16"/>
      <c r="F17" s="16"/>
      <c r="G17" s="16"/>
    </row>
    <row r="18" spans="1:7">
      <c r="A18" s="16" t="s">
        <v>15</v>
      </c>
      <c r="B18" s="16"/>
      <c r="C18" s="16"/>
      <c r="D18" s="16"/>
      <c r="E18" s="16"/>
      <c r="F18" s="16"/>
      <c r="G18" s="16"/>
    </row>
    <row r="19" spans="1:7">
      <c r="A19" s="18" t="s">
        <v>16</v>
      </c>
      <c r="B19" s="16"/>
      <c r="C19" s="16"/>
      <c r="D19" s="16"/>
      <c r="E19" s="16"/>
      <c r="F19" s="16"/>
      <c r="G19" s="16"/>
    </row>
  </sheetData>
  <mergeCells count="6">
    <mergeCell ref="A2:A4"/>
    <mergeCell ref="B2:C2"/>
    <mergeCell ref="D2:E2"/>
    <mergeCell ref="F2:G2"/>
    <mergeCell ref="B4:E4"/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54D9-3CC3-404D-A876-6B9B513ECEBC}">
  <dimension ref="A1:E19"/>
  <sheetViews>
    <sheetView workbookViewId="0"/>
  </sheetViews>
  <sheetFormatPr baseColWidth="10" defaultColWidth="11.42578125" defaultRowHeight="12.75"/>
  <cols>
    <col min="1" max="5" width="18.5703125" style="2" customWidth="1"/>
    <col min="6" max="16384" width="11.42578125" style="2"/>
  </cols>
  <sheetData>
    <row r="1" spans="1:5">
      <c r="A1" s="19" t="s">
        <v>17</v>
      </c>
      <c r="B1" s="19"/>
      <c r="C1" s="19"/>
      <c r="D1" s="19"/>
      <c r="E1" s="19"/>
    </row>
    <row r="2" spans="1:5">
      <c r="A2" s="20"/>
      <c r="B2" s="16"/>
      <c r="C2" s="16"/>
      <c r="D2" s="16"/>
      <c r="E2" s="21" t="s">
        <v>18</v>
      </c>
    </row>
    <row r="3" spans="1:5" ht="25.5">
      <c r="A3" s="22" t="s">
        <v>19</v>
      </c>
      <c r="B3" s="22" t="s">
        <v>8</v>
      </c>
      <c r="C3" s="22" t="s">
        <v>9</v>
      </c>
      <c r="D3" s="22" t="s">
        <v>10</v>
      </c>
      <c r="E3" s="22" t="s">
        <v>11</v>
      </c>
    </row>
    <row r="4" spans="1:5">
      <c r="A4" s="23">
        <v>2012</v>
      </c>
      <c r="B4" s="24">
        <v>-0.6</v>
      </c>
      <c r="C4" s="24">
        <v>1.6</v>
      </c>
      <c r="D4" s="24">
        <v>0.7</v>
      </c>
      <c r="E4" s="25">
        <v>0.4</v>
      </c>
    </row>
    <row r="5" spans="1:5">
      <c r="A5" s="23">
        <v>2013</v>
      </c>
      <c r="B5" s="24">
        <v>1</v>
      </c>
      <c r="C5" s="24">
        <v>2</v>
      </c>
      <c r="D5" s="24">
        <v>1.7</v>
      </c>
      <c r="E5" s="25">
        <v>1.5</v>
      </c>
    </row>
    <row r="6" spans="1:5">
      <c r="A6" s="23">
        <v>2014</v>
      </c>
      <c r="B6" s="24">
        <v>0</v>
      </c>
      <c r="C6" s="24">
        <v>1.5</v>
      </c>
      <c r="D6" s="24">
        <v>0.9</v>
      </c>
      <c r="E6" s="25">
        <v>0.7</v>
      </c>
    </row>
    <row r="7" spans="1:5">
      <c r="A7" s="23">
        <v>2015</v>
      </c>
      <c r="B7" s="24">
        <v>0.1</v>
      </c>
      <c r="C7" s="24">
        <v>0.1</v>
      </c>
      <c r="D7" s="24">
        <v>0.3</v>
      </c>
      <c r="E7" s="25">
        <v>0.1</v>
      </c>
    </row>
    <row r="8" spans="1:5">
      <c r="A8" s="23">
        <v>2016</v>
      </c>
      <c r="B8" s="24">
        <v>1</v>
      </c>
      <c r="C8" s="24">
        <v>-0.4</v>
      </c>
      <c r="D8" s="24">
        <v>0.2</v>
      </c>
      <c r="E8" s="25">
        <v>0.4</v>
      </c>
    </row>
    <row r="9" spans="1:5">
      <c r="A9" s="26">
        <v>2017</v>
      </c>
      <c r="B9" s="27">
        <v>0</v>
      </c>
      <c r="C9" s="27">
        <v>-0.4</v>
      </c>
      <c r="D9" s="27">
        <v>0</v>
      </c>
      <c r="E9" s="28">
        <v>-0.1</v>
      </c>
    </row>
    <row r="10" spans="1:5">
      <c r="A10" s="23">
        <v>2018</v>
      </c>
      <c r="B10" s="24">
        <v>-0.1</v>
      </c>
      <c r="C10" s="24">
        <v>-0.8</v>
      </c>
      <c r="D10" s="24">
        <v>-0.2</v>
      </c>
      <c r="E10" s="25">
        <v>-0.4</v>
      </c>
    </row>
    <row r="11" spans="1:5">
      <c r="A11" s="23">
        <v>2019</v>
      </c>
      <c r="B11" s="24">
        <v>0.2</v>
      </c>
      <c r="C11" s="24">
        <v>0.5</v>
      </c>
      <c r="D11" s="24">
        <v>0.3</v>
      </c>
      <c r="E11" s="25">
        <v>0.3</v>
      </c>
    </row>
    <row r="12" spans="1:5">
      <c r="A12" s="29">
        <v>2020</v>
      </c>
      <c r="B12" s="27">
        <v>0.8</v>
      </c>
      <c r="C12" s="27">
        <v>-0.4</v>
      </c>
      <c r="D12" s="27">
        <v>1.8</v>
      </c>
      <c r="E12" s="28">
        <v>0.6</v>
      </c>
    </row>
    <row r="13" spans="1:5">
      <c r="A13" s="26">
        <v>2021</v>
      </c>
      <c r="B13" s="27">
        <v>-0.1</v>
      </c>
      <c r="C13" s="27">
        <v>0.9</v>
      </c>
      <c r="D13" s="27">
        <v>0.5</v>
      </c>
      <c r="E13" s="28">
        <v>0.4</v>
      </c>
    </row>
    <row r="14" spans="1:5">
      <c r="A14" s="26">
        <v>2022</v>
      </c>
      <c r="B14" s="27">
        <v>0.6</v>
      </c>
      <c r="C14" s="27">
        <v>0</v>
      </c>
      <c r="D14" s="27">
        <v>0.1</v>
      </c>
      <c r="E14" s="28">
        <v>0.3</v>
      </c>
    </row>
    <row r="15" spans="1:5">
      <c r="A15" s="26">
        <v>2023</v>
      </c>
      <c r="B15" s="27">
        <v>0.8</v>
      </c>
      <c r="C15" s="27">
        <v>0.9</v>
      </c>
      <c r="D15" s="27">
        <v>1.9</v>
      </c>
      <c r="E15" s="28">
        <v>1.1000000000000001</v>
      </c>
    </row>
    <row r="16" spans="1:5">
      <c r="A16" s="30">
        <v>2024</v>
      </c>
      <c r="B16" s="31">
        <v>0.8</v>
      </c>
      <c r="C16" s="31">
        <v>0.3</v>
      </c>
      <c r="D16" s="31">
        <v>0.5</v>
      </c>
      <c r="E16" s="32">
        <v>0.6</v>
      </c>
    </row>
    <row r="17" spans="1:5">
      <c r="A17" s="16" t="s">
        <v>20</v>
      </c>
    </row>
    <row r="18" spans="1:5">
      <c r="A18" s="16" t="s">
        <v>45</v>
      </c>
      <c r="B18" s="16"/>
      <c r="C18" s="16"/>
      <c r="D18" s="16"/>
      <c r="E18" s="16"/>
    </row>
    <row r="19" spans="1:5">
      <c r="A19" s="20" t="s">
        <v>16</v>
      </c>
      <c r="B19" s="16"/>
      <c r="C19" s="16"/>
      <c r="D19" s="16"/>
      <c r="E19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12F9-9AC0-4705-9FE4-DBF2B91ED487}">
  <dimension ref="A1:E27"/>
  <sheetViews>
    <sheetView workbookViewId="0"/>
  </sheetViews>
  <sheetFormatPr baseColWidth="10" defaultColWidth="11.42578125" defaultRowHeight="12.75"/>
  <cols>
    <col min="1" max="1" width="28" style="2" customWidth="1"/>
    <col min="2" max="5" width="18.85546875" style="2" customWidth="1"/>
    <col min="6" max="16384" width="11.42578125" style="2"/>
  </cols>
  <sheetData>
    <row r="1" spans="1:5">
      <c r="A1" s="19" t="s">
        <v>21</v>
      </c>
      <c r="B1" s="19"/>
      <c r="C1" s="19"/>
      <c r="D1" s="19"/>
      <c r="E1" s="19"/>
    </row>
    <row r="2" spans="1:5">
      <c r="A2" s="19"/>
      <c r="E2" s="3" t="s">
        <v>22</v>
      </c>
    </row>
    <row r="3" spans="1:5" ht="25.5">
      <c r="A3" s="33" t="s">
        <v>23</v>
      </c>
      <c r="B3" s="58" t="s">
        <v>8</v>
      </c>
      <c r="C3" s="90" t="s">
        <v>9</v>
      </c>
      <c r="D3" s="58" t="s">
        <v>10</v>
      </c>
      <c r="E3" s="83" t="s">
        <v>11</v>
      </c>
    </row>
    <row r="4" spans="1:5">
      <c r="A4" s="125" t="s">
        <v>24</v>
      </c>
      <c r="B4" s="91"/>
      <c r="C4" s="92"/>
      <c r="D4" s="92"/>
      <c r="E4" s="93"/>
    </row>
    <row r="5" spans="1:5">
      <c r="A5" s="20" t="s">
        <v>25</v>
      </c>
      <c r="B5" s="37">
        <v>58.1</v>
      </c>
      <c r="C5" s="37">
        <v>69.5</v>
      </c>
      <c r="D5" s="37">
        <v>66.2</v>
      </c>
      <c r="E5" s="38">
        <v>63.8</v>
      </c>
    </row>
    <row r="6" spans="1:5">
      <c r="A6" s="20" t="s">
        <v>26</v>
      </c>
      <c r="B6" s="37">
        <v>23.2</v>
      </c>
      <c r="C6" s="37">
        <v>26.4</v>
      </c>
      <c r="D6" s="37">
        <v>21.7</v>
      </c>
      <c r="E6" s="38">
        <v>24</v>
      </c>
    </row>
    <row r="7" spans="1:5">
      <c r="A7" s="20" t="s">
        <v>27</v>
      </c>
      <c r="B7" s="37">
        <v>12.1</v>
      </c>
      <c r="C7" s="39" t="s">
        <v>28</v>
      </c>
      <c r="D7" s="39" t="s">
        <v>28</v>
      </c>
      <c r="E7" s="38">
        <v>5.3</v>
      </c>
    </row>
    <row r="8" spans="1:5">
      <c r="A8" s="20" t="s">
        <v>29</v>
      </c>
      <c r="B8" s="37">
        <v>0.1</v>
      </c>
      <c r="C8" s="37">
        <v>1</v>
      </c>
      <c r="D8" s="37">
        <v>0.1</v>
      </c>
      <c r="E8" s="38">
        <v>0.4</v>
      </c>
    </row>
    <row r="9" spans="1:5">
      <c r="A9" s="40" t="s">
        <v>30</v>
      </c>
      <c r="B9" s="37">
        <v>6.5</v>
      </c>
      <c r="C9" s="37">
        <v>3</v>
      </c>
      <c r="D9" s="37">
        <v>12.1</v>
      </c>
      <c r="E9" s="38">
        <v>6.5</v>
      </c>
    </row>
    <row r="10" spans="1:5" ht="14.25">
      <c r="A10" s="126" t="s">
        <v>92</v>
      </c>
      <c r="B10" s="94"/>
      <c r="C10" s="41"/>
      <c r="D10" s="41"/>
      <c r="E10" s="95"/>
    </row>
    <row r="11" spans="1:5">
      <c r="A11" s="20" t="s">
        <v>31</v>
      </c>
      <c r="B11" s="96">
        <v>54.5</v>
      </c>
      <c r="C11" s="97">
        <v>13.1</v>
      </c>
      <c r="D11" s="42">
        <v>46.1</v>
      </c>
      <c r="E11" s="98">
        <v>38.4</v>
      </c>
    </row>
    <row r="12" spans="1:5">
      <c r="A12" s="20" t="s">
        <v>32</v>
      </c>
      <c r="B12" s="96">
        <v>24.9</v>
      </c>
      <c r="C12" s="97">
        <v>14.9</v>
      </c>
      <c r="D12" s="42">
        <v>28.3</v>
      </c>
      <c r="E12" s="98">
        <v>22.1</v>
      </c>
    </row>
    <row r="13" spans="1:5">
      <c r="A13" s="18" t="s">
        <v>89</v>
      </c>
      <c r="B13" s="96">
        <v>17.899999999999999</v>
      </c>
      <c r="C13" s="97">
        <v>70</v>
      </c>
      <c r="D13" s="42">
        <v>24.8</v>
      </c>
      <c r="E13" s="98">
        <v>37.4</v>
      </c>
    </row>
    <row r="14" spans="1:5">
      <c r="A14" s="20" t="s">
        <v>33</v>
      </c>
      <c r="B14" s="96">
        <v>2.7</v>
      </c>
      <c r="C14" s="97">
        <v>2</v>
      </c>
      <c r="D14" s="42">
        <v>0.7</v>
      </c>
      <c r="E14" s="98">
        <v>2</v>
      </c>
    </row>
    <row r="15" spans="1:5">
      <c r="A15" s="126" t="s">
        <v>34</v>
      </c>
      <c r="B15" s="94"/>
      <c r="C15" s="41"/>
      <c r="D15" s="41"/>
      <c r="E15" s="95"/>
    </row>
    <row r="16" spans="1:5">
      <c r="A16" s="43" t="s">
        <v>35</v>
      </c>
      <c r="B16" s="96">
        <v>7</v>
      </c>
      <c r="C16" s="97">
        <v>5.7</v>
      </c>
      <c r="D16" s="42">
        <v>6.1</v>
      </c>
      <c r="E16" s="98">
        <v>6.4</v>
      </c>
    </row>
    <row r="17" spans="1:5">
      <c r="A17" s="43" t="s">
        <v>36</v>
      </c>
      <c r="B17" s="96">
        <v>19.7</v>
      </c>
      <c r="C17" s="97">
        <v>14.1</v>
      </c>
      <c r="D17" s="42">
        <v>23.7</v>
      </c>
      <c r="E17" s="98">
        <v>18.600000000000001</v>
      </c>
    </row>
    <row r="18" spans="1:5">
      <c r="A18" s="43" t="s">
        <v>37</v>
      </c>
      <c r="B18" s="96">
        <v>37.700000000000003</v>
      </c>
      <c r="C18" s="97">
        <v>35.799999999999997</v>
      </c>
      <c r="D18" s="42">
        <v>38</v>
      </c>
      <c r="E18" s="98">
        <v>37.1</v>
      </c>
    </row>
    <row r="19" spans="1:5">
      <c r="A19" s="44" t="s">
        <v>38</v>
      </c>
      <c r="B19" s="96">
        <v>35.6</v>
      </c>
      <c r="C19" s="97">
        <v>44.4</v>
      </c>
      <c r="D19" s="42">
        <v>32.200000000000003</v>
      </c>
      <c r="E19" s="98">
        <v>37.9</v>
      </c>
    </row>
    <row r="20" spans="1:5">
      <c r="A20" s="126" t="s">
        <v>39</v>
      </c>
      <c r="B20" s="94"/>
      <c r="C20" s="41"/>
      <c r="D20" s="41"/>
      <c r="E20" s="95"/>
    </row>
    <row r="21" spans="1:5" ht="14.25">
      <c r="A21" s="45" t="s">
        <v>40</v>
      </c>
      <c r="B21" s="99">
        <v>13.9</v>
      </c>
      <c r="C21" s="100">
        <v>19.600000000000001</v>
      </c>
      <c r="D21" s="101">
        <v>15.8</v>
      </c>
      <c r="E21" s="102">
        <v>16.3</v>
      </c>
    </row>
    <row r="22" spans="1:5">
      <c r="A22" s="18" t="s">
        <v>41</v>
      </c>
    </row>
    <row r="23" spans="1:5" ht="27.75" customHeight="1">
      <c r="A23" s="112" t="s">
        <v>42</v>
      </c>
      <c r="B23" s="112"/>
      <c r="C23" s="112"/>
      <c r="D23" s="112"/>
      <c r="E23" s="112"/>
    </row>
    <row r="24" spans="1:5">
      <c r="A24" s="18" t="s">
        <v>43</v>
      </c>
    </row>
    <row r="25" spans="1:5">
      <c r="A25" s="20" t="s">
        <v>44</v>
      </c>
    </row>
    <row r="26" spans="1:5">
      <c r="A26" s="20" t="s">
        <v>45</v>
      </c>
    </row>
    <row r="27" spans="1:5">
      <c r="A27" s="20" t="s">
        <v>16</v>
      </c>
    </row>
  </sheetData>
  <mergeCells count="1">
    <mergeCell ref="A23:E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671A-8CC6-44EC-85B4-BB0A793CBD3B}">
  <dimension ref="A1:E23"/>
  <sheetViews>
    <sheetView workbookViewId="0"/>
  </sheetViews>
  <sheetFormatPr baseColWidth="10" defaultColWidth="11.42578125" defaultRowHeight="12.75"/>
  <cols>
    <col min="1" max="1" width="30.42578125" style="2" customWidth="1"/>
    <col min="2" max="5" width="18.5703125" style="2" customWidth="1"/>
    <col min="6" max="16384" width="11.42578125" style="2"/>
  </cols>
  <sheetData>
    <row r="1" spans="1:5">
      <c r="A1" s="19" t="s">
        <v>46</v>
      </c>
      <c r="B1" s="19"/>
      <c r="C1" s="19"/>
      <c r="D1" s="19"/>
      <c r="E1" s="19"/>
    </row>
    <row r="2" spans="1:5">
      <c r="A2" s="19"/>
      <c r="E2" s="3" t="s">
        <v>22</v>
      </c>
    </row>
    <row r="3" spans="1:5" ht="25.5">
      <c r="A3" s="33" t="s">
        <v>23</v>
      </c>
      <c r="B3" s="5" t="s">
        <v>47</v>
      </c>
      <c r="C3" s="34" t="s">
        <v>9</v>
      </c>
      <c r="D3" s="5" t="s">
        <v>10</v>
      </c>
      <c r="E3" s="47" t="s">
        <v>11</v>
      </c>
    </row>
    <row r="4" spans="1:5">
      <c r="A4" s="123" t="s">
        <v>24</v>
      </c>
      <c r="B4" s="6"/>
      <c r="C4" s="6"/>
      <c r="D4" s="6"/>
      <c r="E4" s="6"/>
    </row>
    <row r="5" spans="1:5">
      <c r="A5" s="23" t="s">
        <v>25</v>
      </c>
      <c r="B5" s="8">
        <v>61.5</v>
      </c>
      <c r="C5" s="8">
        <v>59.1</v>
      </c>
      <c r="D5" s="8">
        <v>82</v>
      </c>
      <c r="E5" s="48">
        <v>65.099999999999994</v>
      </c>
    </row>
    <row r="6" spans="1:5">
      <c r="A6" s="23" t="s">
        <v>26</v>
      </c>
      <c r="B6" s="8">
        <v>68.3</v>
      </c>
      <c r="C6" s="8">
        <v>66</v>
      </c>
      <c r="D6" s="8">
        <v>78.099999999999994</v>
      </c>
      <c r="E6" s="48">
        <v>69.3</v>
      </c>
    </row>
    <row r="7" spans="1:5">
      <c r="A7" s="23" t="s">
        <v>27</v>
      </c>
      <c r="B7" s="8">
        <v>19.100000000000001</v>
      </c>
      <c r="C7" s="49" t="s">
        <v>28</v>
      </c>
      <c r="D7" s="49" t="s">
        <v>28</v>
      </c>
      <c r="E7" s="48">
        <v>19.100000000000001</v>
      </c>
    </row>
    <row r="8" spans="1:5">
      <c r="A8" s="23" t="s">
        <v>29</v>
      </c>
      <c r="B8" s="8">
        <v>77.3</v>
      </c>
      <c r="C8" s="8">
        <v>57.5</v>
      </c>
      <c r="D8" s="8">
        <v>75.400000000000006</v>
      </c>
      <c r="E8" s="48">
        <v>61</v>
      </c>
    </row>
    <row r="9" spans="1:5">
      <c r="A9" s="23" t="s">
        <v>30</v>
      </c>
      <c r="B9" s="8">
        <v>66.400000000000006</v>
      </c>
      <c r="C9" s="8">
        <v>76.599999999999994</v>
      </c>
      <c r="D9" s="8">
        <v>56.3</v>
      </c>
      <c r="E9" s="48">
        <v>64.099999999999994</v>
      </c>
    </row>
    <row r="10" spans="1:5" ht="14.25">
      <c r="A10" s="126" t="s">
        <v>92</v>
      </c>
      <c r="B10" s="12"/>
      <c r="C10" s="12"/>
      <c r="D10" s="12"/>
      <c r="E10" s="12"/>
    </row>
    <row r="11" spans="1:5">
      <c r="A11" s="23" t="s">
        <v>31</v>
      </c>
      <c r="B11" s="50">
        <v>63.9</v>
      </c>
      <c r="C11" s="8">
        <v>69.599999999999994</v>
      </c>
      <c r="D11" s="50">
        <v>77.5</v>
      </c>
      <c r="E11" s="48">
        <v>68.099999999999994</v>
      </c>
    </row>
    <row r="12" spans="1:5">
      <c r="A12" s="23" t="s">
        <v>32</v>
      </c>
      <c r="B12" s="50">
        <v>43.5</v>
      </c>
      <c r="C12" s="8">
        <v>64.400000000000006</v>
      </c>
      <c r="D12" s="50">
        <v>86.5</v>
      </c>
      <c r="E12" s="48">
        <v>60.1</v>
      </c>
    </row>
    <row r="13" spans="1:5">
      <c r="A13" s="51" t="s">
        <v>89</v>
      </c>
      <c r="B13" s="52">
        <v>61.3</v>
      </c>
      <c r="C13" s="8">
        <v>59.1</v>
      </c>
      <c r="D13" s="50">
        <v>70.3</v>
      </c>
      <c r="E13" s="48">
        <v>61.1</v>
      </c>
    </row>
    <row r="14" spans="1:5">
      <c r="A14" s="23" t="s">
        <v>33</v>
      </c>
      <c r="B14" s="50">
        <v>60.6</v>
      </c>
      <c r="C14" s="8">
        <v>68.400000000000006</v>
      </c>
      <c r="D14" s="50">
        <v>50.2</v>
      </c>
      <c r="E14" s="48">
        <v>62.5</v>
      </c>
    </row>
    <row r="15" spans="1:5">
      <c r="A15" s="127" t="s">
        <v>39</v>
      </c>
      <c r="B15" s="53"/>
      <c r="C15" s="53"/>
      <c r="D15" s="53"/>
      <c r="E15" s="53"/>
    </row>
    <row r="16" spans="1:5" ht="14.25">
      <c r="A16" s="43" t="s">
        <v>40</v>
      </c>
      <c r="B16" s="8">
        <v>84.7</v>
      </c>
      <c r="C16" s="8">
        <v>82.1</v>
      </c>
      <c r="D16" s="52">
        <v>87.3</v>
      </c>
      <c r="E16" s="48">
        <v>84.1</v>
      </c>
    </row>
    <row r="17" spans="1:5">
      <c r="A17" s="54" t="s">
        <v>48</v>
      </c>
      <c r="B17" s="55">
        <v>58.3</v>
      </c>
      <c r="C17" s="56">
        <v>61.4</v>
      </c>
      <c r="D17" s="55">
        <v>78.099999999999994</v>
      </c>
      <c r="E17" s="46">
        <v>63.6</v>
      </c>
    </row>
    <row r="18" spans="1:5">
      <c r="A18" s="20" t="s">
        <v>41</v>
      </c>
      <c r="B18" s="57"/>
      <c r="C18" s="57"/>
      <c r="D18" s="57"/>
      <c r="E18" s="57"/>
    </row>
    <row r="19" spans="1:5" ht="30" customHeight="1">
      <c r="A19" s="112" t="s">
        <v>42</v>
      </c>
      <c r="B19" s="112"/>
      <c r="C19" s="112"/>
      <c r="D19" s="112"/>
      <c r="E19" s="112"/>
    </row>
    <row r="20" spans="1:5">
      <c r="A20" s="18" t="s">
        <v>43</v>
      </c>
    </row>
    <row r="21" spans="1:5">
      <c r="A21" s="20" t="s">
        <v>49</v>
      </c>
    </row>
    <row r="22" spans="1:5">
      <c r="A22" s="20" t="s">
        <v>45</v>
      </c>
    </row>
    <row r="23" spans="1:5">
      <c r="A23" s="20" t="s">
        <v>16</v>
      </c>
    </row>
  </sheetData>
  <mergeCells count="1">
    <mergeCell ref="A19:E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4C19-6375-447C-A7C1-84DC9FD8C617}">
  <dimension ref="A1:C38"/>
  <sheetViews>
    <sheetView workbookViewId="0"/>
  </sheetViews>
  <sheetFormatPr baseColWidth="10" defaultColWidth="11.42578125" defaultRowHeight="12.75"/>
  <cols>
    <col min="1" max="1" width="37.140625" style="2" customWidth="1"/>
    <col min="2" max="3" width="27.140625" style="2" customWidth="1"/>
    <col min="4" max="16384" width="11.42578125" style="2"/>
  </cols>
  <sheetData>
    <row r="1" spans="1:3">
      <c r="A1" s="19" t="s">
        <v>50</v>
      </c>
      <c r="B1" s="19"/>
      <c r="C1" s="19"/>
    </row>
    <row r="2" spans="1:3">
      <c r="A2" s="19"/>
      <c r="B2" s="19"/>
      <c r="C2" s="3" t="s">
        <v>1</v>
      </c>
    </row>
    <row r="3" spans="1:3">
      <c r="A3" s="58" t="s">
        <v>51</v>
      </c>
      <c r="B3" s="58" t="s">
        <v>52</v>
      </c>
      <c r="C3" s="59" t="s">
        <v>53</v>
      </c>
    </row>
    <row r="4" spans="1:3">
      <c r="A4" s="128" t="s">
        <v>8</v>
      </c>
      <c r="B4" s="36"/>
      <c r="C4" s="36"/>
    </row>
    <row r="5" spans="1:3">
      <c r="A5" s="60">
        <v>2022</v>
      </c>
      <c r="B5" s="42">
        <v>210</v>
      </c>
      <c r="C5" s="42">
        <v>186.4</v>
      </c>
    </row>
    <row r="6" spans="1:3">
      <c r="A6" s="60">
        <v>2023</v>
      </c>
      <c r="B6" s="42">
        <v>200.3</v>
      </c>
      <c r="C6" s="42">
        <v>180.5</v>
      </c>
    </row>
    <row r="7" spans="1:3">
      <c r="A7" s="60">
        <v>2024</v>
      </c>
      <c r="B7" s="42">
        <v>188.2</v>
      </c>
      <c r="C7" s="42">
        <v>173.3</v>
      </c>
    </row>
    <row r="8" spans="1:3">
      <c r="A8" s="124" t="s">
        <v>9</v>
      </c>
      <c r="B8" s="12"/>
      <c r="C8" s="12"/>
    </row>
    <row r="9" spans="1:3">
      <c r="A9" s="60">
        <v>2022</v>
      </c>
      <c r="B9" s="42">
        <v>210.8</v>
      </c>
      <c r="C9" s="42">
        <v>209.7</v>
      </c>
    </row>
    <row r="10" spans="1:3">
      <c r="A10" s="60">
        <v>2023</v>
      </c>
      <c r="B10" s="42">
        <v>223.8</v>
      </c>
      <c r="C10" s="42">
        <v>205.4</v>
      </c>
    </row>
    <row r="11" spans="1:3">
      <c r="A11" s="60">
        <v>2024</v>
      </c>
      <c r="B11" s="42">
        <v>222.9</v>
      </c>
      <c r="C11" s="42">
        <v>215</v>
      </c>
    </row>
    <row r="12" spans="1:3">
      <c r="A12" s="124" t="s">
        <v>10</v>
      </c>
      <c r="B12" s="12"/>
      <c r="C12" s="12"/>
    </row>
    <row r="13" spans="1:3">
      <c r="A13" s="60">
        <v>2022</v>
      </c>
      <c r="B13" s="42">
        <v>124.5</v>
      </c>
      <c r="C13" s="42">
        <v>122.6</v>
      </c>
    </row>
    <row r="14" spans="1:3">
      <c r="A14" s="60">
        <v>2023</v>
      </c>
      <c r="B14" s="42">
        <v>122.9</v>
      </c>
      <c r="C14" s="42">
        <v>99.6</v>
      </c>
    </row>
    <row r="15" spans="1:3">
      <c r="A15" s="60">
        <v>2024</v>
      </c>
      <c r="B15" s="42">
        <v>117.7</v>
      </c>
      <c r="C15" s="42">
        <v>111</v>
      </c>
    </row>
    <row r="16" spans="1:3">
      <c r="A16" s="129" t="s">
        <v>25</v>
      </c>
      <c r="B16" s="41"/>
      <c r="C16" s="41"/>
    </row>
    <row r="17" spans="1:3">
      <c r="A17" s="60">
        <v>2022</v>
      </c>
      <c r="B17" s="42">
        <v>91.9</v>
      </c>
      <c r="C17" s="42">
        <v>199.7</v>
      </c>
    </row>
    <row r="18" spans="1:3">
      <c r="A18" s="60">
        <v>2023</v>
      </c>
      <c r="B18" s="42">
        <v>71.7</v>
      </c>
      <c r="C18" s="42">
        <v>179.4</v>
      </c>
    </row>
    <row r="19" spans="1:3">
      <c r="A19" s="60">
        <v>2024</v>
      </c>
      <c r="B19" s="42">
        <v>70.900000000000006</v>
      </c>
      <c r="C19" s="42">
        <v>175.1</v>
      </c>
    </row>
    <row r="20" spans="1:3">
      <c r="A20" s="124" t="s">
        <v>26</v>
      </c>
      <c r="B20" s="12"/>
      <c r="C20" s="12"/>
    </row>
    <row r="21" spans="1:3">
      <c r="A21" s="60">
        <v>2022</v>
      </c>
      <c r="B21" s="42">
        <v>381.6</v>
      </c>
      <c r="C21" s="42">
        <v>248.1</v>
      </c>
    </row>
    <row r="22" spans="1:3">
      <c r="A22" s="60">
        <v>2023</v>
      </c>
      <c r="B22" s="42">
        <v>402.6</v>
      </c>
      <c r="C22" s="42">
        <v>245.9</v>
      </c>
    </row>
    <row r="23" spans="1:3">
      <c r="A23" s="60">
        <v>2024</v>
      </c>
      <c r="B23" s="42">
        <v>388.7</v>
      </c>
      <c r="C23" s="42">
        <v>263</v>
      </c>
    </row>
    <row r="24" spans="1:3">
      <c r="A24" s="124" t="s">
        <v>29</v>
      </c>
      <c r="B24" s="12"/>
      <c r="C24" s="12"/>
    </row>
    <row r="25" spans="1:3">
      <c r="A25" s="60">
        <v>2022</v>
      </c>
      <c r="B25" s="42">
        <v>19.5</v>
      </c>
      <c r="C25" s="42">
        <v>21.6</v>
      </c>
    </row>
    <row r="26" spans="1:3">
      <c r="A26" s="60">
        <v>2023</v>
      </c>
      <c r="B26" s="42">
        <v>19.5</v>
      </c>
      <c r="C26" s="42">
        <v>15.2</v>
      </c>
    </row>
    <row r="27" spans="1:3">
      <c r="A27" s="60">
        <v>2024</v>
      </c>
      <c r="B27" s="42">
        <v>17</v>
      </c>
      <c r="C27" s="42">
        <v>15.3</v>
      </c>
    </row>
    <row r="28" spans="1:3">
      <c r="A28" s="124" t="s">
        <v>30</v>
      </c>
      <c r="B28" s="12"/>
      <c r="C28" s="12"/>
    </row>
    <row r="29" spans="1:3">
      <c r="A29" s="60">
        <v>2022</v>
      </c>
      <c r="B29" s="42">
        <v>52.4</v>
      </c>
      <c r="C29" s="42">
        <v>49.3</v>
      </c>
    </row>
    <row r="30" spans="1:3">
      <c r="A30" s="60">
        <v>2023</v>
      </c>
      <c r="B30" s="42">
        <v>53.1</v>
      </c>
      <c r="C30" s="42">
        <v>45.1</v>
      </c>
    </row>
    <row r="31" spans="1:3">
      <c r="A31" s="60">
        <v>2024</v>
      </c>
      <c r="B31" s="42">
        <v>52.3</v>
      </c>
      <c r="C31" s="42">
        <v>45.9</v>
      </c>
    </row>
    <row r="32" spans="1:3">
      <c r="A32" s="127" t="s">
        <v>11</v>
      </c>
      <c r="B32" s="53"/>
      <c r="C32" s="53"/>
    </row>
    <row r="33" spans="1:3">
      <c r="A33" s="61">
        <v>2022</v>
      </c>
      <c r="B33" s="62">
        <v>545.29999999999995</v>
      </c>
      <c r="C33" s="62">
        <v>518.6</v>
      </c>
    </row>
    <row r="34" spans="1:3">
      <c r="A34" s="61">
        <v>2023</v>
      </c>
      <c r="B34" s="62">
        <v>547</v>
      </c>
      <c r="C34" s="62">
        <v>485.5</v>
      </c>
    </row>
    <row r="35" spans="1:3">
      <c r="A35" s="63">
        <v>2024</v>
      </c>
      <c r="B35" s="55">
        <v>528.79999999999995</v>
      </c>
      <c r="C35" s="55">
        <v>499.4</v>
      </c>
    </row>
    <row r="36" spans="1:3">
      <c r="A36" s="2" t="s">
        <v>54</v>
      </c>
    </row>
    <row r="37" spans="1:3">
      <c r="A37" s="20" t="s">
        <v>55</v>
      </c>
    </row>
    <row r="38" spans="1:3">
      <c r="A38" s="20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CF8A4-9849-4F25-84CE-8EE62BC76C65}">
  <dimension ref="A1:F26"/>
  <sheetViews>
    <sheetView workbookViewId="0"/>
  </sheetViews>
  <sheetFormatPr baseColWidth="10" defaultColWidth="11.42578125" defaultRowHeight="12.75"/>
  <cols>
    <col min="1" max="1" width="35.7109375" style="2" customWidth="1"/>
    <col min="2" max="2" width="20.140625" style="2" customWidth="1"/>
    <col min="3" max="3" width="17.85546875" style="2" customWidth="1"/>
    <col min="4" max="4" width="22.140625" style="2" customWidth="1"/>
    <col min="5" max="5" width="14.28515625" style="2" customWidth="1"/>
    <col min="6" max="16384" width="11.42578125" style="2"/>
  </cols>
  <sheetData>
    <row r="1" spans="1:6">
      <c r="A1" s="1" t="s">
        <v>56</v>
      </c>
      <c r="B1" s="1"/>
      <c r="C1" s="1"/>
      <c r="D1" s="1"/>
      <c r="E1" s="1"/>
    </row>
    <row r="2" spans="1:6">
      <c r="A2" s="19"/>
      <c r="B2" s="19"/>
      <c r="D2" s="89" t="s">
        <v>1</v>
      </c>
      <c r="E2" s="3"/>
    </row>
    <row r="3" spans="1:6" ht="25.5">
      <c r="A3" s="88" t="s">
        <v>24</v>
      </c>
      <c r="B3" s="114">
        <v>2023</v>
      </c>
      <c r="C3" s="114">
        <v>2024</v>
      </c>
      <c r="D3" s="115" t="s">
        <v>5</v>
      </c>
    </row>
    <row r="4" spans="1:6">
      <c r="A4" s="130" t="s">
        <v>47</v>
      </c>
      <c r="B4" s="116"/>
      <c r="C4" s="116"/>
      <c r="D4" s="117"/>
    </row>
    <row r="5" spans="1:6">
      <c r="A5" s="84" t="s">
        <v>57</v>
      </c>
      <c r="B5" s="118" t="s">
        <v>86</v>
      </c>
      <c r="C5" s="118" t="s">
        <v>87</v>
      </c>
      <c r="D5" s="118">
        <v>0</v>
      </c>
      <c r="F5" s="103"/>
    </row>
    <row r="6" spans="1:6">
      <c r="A6" s="84" t="s">
        <v>26</v>
      </c>
      <c r="B6" s="118">
        <v>578.9</v>
      </c>
      <c r="C6" s="118">
        <v>599.29999999999995</v>
      </c>
      <c r="D6" s="118">
        <v>3.5</v>
      </c>
      <c r="F6" s="103"/>
    </row>
    <row r="7" spans="1:6">
      <c r="A7" s="84" t="s">
        <v>29</v>
      </c>
      <c r="B7" s="118">
        <v>3.6</v>
      </c>
      <c r="C7" s="118">
        <v>3.4</v>
      </c>
      <c r="D7" s="118">
        <v>-6.1</v>
      </c>
      <c r="F7" s="103"/>
    </row>
    <row r="8" spans="1:6">
      <c r="A8" s="85" t="s">
        <v>30</v>
      </c>
      <c r="B8" s="119">
        <v>168.9</v>
      </c>
      <c r="C8" s="119">
        <v>169.4</v>
      </c>
      <c r="D8" s="119">
        <v>0.2</v>
      </c>
      <c r="F8" s="103"/>
    </row>
    <row r="9" spans="1:6">
      <c r="A9" s="131" t="s">
        <v>9</v>
      </c>
      <c r="B9" s="120"/>
      <c r="C9" s="120"/>
      <c r="D9" s="120"/>
      <c r="F9" s="103"/>
    </row>
    <row r="10" spans="1:6">
      <c r="A10" s="84" t="s">
        <v>57</v>
      </c>
      <c r="B10" s="118">
        <v>1421.8</v>
      </c>
      <c r="C10" s="118">
        <v>1417.6</v>
      </c>
      <c r="D10" s="118">
        <v>-0.3</v>
      </c>
      <c r="F10" s="103"/>
    </row>
    <row r="11" spans="1:6">
      <c r="A11" s="84" t="s">
        <v>26</v>
      </c>
      <c r="B11" s="118">
        <v>525.5</v>
      </c>
      <c r="C11" s="118">
        <v>539</v>
      </c>
      <c r="D11" s="118">
        <v>2.6</v>
      </c>
      <c r="F11" s="103"/>
    </row>
    <row r="12" spans="1:6">
      <c r="A12" s="84" t="s">
        <v>29</v>
      </c>
      <c r="B12" s="118">
        <v>23.6</v>
      </c>
      <c r="C12" s="118">
        <v>21</v>
      </c>
      <c r="D12" s="118">
        <v>-10.9</v>
      </c>
      <c r="F12" s="103"/>
    </row>
    <row r="13" spans="1:6">
      <c r="A13" s="85" t="s">
        <v>30</v>
      </c>
      <c r="B13" s="119">
        <v>62.1</v>
      </c>
      <c r="C13" s="119">
        <v>61.8</v>
      </c>
      <c r="D13" s="119">
        <v>-0.4</v>
      </c>
      <c r="F13" s="103"/>
    </row>
    <row r="14" spans="1:6">
      <c r="A14" s="131" t="s">
        <v>10</v>
      </c>
      <c r="B14" s="120"/>
      <c r="C14" s="120"/>
      <c r="D14" s="120"/>
      <c r="F14" s="103"/>
    </row>
    <row r="15" spans="1:6">
      <c r="A15" s="84" t="s">
        <v>57</v>
      </c>
      <c r="B15" s="118">
        <v>826.7</v>
      </c>
      <c r="C15" s="118">
        <v>827</v>
      </c>
      <c r="D15" s="118">
        <v>0</v>
      </c>
      <c r="F15" s="103"/>
    </row>
    <row r="16" spans="1:6">
      <c r="A16" s="84" t="s">
        <v>26</v>
      </c>
      <c r="B16" s="118">
        <v>268.7</v>
      </c>
      <c r="C16" s="118">
        <v>270.8</v>
      </c>
      <c r="D16" s="118">
        <v>0.8</v>
      </c>
      <c r="F16" s="103"/>
    </row>
    <row r="17" spans="1:6">
      <c r="A17" s="84" t="s">
        <v>29</v>
      </c>
      <c r="B17" s="118">
        <v>1.5</v>
      </c>
      <c r="C17" s="118">
        <v>1.4</v>
      </c>
      <c r="D17" s="118">
        <v>-11.8</v>
      </c>
      <c r="F17" s="103"/>
    </row>
    <row r="18" spans="1:6">
      <c r="A18" s="85" t="s">
        <v>30</v>
      </c>
      <c r="B18" s="119">
        <v>147.19999999999999</v>
      </c>
      <c r="C18" s="119">
        <v>150.80000000000001</v>
      </c>
      <c r="D18" s="119">
        <v>2.4</v>
      </c>
      <c r="F18" s="103"/>
    </row>
    <row r="19" spans="1:6">
      <c r="A19" s="86" t="s">
        <v>11</v>
      </c>
      <c r="B19" s="118"/>
      <c r="C19" s="118"/>
      <c r="D19" s="118"/>
      <c r="F19" s="103"/>
    </row>
    <row r="20" spans="1:6">
      <c r="A20" s="86" t="s">
        <v>57</v>
      </c>
      <c r="B20" s="121">
        <v>4063.8</v>
      </c>
      <c r="C20" s="121">
        <v>4059.9</v>
      </c>
      <c r="D20" s="121">
        <v>-0.1</v>
      </c>
      <c r="F20" s="103"/>
    </row>
    <row r="21" spans="1:6">
      <c r="A21" s="86" t="s">
        <v>26</v>
      </c>
      <c r="B21" s="121">
        <v>1373.1</v>
      </c>
      <c r="C21" s="121">
        <v>1409</v>
      </c>
      <c r="D21" s="121">
        <v>2.6</v>
      </c>
      <c r="F21" s="103"/>
    </row>
    <row r="22" spans="1:6">
      <c r="A22" s="86" t="s">
        <v>29</v>
      </c>
      <c r="B22" s="121">
        <v>28.8</v>
      </c>
      <c r="C22" s="121">
        <v>25.8</v>
      </c>
      <c r="D22" s="121">
        <v>-10.4</v>
      </c>
      <c r="F22" s="103"/>
    </row>
    <row r="23" spans="1:6">
      <c r="A23" s="87" t="s">
        <v>30</v>
      </c>
      <c r="B23" s="122">
        <v>378.3</v>
      </c>
      <c r="C23" s="122">
        <v>382</v>
      </c>
      <c r="D23" s="122">
        <v>1</v>
      </c>
      <c r="F23" s="103"/>
    </row>
    <row r="24" spans="1:6">
      <c r="A24" s="64" t="s">
        <v>58</v>
      </c>
      <c r="C24" s="50"/>
      <c r="D24" s="50"/>
      <c r="E24" s="50"/>
    </row>
    <row r="25" spans="1:6">
      <c r="A25" s="20" t="s">
        <v>45</v>
      </c>
      <c r="C25" s="50"/>
      <c r="D25" s="50"/>
      <c r="E25" s="50"/>
    </row>
    <row r="26" spans="1:6">
      <c r="A26" s="20" t="s">
        <v>16</v>
      </c>
      <c r="C26" s="50"/>
      <c r="D26" s="50"/>
      <c r="E26" s="5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0B98-AC3F-42E0-B56D-91767ACFF7AB}">
  <dimension ref="A1:G27"/>
  <sheetViews>
    <sheetView workbookViewId="0"/>
  </sheetViews>
  <sheetFormatPr baseColWidth="10" defaultRowHeight="12.75" customHeight="1"/>
  <cols>
    <col min="1" max="1" width="54.28515625" style="2" customWidth="1"/>
    <col min="2" max="3" width="14.7109375" style="2" customWidth="1"/>
    <col min="4" max="4" width="21.140625" style="2" customWidth="1"/>
    <col min="5" max="5" width="13.42578125" style="2" customWidth="1"/>
    <col min="6" max="16374" width="12.140625" style="2" customWidth="1"/>
    <col min="16375" max="16384" width="11.42578125" style="2"/>
  </cols>
  <sheetData>
    <row r="1" spans="1:7" ht="12.75" customHeight="1">
      <c r="A1" s="65" t="s">
        <v>59</v>
      </c>
      <c r="B1" s="65"/>
      <c r="C1" s="65"/>
      <c r="D1" s="65"/>
      <c r="E1" s="65"/>
      <c r="F1" s="65"/>
      <c r="G1" s="65"/>
    </row>
    <row r="2" spans="1:7" ht="12.75" customHeight="1">
      <c r="A2" s="19"/>
      <c r="D2" s="3" t="s">
        <v>1</v>
      </c>
    </row>
    <row r="3" spans="1:7" ht="30" customHeight="1">
      <c r="A3" s="66" t="s">
        <v>60</v>
      </c>
      <c r="B3" s="67">
        <v>2023</v>
      </c>
      <c r="C3" s="67">
        <v>2024</v>
      </c>
      <c r="D3" s="35" t="s">
        <v>5</v>
      </c>
    </row>
    <row r="4" spans="1:7" ht="12.75" customHeight="1">
      <c r="A4" s="132" t="s">
        <v>47</v>
      </c>
      <c r="B4" s="68"/>
      <c r="C4" s="68"/>
      <c r="D4" s="68"/>
    </row>
    <row r="5" spans="1:7" ht="12.75" customHeight="1">
      <c r="A5" s="61" t="s">
        <v>61</v>
      </c>
      <c r="B5" s="62" t="s">
        <v>82</v>
      </c>
      <c r="C5" s="62" t="s">
        <v>83</v>
      </c>
      <c r="D5" s="62">
        <v>2.5</v>
      </c>
    </row>
    <row r="6" spans="1:7" ht="12.75" customHeight="1">
      <c r="A6" s="69" t="s">
        <v>62</v>
      </c>
      <c r="B6" s="70">
        <v>1100.3</v>
      </c>
      <c r="C6" s="70">
        <v>1142.5</v>
      </c>
      <c r="D6" s="70">
        <v>3.8</v>
      </c>
    </row>
    <row r="7" spans="1:7" ht="12.75" customHeight="1">
      <c r="A7" s="69" t="s">
        <v>63</v>
      </c>
      <c r="B7" s="27">
        <v>130</v>
      </c>
      <c r="C7" s="70">
        <v>130.30000000000001</v>
      </c>
      <c r="D7" s="70">
        <v>0.2</v>
      </c>
    </row>
    <row r="8" spans="1:7" ht="12.75" customHeight="1">
      <c r="A8" s="69" t="s">
        <v>64</v>
      </c>
      <c r="B8" s="70">
        <v>299.3</v>
      </c>
      <c r="C8" s="70">
        <v>299.7</v>
      </c>
      <c r="D8" s="70">
        <v>0.1</v>
      </c>
    </row>
    <row r="9" spans="1:7" ht="12.75" customHeight="1">
      <c r="A9" s="69" t="s">
        <v>65</v>
      </c>
      <c r="B9" s="70">
        <v>45.6</v>
      </c>
      <c r="C9" s="70">
        <v>45.6</v>
      </c>
      <c r="D9" s="27">
        <v>0</v>
      </c>
    </row>
    <row r="10" spans="1:7" ht="12.75" customHeight="1">
      <c r="A10" s="69" t="s">
        <v>66</v>
      </c>
      <c r="B10" s="70">
        <v>92.6</v>
      </c>
      <c r="C10" s="70">
        <v>94.6</v>
      </c>
      <c r="D10" s="70">
        <v>2.2000000000000002</v>
      </c>
    </row>
    <row r="11" spans="1:7" ht="12.75" customHeight="1">
      <c r="A11" s="69" t="s">
        <v>67</v>
      </c>
      <c r="B11" s="70">
        <v>13.7</v>
      </c>
      <c r="C11" s="70">
        <v>13.4</v>
      </c>
      <c r="D11" s="70">
        <v>-1.6</v>
      </c>
    </row>
    <row r="12" spans="1:7" ht="12.75" customHeight="1">
      <c r="A12" s="69" t="s">
        <v>68</v>
      </c>
      <c r="B12" s="70">
        <v>209.4</v>
      </c>
      <c r="C12" s="27">
        <v>211</v>
      </c>
      <c r="D12" s="70">
        <v>0.8</v>
      </c>
    </row>
    <row r="13" spans="1:7" ht="12.75" customHeight="1">
      <c r="A13" s="69" t="s">
        <v>69</v>
      </c>
      <c r="B13" s="70">
        <v>66.5</v>
      </c>
      <c r="C13" s="70">
        <v>68.2</v>
      </c>
      <c r="D13" s="70">
        <v>2.4</v>
      </c>
    </row>
    <row r="14" spans="1:7" ht="12.75" customHeight="1">
      <c r="A14" s="69" t="s">
        <v>70</v>
      </c>
      <c r="B14" s="70">
        <v>52.9</v>
      </c>
      <c r="C14" s="70">
        <v>54.3</v>
      </c>
      <c r="D14" s="70">
        <v>2.6</v>
      </c>
    </row>
    <row r="15" spans="1:7" ht="12.75" customHeight="1">
      <c r="A15" s="61" t="s">
        <v>71</v>
      </c>
      <c r="B15" s="71">
        <v>556.5</v>
      </c>
      <c r="C15" s="71">
        <v>527.9</v>
      </c>
      <c r="D15" s="62">
        <v>-5.0999999999999996</v>
      </c>
    </row>
    <row r="16" spans="1:7" ht="12.75" customHeight="1">
      <c r="A16" s="127" t="s">
        <v>9</v>
      </c>
      <c r="B16" s="53"/>
      <c r="C16" s="53"/>
      <c r="D16" s="53"/>
    </row>
    <row r="17" spans="1:5" ht="12.75" customHeight="1">
      <c r="A17" s="72" t="s">
        <v>72</v>
      </c>
      <c r="B17" s="62">
        <v>99.7</v>
      </c>
      <c r="C17" s="62">
        <v>99.7</v>
      </c>
      <c r="D17" s="73">
        <v>-0.1</v>
      </c>
    </row>
    <row r="18" spans="1:5" ht="12.75" customHeight="1">
      <c r="A18" s="72" t="s">
        <v>73</v>
      </c>
      <c r="B18" s="62">
        <v>361.3</v>
      </c>
      <c r="C18" s="62">
        <v>361.3</v>
      </c>
      <c r="D18" s="73">
        <v>0</v>
      </c>
    </row>
    <row r="19" spans="1:5" ht="12.75" customHeight="1">
      <c r="A19" s="74" t="s">
        <v>74</v>
      </c>
      <c r="B19" s="62" t="s">
        <v>84</v>
      </c>
      <c r="C19" s="62" t="s">
        <v>85</v>
      </c>
      <c r="D19" s="73">
        <v>0.4</v>
      </c>
    </row>
    <row r="20" spans="1:5" ht="12.75" customHeight="1">
      <c r="A20" s="127" t="s">
        <v>10</v>
      </c>
      <c r="B20" s="53"/>
      <c r="C20" s="53"/>
      <c r="D20" s="53"/>
    </row>
    <row r="21" spans="1:5" ht="12.75" customHeight="1">
      <c r="A21" s="72" t="s">
        <v>75</v>
      </c>
      <c r="B21" s="62">
        <v>1083.8</v>
      </c>
      <c r="C21" s="62">
        <v>1089.4000000000001</v>
      </c>
      <c r="D21" s="73">
        <v>0.5</v>
      </c>
    </row>
    <row r="22" spans="1:5" ht="15" customHeight="1">
      <c r="A22" s="75" t="s">
        <v>76</v>
      </c>
      <c r="B22" s="55">
        <v>160.4</v>
      </c>
      <c r="C22" s="55">
        <v>160.5</v>
      </c>
      <c r="D22" s="76">
        <v>0</v>
      </c>
    </row>
    <row r="23" spans="1:5" ht="26.25" customHeight="1">
      <c r="A23" s="113" t="s">
        <v>80</v>
      </c>
      <c r="B23" s="113"/>
      <c r="C23" s="113"/>
      <c r="D23" s="113"/>
      <c r="E23" s="77"/>
    </row>
    <row r="24" spans="1:5" ht="12.75" customHeight="1">
      <c r="A24" s="78" t="s">
        <v>81</v>
      </c>
      <c r="B24" s="50"/>
      <c r="C24" s="50"/>
      <c r="D24" s="50"/>
    </row>
    <row r="25" spans="1:5" ht="12.75" customHeight="1">
      <c r="A25" s="64" t="s">
        <v>77</v>
      </c>
      <c r="B25" s="50"/>
      <c r="C25" s="50"/>
      <c r="D25" s="50"/>
    </row>
    <row r="26" spans="1:5" ht="12.75" customHeight="1">
      <c r="A26" s="20" t="s">
        <v>45</v>
      </c>
      <c r="B26" s="50"/>
      <c r="C26" s="50"/>
      <c r="D26" s="50"/>
    </row>
    <row r="27" spans="1:5" ht="12.75" customHeight="1">
      <c r="A27" s="20" t="s">
        <v>16</v>
      </c>
      <c r="B27" s="50"/>
      <c r="C27" s="50"/>
      <c r="D27" s="50"/>
    </row>
  </sheetData>
  <mergeCells count="1">
    <mergeCell ref="A23:D23"/>
  </mergeCells>
  <pageMargins left="0" right="0" top="0.39370078740157483" bottom="0.39370078740157483" header="0" footer="0"/>
  <pageSetup paperSize="0" fitToWidth="0" fitToHeight="0" pageOrder="overThenDown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Sommaire</vt:lpstr>
      <vt:lpstr>Figure 1</vt:lpstr>
      <vt:lpstr>Figure 2</vt:lpstr>
      <vt:lpstr>Figure 3</vt:lpstr>
      <vt:lpstr>Figure 4</vt:lpstr>
      <vt:lpstr>Figure 5</vt:lpstr>
      <vt:lpstr>Tableau complémentaire 1</vt:lpstr>
      <vt:lpstr>Tableau complémentaire 2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Goarant Philippe</dc:creator>
  <cp:lastModifiedBy>Goarant Philippe</cp:lastModifiedBy>
  <dcterms:created xsi:type="dcterms:W3CDTF">2026-02-05T13:52:24Z</dcterms:created>
  <dcterms:modified xsi:type="dcterms:W3CDTF">2026-02-10T09:39:08Z</dcterms:modified>
</cp:coreProperties>
</file>