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Synthese" sheetId="2" state="visible" r:id="rId2"/>
    <sheet name="Hypotheses" sheetId="3" state="visible" r:id="rId3"/>
    <sheet name="Viviers" sheetId="4" state="visible" r:id="rId4"/>
    <sheet name="Reformes" sheetId="5" state="visible" r:id="rId5"/>
    <sheet name="Calcul_prudent" sheetId="6" state="visible" r:id="rId6"/>
    <sheet name="Calcul_intermediaire" sheetId="7" state="visible" r:id="rId7"/>
    <sheet name="Calcul_ambitieux" sheetId="8" state="visible" r:id="rId8"/>
    <sheet name="Calcul_radical" sheetId="9" state="visible" r:id="rId9"/>
    <sheet name="Sensibili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CE6E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Modèle financier du catalogue de réformes — version tableur (30 octobre 2026)</t>
        </is>
      </c>
    </row>
    <row r="2">
      <c r="A2" s="2" t="inlineStr"/>
    </row>
    <row r="3">
      <c r="A3" s="2" t="inlineStr">
        <is>
          <t>Les cellules jaunes sont des hypothèses modifiables (feuilles Hypothèses, Viviers, Réformes). Tout le reste est calculé.</t>
        </is>
      </c>
    </row>
    <row r="4">
      <c r="A4" s="2" t="inlineStr">
        <is>
          <t>Le classeur calcule un régime permanent simplifié à l'horizon choisi : il ne simule pas les cohortes année par année.</t>
        </is>
      </c>
    </row>
    <row r="5">
      <c r="A5" s="2" t="inlineStr">
        <is>
          <t>Le moteur de référence est modele/modele.py ; la feuille Synthèse compare les deux calculs et affiche leur écart.</t>
        </is>
      </c>
    </row>
    <row r="6">
      <c r="A6" s="2" t="inlineStr">
        <is>
          <t>Convention : économies = écart à une référence qui remplace tous les départs, en M€ 2026 constants.</t>
        </is>
      </c>
    </row>
    <row r="7">
      <c r="A7" s="2" t="inlineStr">
        <is>
          <t>Ordre d'application : dans chaque vivier, chaque réforme porte sur le reliquat laissé par les précédentes (lignes triées par vivier puis ordre).</t>
        </is>
      </c>
    </row>
    <row r="8">
      <c r="A8" s="2" t="inlineStr">
        <is>
          <t>Capacité : le non-remplacement ne peut dépasser les départs mobilisables du vivier, B × (1 − (1 − r × multiplicateur)^horizon).</t>
        </is>
      </c>
    </row>
    <row r="9">
      <c r="A9" s="2" t="inlineStr">
        <is>
          <t>Coût d'un poste non remplacé : MIN(coût moyen ; coût d'entrée × (1 + GVT)^(horizon / 2)) × multiplicateur de coût.</t>
        </is>
      </c>
    </row>
    <row r="10">
      <c r="A10" s="2" t="inlineStr">
        <is>
          <t>Sources et justification de chaque paramètre : recherche/11_catalogue_reformes.md et recherche/12_scenarios_seuils.md.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30" customWidth="1" min="7" max="7"/>
  </cols>
  <sheetData>
    <row r="1">
      <c r="A1" s="3" t="inlineStr">
        <is>
          <t>Indicateur</t>
        </is>
      </c>
      <c r="B1" s="3" t="inlineStr">
        <is>
          <t>Prudent</t>
        </is>
      </c>
      <c r="C1" s="3" t="inlineStr">
        <is>
          <t>Intermédiaire</t>
        </is>
      </c>
      <c r="D1" s="3" t="inlineStr">
        <is>
          <t>Ambitieux</t>
        </is>
      </c>
      <c r="E1" s="3" t="inlineStr">
        <is>
          <t>Radical</t>
        </is>
      </c>
    </row>
    <row r="2">
      <c r="A2" t="inlineStr">
        <is>
          <t>Postes en moins à l'horizon — tableur (régime permanent)</t>
        </is>
      </c>
      <c r="B2">
        <f>Calcul_prudent!$L$32</f>
        <v/>
      </c>
      <c r="C2">
        <f>Calcul_intermediaire!$L$32</f>
        <v/>
      </c>
      <c r="D2">
        <f>Calcul_ambitieux!$L$32</f>
        <v/>
      </c>
      <c r="E2">
        <f>Calcul_radical!$L$32</f>
        <v/>
      </c>
    </row>
    <row r="3">
      <c r="A3" t="inlineStr">
        <is>
          <t>Postes en moins en 2036 — moteur</t>
        </is>
      </c>
      <c r="B3" t="n">
        <v>11106.4</v>
      </c>
      <c r="C3" t="n">
        <v>56141.6</v>
      </c>
      <c r="D3" t="n">
        <v>120249.7</v>
      </c>
      <c r="E3" t="n">
        <v>194475.8</v>
      </c>
    </row>
    <row r="4">
      <c r="A4" t="inlineStr">
        <is>
          <t>Économie nette annuelle à l'horizon (M€) — tableur</t>
        </is>
      </c>
      <c r="B4">
        <f>Calcul_prudent!$S$32</f>
        <v/>
      </c>
      <c r="C4">
        <f>Calcul_intermediaire!$S$32</f>
        <v/>
      </c>
      <c r="D4">
        <f>Calcul_ambitieux!$S$32</f>
        <v/>
      </c>
      <c r="E4">
        <f>Calcul_radical!$S$32</f>
        <v/>
      </c>
    </row>
    <row r="5">
      <c r="A5" t="inlineStr">
        <is>
          <t>Économie nette 2036 (M€) — moteur</t>
        </is>
      </c>
      <c r="B5" t="n">
        <v>617.9</v>
      </c>
      <c r="C5" t="n">
        <v>2517.1</v>
      </c>
      <c r="D5" t="n">
        <v>5280.1</v>
      </c>
      <c r="E5" t="n">
        <v>8429.700000000001</v>
      </c>
    </row>
    <row r="6">
      <c r="A6" t="inlineStr">
        <is>
          <t>Économie consolidée APU à l'horizon (M€) — tableur</t>
        </is>
      </c>
      <c r="B6">
        <f>Calcul_prudent!$T$32</f>
        <v/>
      </c>
      <c r="C6">
        <f>Calcul_intermediaire!$T$32</f>
        <v/>
      </c>
      <c r="D6">
        <f>Calcul_ambitieux!$T$32</f>
        <v/>
      </c>
      <c r="E6">
        <f>Calcul_radical!$T$32</f>
        <v/>
      </c>
    </row>
    <row r="7">
      <c r="A7" t="inlineStr">
        <is>
          <t>Économie consolidée APU 2036 (M€) — moteur</t>
        </is>
      </c>
      <c r="B7" t="n">
        <v>458</v>
      </c>
      <c r="C7" t="n">
        <v>1710</v>
      </c>
      <c r="D7" t="n">
        <v>3538.7</v>
      </c>
      <c r="E7" t="n">
        <v>5725.7</v>
      </c>
    </row>
    <row r="8">
      <c r="A8" t="inlineStr">
        <is>
          <t>Investissements (M€) — tableur</t>
        </is>
      </c>
      <c r="B8">
        <f>Calcul_prudent!$U$32</f>
        <v/>
      </c>
      <c r="C8">
        <f>Calcul_intermediaire!$U$32</f>
        <v/>
      </c>
      <c r="D8">
        <f>Calcul_ambitieux!$U$32</f>
        <v/>
      </c>
      <c r="E8">
        <f>Calcul_radical!$U$32</f>
        <v/>
      </c>
    </row>
    <row r="9">
      <c r="A9" t="inlineStr">
        <is>
          <t>Cumul net 2027-2036 (M€) — moteur</t>
        </is>
      </c>
      <c r="B9" t="n">
        <v>3464.1</v>
      </c>
      <c r="C9" t="n">
        <v>12626.6</v>
      </c>
      <c r="D9" t="n">
        <v>25701.1</v>
      </c>
      <c r="E9" t="n">
        <v>35448.4</v>
      </c>
    </row>
    <row r="10">
      <c r="A10" t="inlineStr">
        <is>
          <t>Écart tableur / moteur sur les postes (%)</t>
        </is>
      </c>
      <c r="B10" s="4">
        <f>IF(B3=0,0,(B2-B3)/B3)</f>
        <v/>
      </c>
      <c r="C10" s="4">
        <f>IF(C3=0,0,(C2-C3)/C3)</f>
        <v/>
      </c>
      <c r="D10" s="4">
        <f>IF(D3=0,0,(D2-D3)/D3)</f>
        <v/>
      </c>
      <c r="E10" s="4">
        <f>IF(E3=0,0,(E2-E3)/E3)</f>
        <v/>
      </c>
    </row>
    <row r="11">
      <c r="A11" t="inlineStr">
        <is>
          <t>Le tableur est un régime permanent sans calendrier : un petit écart avec le moteur (cohortes, montée en charge, mi-année) est attendu.</t>
        </is>
      </c>
    </row>
    <row r="13">
      <c r="A13" s="1" t="inlineStr">
        <is>
          <t>Test des seuils (recalculé avec les hypothèses du classeur)</t>
        </is>
      </c>
    </row>
    <row r="14">
      <c r="A14" s="3" t="inlineStr">
        <is>
          <t>Seuil (postes)</t>
        </is>
      </c>
      <c r="B14" s="3" t="inlineStr">
        <is>
          <t>Atteint en intermédiaire ?</t>
        </is>
      </c>
      <c r="C14" s="3" t="inlineStr">
        <is>
          <t>Atteint en radical ?</t>
        </is>
      </c>
      <c r="D14" s="3" t="inlineStr">
        <is>
          <t>Capacité de départs sur l'horizon</t>
        </is>
      </c>
      <c r="E14" s="3" t="inlineStr">
        <is>
          <t>Total des viviers</t>
        </is>
      </c>
      <c r="F14" s="3" t="inlineStr">
        <is>
          <t>Verdict tableur</t>
        </is>
      </c>
      <c r="G14" s="3" t="inlineStr">
        <is>
          <t>Verdict de la note 12 (hypothèses centrales)</t>
        </is>
      </c>
    </row>
    <row r="15">
      <c r="A15" t="n">
        <v>50000</v>
      </c>
      <c r="B15">
        <f>IF(Calcul_intermediaire!$L$32&gt;=A15,"oui","non")</f>
        <v/>
      </c>
      <c r="C15">
        <f>IF(Calcul_radical!$L$32&gt;=A15,"oui","non")</f>
        <v/>
      </c>
      <c r="D15">
        <f>Viviers!I10</f>
        <v/>
      </c>
      <c r="E15">
        <f>Viviers!C10</f>
        <v/>
      </c>
      <c r="F15">
        <f>IF(B15="oui","conditionnel",IF(C15="oui","conditionnel",IF(D15&gt;=A15,"non démontré","incompatible")))</f>
        <v/>
      </c>
      <c r="G15" t="inlineStr">
        <is>
          <t>conditionnel</t>
        </is>
      </c>
    </row>
    <row r="16">
      <c r="A16" t="n">
        <v>100000</v>
      </c>
      <c r="B16">
        <f>IF(Calcul_intermediaire!$L$32&gt;=A16,"oui","non")</f>
        <v/>
      </c>
      <c r="C16">
        <f>IF(Calcul_radical!$L$32&gt;=A16,"oui","non")</f>
        <v/>
      </c>
      <c r="D16">
        <f>Viviers!I10</f>
        <v/>
      </c>
      <c r="E16">
        <f>Viviers!C10</f>
        <v/>
      </c>
      <c r="F16">
        <f>IF(B16="oui","conditionnel",IF(C16="oui","conditionnel",IF(D16&gt;=A16,"non démontré","incompatible")))</f>
        <v/>
      </c>
      <c r="G16" t="inlineStr">
        <is>
          <t>conditionnel</t>
        </is>
      </c>
    </row>
    <row r="17">
      <c r="A17" t="n">
        <v>200000</v>
      </c>
      <c r="B17">
        <f>IF(Calcul_intermediaire!$L$32&gt;=A17,"oui","non")</f>
        <v/>
      </c>
      <c r="C17">
        <f>IF(Calcul_radical!$L$32&gt;=A17,"oui","non")</f>
        <v/>
      </c>
      <c r="D17">
        <f>Viviers!I10</f>
        <v/>
      </c>
      <c r="E17">
        <f>Viviers!C10</f>
        <v/>
      </c>
      <c r="F17">
        <f>IF(B17="oui","conditionnel",IF(C17="oui","conditionnel",IF(D17&gt;=A17,"non démontré","incompatible")))</f>
        <v/>
      </c>
      <c r="G17" t="inlineStr">
        <is>
          <t>non démontré</t>
        </is>
      </c>
    </row>
    <row r="18">
      <c r="A18" t="n">
        <v>500000</v>
      </c>
      <c r="B18">
        <f>IF(Calcul_intermediaire!$L$32&gt;=A18,"oui","non")</f>
        <v/>
      </c>
      <c r="C18">
        <f>IF(Calcul_radical!$L$32&gt;=A18,"oui","non")</f>
        <v/>
      </c>
      <c r="D18">
        <f>Viviers!I10</f>
        <v/>
      </c>
      <c r="E18">
        <f>Viviers!C10</f>
        <v/>
      </c>
      <c r="F18">
        <f>IF(B18="oui","conditionnel",IF(C18="oui","conditionnel",IF(D18&gt;=A18,"non démontré","incompatible")))</f>
        <v/>
      </c>
      <c r="G18" t="inlineStr">
        <is>
          <t>incompatible</t>
        </is>
      </c>
    </row>
    <row r="19">
      <c r="A19" t="n">
        <v>800000</v>
      </c>
      <c r="B19">
        <f>IF(Calcul_intermediaire!$L$32&gt;=A19,"oui","non")</f>
        <v/>
      </c>
      <c r="C19">
        <f>IF(Calcul_radical!$L$32&gt;=A19,"oui","non")</f>
        <v/>
      </c>
      <c r="D19">
        <f>Viviers!I10</f>
        <v/>
      </c>
      <c r="E19">
        <f>Viviers!C10</f>
        <v/>
      </c>
      <c r="F19">
        <f>IF(B19="oui","conditionnel",IF(C19="oui","conditionnel",IF(D19&gt;=A19,"non démontré","incompatible")))</f>
        <v/>
      </c>
      <c r="G19" t="inlineStr">
        <is>
          <t>incompatible</t>
        </is>
      </c>
    </row>
    <row r="20">
      <c r="A20" t="n">
        <v>1000000</v>
      </c>
      <c r="B20">
        <f>IF(Calcul_intermediaire!$L$32&gt;=A20,"oui","non")</f>
        <v/>
      </c>
      <c r="C20">
        <f>IF(Calcul_radical!$L$32&gt;=A20,"oui","non")</f>
        <v/>
      </c>
      <c r="D20">
        <f>Viviers!I10</f>
        <v/>
      </c>
      <c r="E20">
        <f>Viviers!C10</f>
        <v/>
      </c>
      <c r="F20">
        <f>IF(B20="oui","conditionnel",IF(C20="oui","conditionnel",IF(D20&gt;=A20,"non démontré","incompatible")))</f>
        <v/>
      </c>
      <c r="G20" t="inlineStr">
        <is>
          <t>incompatible</t>
        </is>
      </c>
    </row>
    <row r="21">
      <c r="A21" t="n">
        <v>1500000</v>
      </c>
      <c r="B21">
        <f>IF(Calcul_intermediaire!$L$32&gt;=A21,"oui","non")</f>
        <v/>
      </c>
      <c r="C21">
        <f>IF(Calcul_radical!$L$32&gt;=A21,"oui","non")</f>
        <v/>
      </c>
      <c r="D21">
        <f>Viviers!I10</f>
        <v/>
      </c>
      <c r="E21">
        <f>Viviers!C10</f>
        <v/>
      </c>
      <c r="F21">
        <f>IF(B21="oui","conditionnel",IF(C21="oui","conditionnel",IF(D21&gt;=A21,"non démontré","incompatible")))</f>
        <v/>
      </c>
      <c r="G21" t="inlineStr">
        <is>
          <t>incompatible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20" customWidth="1" min="4" max="4"/>
  </cols>
  <sheetData>
    <row r="1">
      <c r="A1" s="3" t="inlineStr">
        <is>
          <t>Paramètre</t>
        </is>
      </c>
      <c r="B1" s="3" t="inlineStr">
        <is>
          <t>Valeur</t>
        </is>
      </c>
      <c r="C1" s="3" t="inlineStr">
        <is>
          <t>Source / justification</t>
        </is>
      </c>
    </row>
    <row r="2">
      <c r="A2" t="inlineStr">
        <is>
          <t>Horizon (années)</t>
        </is>
      </c>
      <c r="B2" s="5" t="n">
        <v>10</v>
      </c>
      <c r="C2" t="inlineStr">
        <is>
          <t>2027-2036, comme le moteur</t>
        </is>
      </c>
    </row>
    <row r="3">
      <c r="A3" t="inlineStr">
        <is>
          <t>GVT individuel réel</t>
        </is>
      </c>
      <c r="B3" s="5" t="n">
        <v>0.01</v>
      </c>
      <c r="C3" t="inlineStr">
        <is>
          <t>[HYPOTHÈSE] Taux individuel réel national NON TROUVÉ (01c). 1 %/an, plafonné au coût moyen ; sensibilité 0-2 % en phase 5.</t>
        </is>
      </c>
    </row>
    <row r="4">
      <c r="A4" t="inlineStr">
        <is>
          <t>Conservation APU (lecture consolidée)</t>
        </is>
      </c>
      <c r="B4" s="5" t="n">
        <v>0.65</v>
      </c>
      <c r="C4" t="inlineStr">
        <is>
          <t>[ESTIMATION] Part du coût hors pension conservée en lecture APU statique. Charges employeur hors pension : 13,7 à 17,6 % du coût d'entrée (PAP 156 : coût HCAS moins rémunération d'activité). Retenue pension 11,1 % (01c) et CSG-CRDS sur la rémunération reviennent aussi aux APU : environ 32 % au total, IR non chiffré. Retenu : 1 - 0,35.</t>
        </is>
      </c>
    </row>
    <row r="5">
      <c r="A5" t="inlineStr">
        <is>
          <t>Multiplicateur des taux de réduction</t>
        </is>
      </c>
      <c r="B5" s="5" t="n">
        <v>1</v>
      </c>
      <c r="C5" t="inlineStr">
        <is>
          <t>1 = catalogue ; sensibilité testée 0,5-1,5</t>
        </is>
      </c>
    </row>
    <row r="6">
      <c r="A6" t="inlineStr">
        <is>
          <t>Multiplicateur des départs mobilisables</t>
        </is>
      </c>
      <c r="B6" s="5" t="n">
        <v>1</v>
      </c>
      <c r="C6" t="inlineStr">
        <is>
          <t>1 = retraites ; 1,605 = toutes sorties de fonctionnaires</t>
        </is>
      </c>
    </row>
    <row r="7">
      <c r="A7" t="inlineStr">
        <is>
          <t>Multiplicateur des coûts par ETP</t>
        </is>
      </c>
      <c r="B7" s="5" t="n">
        <v>1</v>
      </c>
      <c r="C7" t="inlineStr">
        <is>
          <t>sensibilité testée 0,8-1,2</t>
        </is>
      </c>
    </row>
    <row r="8">
      <c r="A8" t="inlineStr">
        <is>
          <t>Multiplicateur des investissements</t>
        </is>
      </c>
      <c r="B8" s="5" t="n">
        <v>1</v>
      </c>
      <c r="C8" t="inlineStr">
        <is>
          <t>sensibilité testée 0,5-2</t>
        </is>
      </c>
    </row>
    <row r="10">
      <c r="A10" s="3" t="inlineStr">
        <is>
          <t>Versant</t>
        </is>
      </c>
      <c r="B10" s="3" t="inlineStr">
        <is>
          <t>Coût d'entrée hors pension (k€)</t>
        </is>
      </c>
      <c r="C10" s="3" t="inlineStr">
        <is>
          <t>Coût moyen hors pension (k€)</t>
        </is>
      </c>
      <c r="D10" s="3" t="inlineStr">
        <is>
          <t>Source</t>
        </is>
      </c>
    </row>
    <row r="11">
      <c r="A11" t="inlineStr">
        <is>
          <t>FPE</t>
        </is>
      </c>
      <c r="B11" s="5" t="n">
        <v>44.05</v>
      </c>
      <c r="C11" s="5" t="n">
        <v>48.99</v>
      </c>
      <c r="D11" t="inlineStr">
        <is>
          <t>[ESTIMATION] Moyenne des coûts HCAS d'entrée et globaux des PAP 2026 des programmes 156 et 218 par catégorie A/B/C, pondérée par les corps administratifs et techniques de la FPE fin 2024 (A 79 668, B 157 099, C 142 142). data/france/01c_couts_documentes.csv, data/france/02_metiers.csv.</t>
        </is>
      </c>
    </row>
    <row r="12">
      <c r="A12" t="inlineStr">
        <is>
          <t>FPE_DGFIP</t>
        </is>
      </c>
      <c r="B12" s="5" t="n">
        <v>40.55</v>
      </c>
      <c r="C12" s="5" t="n">
        <v>45.41</v>
      </c>
      <c r="D12" t="inlineStr">
        <is>
          <t>[ESTIMATION] Coûts HCAS du seul PAP 2026 du programme 156 (DGFiP), même pondération A/B/C.</t>
        </is>
      </c>
    </row>
    <row r="13">
      <c r="A13" t="inlineStr">
        <is>
          <t>FPT</t>
        </is>
      </c>
      <c r="B13" s="5" t="n">
        <v>33.67</v>
      </c>
      <c r="C13" s="5" t="n">
        <v>37.45</v>
      </c>
      <c r="D13" t="inlineStr">
        <is>
          <t>[HYPOTHÈSE] Coûts FPE multipliés par le rapport des salaires bruts moyens par EQTP FPT/FPE 2024 (2 857,75 / 3 738,28 = 0,7645). Aucun coût d'entrée territorial publié n'a été trouvé.</t>
        </is>
      </c>
    </row>
    <row r="14">
      <c r="A14" t="inlineStr">
        <is>
          <t>FPH</t>
        </is>
      </c>
      <c r="B14" s="5" t="n">
        <v>33.67</v>
      </c>
      <c r="C14" s="5" t="n">
        <v>37.45</v>
      </c>
      <c r="D14" t="inlineStr">
        <is>
          <t>[HYPOTHÈSE] Même proxy que la FPT : le salaire moyen FPH inclut les médecins et surestimerait le coût des administratifs hospitaliers.</t>
        </is>
      </c>
    </row>
    <row r="15">
      <c r="A15" t="inlineStr">
        <is>
          <t>HORS_FP</t>
        </is>
      </c>
      <c r="B15" s="5" t="n">
        <v>44.05</v>
      </c>
      <c r="C15" s="5" t="n">
        <v>48.99</v>
      </c>
      <c r="D15" t="inlineStr">
        <is>
          <t>[HYPOTHÈSE] Organismes de protection sociale et France Travail, agents de droit privé : aucun coût d'entrée publié trouvé ; proxy FPE. Confiance faible.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8" customWidth="1" min="9" max="9"/>
    <col width="50" customWidth="1" min="10" max="10"/>
    <col width="80" customWidth="1" min="11" max="11"/>
  </cols>
  <sheetData>
    <row r="1">
      <c r="A1" s="3" t="inlineStr">
        <is>
          <t>vivier_id</t>
        </is>
      </c>
      <c r="B1" s="3" t="inlineStr">
        <is>
          <t>versant</t>
        </is>
      </c>
      <c r="C1" s="3" t="inlineStr">
        <is>
          <t>etp_base</t>
        </is>
      </c>
      <c r="D1" s="3" t="inlineStr">
        <is>
          <t>taux_departs_annuel</t>
        </is>
      </c>
      <c r="E1" s="3" t="inlineStr">
        <is>
          <t>plafond_reduction_prudent</t>
        </is>
      </c>
      <c r="F1" s="3" t="inlineStr">
        <is>
          <t>plafond_reduction_intermediaire</t>
        </is>
      </c>
      <c r="G1" s="3" t="inlineStr">
        <is>
          <t>plafond_reduction_ambitieux</t>
        </is>
      </c>
      <c r="H1" s="3" t="inlineStr">
        <is>
          <t>plafond_reduction_radical</t>
        </is>
      </c>
      <c r="I1" s="3" t="inlineStr">
        <is>
          <t>Capacité de départs sur l'horizon (ETP)</t>
        </is>
      </c>
      <c r="J1" s="3" t="inlineStr">
        <is>
          <t>description</t>
        </is>
      </c>
      <c r="K1" s="3" t="inlineStr">
        <is>
          <t>sources</t>
        </is>
      </c>
    </row>
    <row r="2">
      <c r="A2" t="inlineStr">
        <is>
          <t>V_DGFIP</t>
        </is>
      </c>
      <c r="B2" t="inlineStr">
        <is>
          <t>FPE_DGFIP</t>
        </is>
      </c>
      <c r="C2" s="5" t="n">
        <v>94467.5</v>
      </c>
      <c r="D2" s="5" t="n">
        <v>0.026067</v>
      </c>
      <c r="E2" s="5" t="n">
        <v>0.05</v>
      </c>
      <c r="F2" s="5" t="n">
        <v>0.12</v>
      </c>
      <c r="G2" s="5" t="n">
        <v>0.2</v>
      </c>
      <c r="H2" s="5" t="n">
        <v>0.35</v>
      </c>
      <c r="I2">
        <f>C2*(1-(1-MIN(1,D2*Hypotheses!$B$6))^Hypotheses!$B$2)</f>
        <v/>
      </c>
      <c r="J2" t="inlineStr">
        <is>
          <t>DGFiP, titulaires et contractuels en fonction 2025</t>
        </is>
      </c>
      <c r="K2" t="inlineStr">
        <is>
          <t>DGFiP cahier statistique 2025 PDF p.46-47 (88 659 + 5 910 PP) ; conversion EQTP/PP FPE 2024 (IP2094 / DGAFP) ; départs : pensions civiles FPE 2025 / fonctionnaires FPE</t>
        </is>
      </c>
    </row>
    <row r="3">
      <c r="A3" t="inlineStr">
        <is>
          <t>V_FPE_AUTRES</t>
        </is>
      </c>
      <c r="B3" t="inlineStr">
        <is>
          <t>FPE</t>
        </is>
      </c>
      <c r="C3" s="5" t="n">
        <v>231659.2</v>
      </c>
      <c r="D3" s="5" t="n">
        <v>0.026067</v>
      </c>
      <c r="E3" s="5" t="n">
        <v>0.05</v>
      </c>
      <c r="F3" s="5" t="n">
        <v>0.12</v>
      </c>
      <c r="G3" s="5" t="n">
        <v>0.2</v>
      </c>
      <c r="H3" s="5" t="n">
        <v>0.35</v>
      </c>
      <c r="I3">
        <f>C3*(1-(1-MIN(1,D3*Hypotheses!$B$6))^Hypotheses!$B$2)</f>
        <v/>
      </c>
      <c r="J3" t="inlineStr">
        <is>
          <t>Autres corps administratifs et techniques de la FPE (ministères et EPA, dont opérateurs)</t>
        </is>
      </c>
      <c r="K3" t="inlineStr">
        <is>
          <t>DGAFP RA 2026 postes FPE figure 2 B11+B26+B37 (79 668 + 157 099 + 142 142) moins DGFiP et filière administrative scolaire</t>
        </is>
      </c>
    </row>
    <row r="4">
      <c r="A4" t="inlineStr">
        <is>
          <t>V_MEN_ADM</t>
        </is>
      </c>
      <c r="B4" t="inlineStr">
        <is>
          <t>FPE</t>
        </is>
      </c>
      <c r="C4" s="5" t="n">
        <v>50849</v>
      </c>
      <c r="D4" s="5" t="n">
        <v>0.026067</v>
      </c>
      <c r="E4" s="5" t="n">
        <v>0.05</v>
      </c>
      <c r="F4" s="5" t="n">
        <v>0.12</v>
      </c>
      <c r="G4" s="5" t="n">
        <v>0.2</v>
      </c>
      <c r="H4" s="5" t="n">
        <v>0.35</v>
      </c>
      <c r="I4">
        <f>C4*(1-(1-MIN(1,D4*Hypotheses!$B$6))^Hypotheses!$B$2)</f>
        <v/>
      </c>
      <c r="J4" t="inlineStr">
        <is>
          <t>Filière administrative de l'Éducation nationale</t>
        </is>
      </c>
      <c r="K4" t="inlineStr">
        <is>
          <t>DEPP, personnels non enseignants, tableau 3.1 L27 (ETP au 30/11/2025)</t>
        </is>
      </c>
    </row>
    <row r="5">
      <c r="A5" t="inlineStr">
        <is>
          <t>V_FPT_ADM</t>
        </is>
      </c>
      <c r="B5" t="inlineStr">
        <is>
          <t>FPT</t>
        </is>
      </c>
      <c r="C5" s="5" t="n">
        <v>444816.9</v>
      </c>
      <c r="D5" s="5" t="n">
        <v>0.033094</v>
      </c>
      <c r="E5" s="5" t="n">
        <v>0.05</v>
      </c>
      <c r="F5" s="5" t="n">
        <v>0.12</v>
      </c>
      <c r="G5" s="5" t="n">
        <v>0.2</v>
      </c>
      <c r="H5" s="5" t="n">
        <v>0.35</v>
      </c>
      <c r="I5">
        <f>C5*(1-(1-MIN(1,D5*Hypotheses!$B$6))^Hypotheses!$B$2)</f>
        <v/>
      </c>
      <c r="J5" t="inlineStr">
        <is>
          <t>Filière administrative de la fonction publique territoriale</t>
        </is>
      </c>
      <c r="K5" t="inlineStr">
        <is>
          <t>DGAFP RA 2026 postes FPT figure 1 filière S28 ; conversion EQTP/PP FPT 2024 ; départs : pensions CNRACL FPT 2025 / fonctionnaires FPT</t>
        </is>
      </c>
    </row>
    <row r="6">
      <c r="A6" t="inlineStr">
        <is>
          <t>V_FPH_ADM</t>
        </is>
      </c>
      <c r="B6" t="inlineStr">
        <is>
          <t>FPH</t>
        </is>
      </c>
      <c r="C6" s="5" t="n">
        <v>119263.7</v>
      </c>
      <c r="D6" s="5" t="n">
        <v>0.027512</v>
      </c>
      <c r="E6" s="5" t="n">
        <v>0.05</v>
      </c>
      <c r="F6" s="5" t="n">
        <v>0.12</v>
      </c>
      <c r="G6" s="5" t="n">
        <v>0.2</v>
      </c>
      <c r="H6" s="5" t="n">
        <v>0.35</v>
      </c>
      <c r="I6">
        <f>C6*(1-(1-MIN(1,D6*Hypotheses!$B$6))^Hypotheses!$B$2)</f>
        <v/>
      </c>
      <c r="J6" t="inlineStr">
        <is>
          <t>Filière administrative de la fonction publique hospitalière</t>
        </is>
      </c>
      <c r="K6" t="inlineStr">
        <is>
          <t>DGAFP RA 2026 postes FPH figure 1 filière T25 ; conversion EQTP/PP FPH 2024 ; départs : pensions CNRACL FPH 2025 / fonctionnaires FPH</t>
        </is>
      </c>
    </row>
    <row r="7">
      <c r="A7" t="inlineStr">
        <is>
          <t>V_OPS</t>
        </is>
      </c>
      <c r="B7" t="inlineStr">
        <is>
          <t>HORS_FP</t>
        </is>
      </c>
      <c r="C7" s="5" t="n">
        <v>162623</v>
      </c>
      <c r="D7" s="5" t="n">
        <v>0.026067</v>
      </c>
      <c r="E7" s="5" t="n">
        <v>0.05</v>
      </c>
      <c r="F7" s="5" t="n">
        <v>0.12</v>
      </c>
      <c r="G7" s="5" t="n">
        <v>0.2</v>
      </c>
      <c r="H7" s="5" t="n">
        <v>0.35</v>
      </c>
      <c r="I7">
        <f>C7*(1-(1-MIN(1,D7*Hypotheses!$B$6))^Hypotheses!$B$2)</f>
        <v/>
      </c>
      <c r="J7" t="inlineStr">
        <is>
          <t>Organismes de protection sociale (droit privé, financement public prédominant)</t>
        </is>
      </c>
      <c r="K7" t="inlineStr">
        <is>
          <t>DGAFP RA 2026 effectifs, figure 3 (162 623 PP fin 2024), utilisées comme majorant des ETP ; taux de départ FPE faute de donnée propre</t>
        </is>
      </c>
    </row>
    <row r="8">
      <c r="A8" t="inlineStr">
        <is>
          <t>V_FT</t>
        </is>
      </c>
      <c r="B8" t="inlineStr">
        <is>
          <t>HORS_FP</t>
        </is>
      </c>
      <c r="C8" s="5" t="n">
        <v>48232</v>
      </c>
      <c r="D8" s="5" t="n">
        <v>0.026067</v>
      </c>
      <c r="E8" s="5" t="n">
        <v>0.05</v>
      </c>
      <c r="F8" s="5" t="n">
        <v>0.12</v>
      </c>
      <c r="G8" s="5" t="n">
        <v>0.2</v>
      </c>
      <c r="H8" s="5" t="n">
        <v>0.35</v>
      </c>
      <c r="I8">
        <f>C8*(1-(1-MIN(1,D8*Hypotheses!$B$6))^Hypotheses!$B$2)</f>
        <v/>
      </c>
      <c r="J8" t="inlineStr">
        <is>
          <t>France Travail</t>
        </is>
      </c>
      <c r="K8" t="inlineStr">
        <is>
          <t>Jaune Opérateurs PLF 2027, plafond d'emplois 2027 (48 232 ETPT) ; taux de départ FPE faute de donnée propre</t>
        </is>
      </c>
    </row>
    <row r="9">
      <c r="A9" t="inlineStr">
        <is>
          <t>V_FONCT</t>
        </is>
      </c>
      <c r="B9" t="inlineStr">
        <is>
          <t>FPE</t>
        </is>
      </c>
      <c r="C9" s="5" t="n">
        <v>0</v>
      </c>
      <c r="D9" s="5" t="n">
        <v>0</v>
      </c>
      <c r="E9" s="5" t="n">
        <v>0.05</v>
      </c>
      <c r="F9" s="5" t="n">
        <v>0.12</v>
      </c>
      <c r="G9" s="5" t="n">
        <v>0.2</v>
      </c>
      <c r="H9" s="5" t="n">
        <v>0.35</v>
      </c>
      <c r="I9">
        <f>C9*(1-(1-MIN(1,D9*Hypotheses!$B$6))^Hypotheses!$B$2)</f>
        <v/>
      </c>
      <c r="J9" t="inlineStr">
        <is>
          <t>Dépenses de fonctionnement sans effectif (achats, immobilier, instances)</t>
        </is>
      </c>
      <c r="K9" t="inlineStr">
        <is>
          <t>Sans effectif : les fiches y portent des économies de fonctionnement en M€</t>
        </is>
      </c>
    </row>
    <row r="10">
      <c r="A10" s="1" t="inlineStr">
        <is>
          <t>Total</t>
        </is>
      </c>
      <c r="C10">
        <f>SUM(C2:C9)</f>
        <v/>
      </c>
      <c r="I10">
        <f>SUM(I2:I9)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id</t>
        </is>
      </c>
      <c r="B1" s="3" t="inlineStr">
        <is>
          <t>intitule</t>
        </is>
      </c>
      <c r="C1" s="3" t="inlineStr">
        <is>
          <t>vivier_id</t>
        </is>
      </c>
      <c r="D1" s="3" t="inlineStr">
        <is>
          <t>ordre</t>
        </is>
      </c>
      <c r="E1" s="3" t="inlineStr">
        <is>
          <t>part_non_remplacement</t>
        </is>
      </c>
      <c r="F1" s="3" t="inlineStr">
        <is>
          <t>part_redeploiement</t>
        </is>
      </c>
      <c r="G1" s="3" t="inlineStr">
        <is>
          <t>cout_recurrent_proportionnel</t>
        </is>
      </c>
      <c r="H1" s="3" t="inlineStr">
        <is>
          <t>taux_prudent</t>
        </is>
      </c>
      <c r="I1" s="3" t="inlineStr">
        <is>
          <t>taux_intermediaire</t>
        </is>
      </c>
      <c r="J1" s="3" t="inlineStr">
        <is>
          <t>taux_ambitieux</t>
        </is>
      </c>
      <c r="K1" s="3" t="inlineStr">
        <is>
          <t>taux_radical</t>
        </is>
      </c>
      <c r="L1" s="3" t="inlineStr">
        <is>
          <t>invest_meur_prudent</t>
        </is>
      </c>
      <c r="M1" s="3" t="inlineStr">
        <is>
          <t>invest_meur_intermediaire</t>
        </is>
      </c>
      <c r="N1" s="3" t="inlineStr">
        <is>
          <t>invest_meur_ambitieux</t>
        </is>
      </c>
      <c r="O1" s="3" t="inlineStr">
        <is>
          <t>invest_meur_radical</t>
        </is>
      </c>
      <c r="P1" s="3" t="inlineStr">
        <is>
          <t>cout_recurrent_meur_prudent</t>
        </is>
      </c>
      <c r="Q1" s="3" t="inlineStr">
        <is>
          <t>cout_recurrent_meur_intermediaire</t>
        </is>
      </c>
      <c r="R1" s="3" t="inlineStr">
        <is>
          <t>cout_recurrent_meur_ambitieux</t>
        </is>
      </c>
      <c r="S1" s="3" t="inlineStr">
        <is>
          <t>cout_recurrent_meur_radical</t>
        </is>
      </c>
      <c r="T1" s="3" t="inlineStr">
        <is>
          <t>eco_fonct_meur_prudent</t>
        </is>
      </c>
      <c r="U1" s="3" t="inlineStr">
        <is>
          <t>eco_fonct_meur_intermediaire</t>
        </is>
      </c>
      <c r="V1" s="3" t="inlineStr">
        <is>
          <t>eco_fonct_meur_ambitieux</t>
        </is>
      </c>
      <c r="W1" s="3" t="inlineStr">
        <is>
          <t>eco_fonct_meur_radical</t>
        </is>
      </c>
      <c r="X1" s="3" t="inlineStr">
        <is>
          <t>effet_recettes_meur_prudent</t>
        </is>
      </c>
      <c r="Y1" s="3" t="inlineStr">
        <is>
          <t>effet_recettes_meur_intermediaire</t>
        </is>
      </c>
      <c r="Z1" s="3" t="inlineStr">
        <is>
          <t>effet_recettes_meur_ambitieux</t>
        </is>
      </c>
      <c r="AA1" s="3" t="inlineStr">
        <is>
          <t>effet_recettes_meur_radical</t>
        </is>
      </c>
      <c r="AB1" s="3" t="inlineStr">
        <is>
          <t>confiance</t>
        </is>
      </c>
      <c r="AC1" s="3" t="inlineStr">
        <is>
          <t>fiche</t>
        </is>
      </c>
    </row>
    <row r="2">
      <c r="A2" t="inlineStr">
        <is>
          <t>R01</t>
        </is>
      </c>
      <c r="B2" t="inlineStr">
        <is>
          <t>Automatiser les contrôles de forme et supprimer les ressaisies fiscales</t>
        </is>
      </c>
      <c r="C2" t="inlineStr">
        <is>
          <t>V_DGFIP</t>
        </is>
      </c>
      <c r="D2" t="n">
        <v>20</v>
      </c>
      <c r="E2" t="n">
        <v>1</v>
      </c>
      <c r="F2" t="n">
        <v>0</v>
      </c>
      <c r="G2" t="n">
        <v>0</v>
      </c>
      <c r="H2" s="5" t="n">
        <v>0.0055</v>
      </c>
      <c r="I2" s="5" t="n">
        <v>0.011</v>
      </c>
      <c r="J2" s="5" t="n">
        <v>0.022</v>
      </c>
      <c r="K2" s="5" t="n">
        <v>0.033</v>
      </c>
      <c r="L2" s="5" t="n">
        <v>42.137</v>
      </c>
      <c r="M2" s="5" t="n">
        <v>84.274</v>
      </c>
      <c r="N2" s="5" t="n">
        <v>168.549</v>
      </c>
      <c r="O2" s="5" t="n">
        <v>252.823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t="inlineStr">
        <is>
          <t>moyen</t>
        </is>
      </c>
      <c r="AC2" t="inlineStr">
        <is>
          <t>recherche/fiches/R01_automatiser_les_controles_de_forme_et_supprimer_.md</t>
        </is>
      </c>
    </row>
    <row r="3">
      <c r="A3" t="inlineStr">
        <is>
          <t>R02</t>
        </is>
      </c>
      <c r="B3" t="inlineStr">
        <is>
          <t>Mutualiser les fonctions RH et informatiques de la DGFiP</t>
        </is>
      </c>
      <c r="C3" t="inlineStr">
        <is>
          <t>V_DGFIP</t>
        </is>
      </c>
      <c r="D3" t="n">
        <v>30</v>
      </c>
      <c r="E3" t="n">
        <v>1</v>
      </c>
      <c r="F3" t="n">
        <v>0</v>
      </c>
      <c r="G3" t="n">
        <v>0</v>
      </c>
      <c r="H3" s="5" t="n">
        <v>0.001</v>
      </c>
      <c r="I3" s="5" t="n">
        <v>0.0047</v>
      </c>
      <c r="J3" s="5" t="n">
        <v>0.007</v>
      </c>
      <c r="K3" s="5" t="n">
        <v>0.0094</v>
      </c>
      <c r="L3" s="5" t="n">
        <v>7.619</v>
      </c>
      <c r="M3" s="5" t="n">
        <v>35.612</v>
      </c>
      <c r="N3" s="5" t="n">
        <v>52.449</v>
      </c>
      <c r="O3" s="5" t="n">
        <v>69.64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t="inlineStr">
        <is>
          <t>faible</t>
        </is>
      </c>
      <c r="AC3" t="inlineStr">
        <is>
          <t>recherche/fiches/R02_mutualiser_les_fonctions_rh_et_informatiques_de_.md</t>
        </is>
      </c>
    </row>
    <row r="4">
      <c r="A4" t="inlineStr">
        <is>
          <t>R03</t>
        </is>
      </c>
      <c r="B4" t="inlineStr">
        <is>
          <t>Utiliser l'IA pour cibler le contrôle fiscal, à effectifs redéployés</t>
        </is>
      </c>
      <c r="C4" t="inlineStr">
        <is>
          <t>V_DGFIP</t>
        </is>
      </c>
      <c r="D4" t="n">
        <v>40</v>
      </c>
      <c r="E4" t="n">
        <v>0</v>
      </c>
      <c r="F4" t="n">
        <v>1</v>
      </c>
      <c r="G4" t="n">
        <v>0</v>
      </c>
      <c r="H4" s="5" t="n">
        <v>0</v>
      </c>
      <c r="I4" s="5" t="n">
        <v>0.01</v>
      </c>
      <c r="J4" s="5" t="n">
        <v>0.02</v>
      </c>
      <c r="K4" s="5" t="n">
        <v>0.03</v>
      </c>
      <c r="L4" s="5" t="n">
        <v>0</v>
      </c>
      <c r="M4" s="5" t="n">
        <v>25.223</v>
      </c>
      <c r="N4" s="5" t="n">
        <v>25.223</v>
      </c>
      <c r="O4" s="5" t="n">
        <v>25.223</v>
      </c>
      <c r="P4" s="5" t="n">
        <v>0</v>
      </c>
      <c r="Q4" s="5" t="n">
        <v>0.992</v>
      </c>
      <c r="R4" s="5" t="n">
        <v>0.992</v>
      </c>
      <c r="S4" s="5" t="n">
        <v>0.992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t="inlineStr">
        <is>
          <t>faible</t>
        </is>
      </c>
      <c r="AC4" t="inlineStr">
        <is>
          <t>recherche/fiches/R03_utiliser_l_ia_pour_cibler_le_controle_fiscal_a_e.md</t>
        </is>
      </c>
    </row>
    <row r="5">
      <c r="A5" t="inlineStr">
        <is>
          <t>R28</t>
        </is>
      </c>
      <c r="B5" t="inlineStr">
        <is>
          <t>Professionnaliser et mutualiser davantage les achats publics</t>
        </is>
      </c>
      <c r="C5" t="inlineStr">
        <is>
          <t>V_FONCT</t>
        </is>
      </c>
      <c r="D5" t="n">
        <v>10</v>
      </c>
      <c r="E5" t="n">
        <v>1</v>
      </c>
      <c r="F5" t="n">
        <v>0</v>
      </c>
      <c r="G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61</v>
      </c>
      <c r="U5" s="5" t="n">
        <v>122</v>
      </c>
      <c r="V5" s="5" t="n">
        <v>244</v>
      </c>
      <c r="W5" s="5" t="n">
        <v>365</v>
      </c>
      <c r="X5" s="5" t="n">
        <v>0</v>
      </c>
      <c r="Y5" s="5" t="n">
        <v>0</v>
      </c>
      <c r="Z5" s="5" t="n">
        <v>0</v>
      </c>
      <c r="AA5" s="5" t="n">
        <v>0</v>
      </c>
      <c r="AB5" t="inlineStr">
        <is>
          <t>moyen</t>
        </is>
      </c>
      <c r="AC5" t="inlineStr">
        <is>
          <t>recherche/fiches/R28_professionnaliser_et_mutualiser_davantage_les_ac.md</t>
        </is>
      </c>
    </row>
    <row r="6">
      <c r="A6" t="inlineStr">
        <is>
          <t>R29</t>
        </is>
      </c>
      <c r="B6" t="inlineStr">
        <is>
          <t>Réduire les surfaces de bureaux au-delà de la foncière de l'État</t>
        </is>
      </c>
      <c r="C6" t="inlineStr">
        <is>
          <t>V_FONCT</t>
        </is>
      </c>
      <c r="D6" t="n">
        <v>11</v>
      </c>
      <c r="E6" t="n">
        <v>1</v>
      </c>
      <c r="F6" t="n">
        <v>0</v>
      </c>
      <c r="G6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100</v>
      </c>
      <c r="W6" s="5" t="n">
        <v>250</v>
      </c>
      <c r="X6" s="5" t="n">
        <v>0</v>
      </c>
      <c r="Y6" s="5" t="n">
        <v>0</v>
      </c>
      <c r="Z6" s="5" t="n">
        <v>0</v>
      </c>
      <c r="AA6" s="5" t="n">
        <v>0</v>
      </c>
      <c r="AB6" t="inlineStr">
        <is>
          <t>faible</t>
        </is>
      </c>
      <c r="AC6" t="inlineStr">
        <is>
          <t>recherche/fiches/R29_reduire_les_surfaces_de_bureaux_au_dela_de_la_fo.md</t>
        </is>
      </c>
    </row>
    <row r="7">
      <c r="A7" t="inlineStr">
        <is>
          <t>R30</t>
        </is>
      </c>
      <c r="B7" t="inlineStr">
        <is>
          <t>Réexaminer périodiquement les commissions et instances consultatives</t>
        </is>
      </c>
      <c r="C7" t="inlineStr">
        <is>
          <t>V_FONCT</t>
        </is>
      </c>
      <c r="D7" t="n">
        <v>12</v>
      </c>
      <c r="E7" t="n">
        <v>1</v>
      </c>
      <c r="F7" t="n">
        <v>0</v>
      </c>
      <c r="G7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t="inlineStr">
        <is>
          <t>faible</t>
        </is>
      </c>
      <c r="AC7" t="inlineStr">
        <is>
          <t>recherche/fiches/R30_reexaminer_periodiquement_les_commissions_et_ins.md</t>
        </is>
      </c>
    </row>
    <row r="8">
      <c r="A8" t="inlineStr">
        <is>
          <t>R04</t>
        </is>
      </c>
      <c r="B8" t="inlineStr">
        <is>
          <t>Revoir les missions des opérateurs et regrouper ceux qui se recouvrent</t>
        </is>
      </c>
      <c r="C8" t="inlineStr">
        <is>
          <t>V_FPE_AUTRES</t>
        </is>
      </c>
      <c r="D8" t="n">
        <v>10</v>
      </c>
      <c r="E8" t="n">
        <v>0.8</v>
      </c>
      <c r="F8" t="n">
        <v>0.2</v>
      </c>
      <c r="G8" t="n">
        <v>0</v>
      </c>
      <c r="H8" s="5" t="n">
        <v>0.005</v>
      </c>
      <c r="I8" s="5" t="n">
        <v>0.015</v>
      </c>
      <c r="J8" s="5" t="n">
        <v>0.03</v>
      </c>
      <c r="K8" s="5" t="n">
        <v>0.06</v>
      </c>
      <c r="L8" s="5" t="n">
        <v>81.637</v>
      </c>
      <c r="M8" s="5" t="n">
        <v>244.91</v>
      </c>
      <c r="N8" s="5" t="n">
        <v>489.82</v>
      </c>
      <c r="O8" s="5" t="n">
        <v>979.64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t="inlineStr">
        <is>
          <t>moyen</t>
        </is>
      </c>
      <c r="AC8" t="inlineStr">
        <is>
          <t>recherche/fiches/R04_revoir_les_missions_des_operateurs_et_regrouper_.md</t>
        </is>
      </c>
    </row>
    <row r="9">
      <c r="A9" t="inlineStr">
        <is>
          <t>R05</t>
        </is>
      </c>
      <c r="B9" t="inlineStr">
        <is>
          <t>Allouer les effectifs de l'État territorial selon des besoins mesurés</t>
        </is>
      </c>
      <c r="C9" t="inlineStr">
        <is>
          <t>V_FPE_AUTRES</t>
        </is>
      </c>
      <c r="D9" t="n">
        <v>11</v>
      </c>
      <c r="E9" t="n">
        <v>1</v>
      </c>
      <c r="F9" t="n">
        <v>0</v>
      </c>
      <c r="G9" t="n">
        <v>0</v>
      </c>
      <c r="H9" s="5" t="n">
        <v>0</v>
      </c>
      <c r="I9" s="5" t="n">
        <v>0.01</v>
      </c>
      <c r="J9" s="5" t="n">
        <v>0.02</v>
      </c>
      <c r="K9" s="5" t="n">
        <v>0.04</v>
      </c>
      <c r="L9" s="5" t="n">
        <v>0</v>
      </c>
      <c r="M9" s="5" t="n">
        <v>201.03</v>
      </c>
      <c r="N9" s="5" t="n">
        <v>395.938</v>
      </c>
      <c r="O9" s="5" t="n">
        <v>767.385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t="inlineStr">
        <is>
          <t>faible</t>
        </is>
      </c>
      <c r="AC9" t="inlineStr">
        <is>
          <t>recherche/fiches/R05_allouer_les_effectifs_de_l_etat_territorial_selo.md</t>
        </is>
      </c>
    </row>
    <row r="10">
      <c r="A10" t="inlineStr">
        <is>
          <t>R06</t>
        </is>
      </c>
      <c r="B10" t="inlineStr">
        <is>
          <t>Resserrer les administrations centrales au-delà du PLF 2027</t>
        </is>
      </c>
      <c r="C10" t="inlineStr">
        <is>
          <t>V_FPE_AUTRES</t>
        </is>
      </c>
      <c r="D10" t="n">
        <v>12</v>
      </c>
      <c r="E10" t="n">
        <v>1</v>
      </c>
      <c r="F10" t="n">
        <v>0</v>
      </c>
      <c r="G10" t="n">
        <v>0</v>
      </c>
      <c r="H10" s="5" t="n">
        <v>0</v>
      </c>
      <c r="I10" s="5" t="n">
        <v>0.01</v>
      </c>
      <c r="J10" s="5" t="n">
        <v>0.02</v>
      </c>
      <c r="K10" s="5" t="n">
        <v>0.04</v>
      </c>
      <c r="L10" s="5" t="n">
        <v>0</v>
      </c>
      <c r="M10" s="5" t="n">
        <v>199.02</v>
      </c>
      <c r="N10" s="5" t="n">
        <v>388.019</v>
      </c>
      <c r="O10" s="5" t="n">
        <v>736.6900000000001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t="inlineStr">
        <is>
          <t>faible</t>
        </is>
      </c>
      <c r="AC10" t="inlineStr">
        <is>
          <t>recherche/fiches/R06_resserrer_les_administrations_centrales_au_dela_.md</t>
        </is>
      </c>
    </row>
    <row r="11">
      <c r="A11" t="inlineStr">
        <is>
          <t>R07</t>
        </is>
      </c>
      <c r="B11" t="inlineStr">
        <is>
          <t>Réutiliser les données détenues et ne plus redemander les pièces</t>
        </is>
      </c>
      <c r="C11" t="inlineStr">
        <is>
          <t>V_FPE_AUTRES</t>
        </is>
      </c>
      <c r="D11" t="n">
        <v>20</v>
      </c>
      <c r="E11" t="n">
        <v>1</v>
      </c>
      <c r="F11" t="n">
        <v>0</v>
      </c>
      <c r="G11" t="n">
        <v>0</v>
      </c>
      <c r="H11" s="5" t="n">
        <v>0.005</v>
      </c>
      <c r="I11" s="5" t="n">
        <v>0.01</v>
      </c>
      <c r="J11" s="5" t="n">
        <v>0.02</v>
      </c>
      <c r="K11" s="5" t="n">
        <v>0.03</v>
      </c>
      <c r="L11" s="5" t="n">
        <v>101.536</v>
      </c>
      <c r="M11" s="5" t="n">
        <v>197.03</v>
      </c>
      <c r="N11" s="5" t="n">
        <v>380.259</v>
      </c>
      <c r="O11" s="5" t="n">
        <v>530.417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t="inlineStr">
        <is>
          <t>moyen</t>
        </is>
      </c>
      <c r="AC11" t="inlineStr">
        <is>
          <t>recherche/fiches/R07_reutiliser_les_donnees_detenues_et_ne_plus_redem.md</t>
        </is>
      </c>
    </row>
    <row r="12">
      <c r="A12" t="inlineStr">
        <is>
          <t>R08</t>
        </is>
      </c>
      <c r="B12" t="inlineStr">
        <is>
          <t>Supprimer les procédures et obligations d'information sans usage</t>
        </is>
      </c>
      <c r="C12" t="inlineStr">
        <is>
          <t>V_FPE_AUTRES</t>
        </is>
      </c>
      <c r="D12" t="n">
        <v>21</v>
      </c>
      <c r="E12" t="n">
        <v>1</v>
      </c>
      <c r="F12" t="n">
        <v>0</v>
      </c>
      <c r="G12" t="n">
        <v>0</v>
      </c>
      <c r="H12" s="5" t="n">
        <v>0</v>
      </c>
      <c r="I12" s="5" t="n">
        <v>0.005</v>
      </c>
      <c r="J12" s="5" t="n">
        <v>0.015</v>
      </c>
      <c r="K12" s="5" t="n">
        <v>0.03</v>
      </c>
      <c r="L12" s="5" t="n">
        <v>0</v>
      </c>
      <c r="M12" s="5" t="n">
        <v>97.53</v>
      </c>
      <c r="N12" s="5" t="n">
        <v>279.49</v>
      </c>
      <c r="O12" s="5" t="n">
        <v>514.504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t="inlineStr">
        <is>
          <t>faible</t>
        </is>
      </c>
      <c r="AC12" t="inlineStr">
        <is>
          <t>recherche/fiches/R08_supprimer_les_procedures_et_obligations_d_inform.md</t>
        </is>
      </c>
    </row>
    <row r="13">
      <c r="A13" t="inlineStr">
        <is>
          <t>R09</t>
        </is>
      </c>
      <c r="B13" t="inlineStr">
        <is>
          <t>Créer des services partagés de gestion pour les opérateurs</t>
        </is>
      </c>
      <c r="C13" t="inlineStr">
        <is>
          <t>V_FPE_AUTRES</t>
        </is>
      </c>
      <c r="D13" t="n">
        <v>30</v>
      </c>
      <c r="E13" t="n">
        <v>1</v>
      </c>
      <c r="F13" t="n">
        <v>0</v>
      </c>
      <c r="G13" t="n">
        <v>0</v>
      </c>
      <c r="H13" s="5" t="n">
        <v>0.005</v>
      </c>
      <c r="I13" s="5" t="n">
        <v>0.015</v>
      </c>
      <c r="J13" s="5" t="n">
        <v>0.03</v>
      </c>
      <c r="K13" s="5" t="n">
        <v>0.04</v>
      </c>
      <c r="L13" s="5" t="n">
        <v>101.028</v>
      </c>
      <c r="M13" s="5" t="n">
        <v>291.126</v>
      </c>
      <c r="N13" s="5" t="n">
        <v>550.596</v>
      </c>
      <c r="O13" s="5" t="n">
        <v>665.425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t="inlineStr">
        <is>
          <t>faible</t>
        </is>
      </c>
      <c r="AC13" t="inlineStr">
        <is>
          <t>recherche/fiches/R09_creer_des_services_partages_de_gestion_pour_les_.md</t>
        </is>
      </c>
    </row>
    <row r="14">
      <c r="A14" t="inlineStr">
        <is>
          <t>R10</t>
        </is>
      </c>
      <c r="B14" t="inlineStr">
        <is>
          <t>Industrialiser la gestion RH et la paie interministérielles</t>
        </is>
      </c>
      <c r="C14" t="inlineStr">
        <is>
          <t>V_FPE_AUTRES</t>
        </is>
      </c>
      <c r="D14" t="n">
        <v>31</v>
      </c>
      <c r="E14" t="n">
        <v>1</v>
      </c>
      <c r="F14" t="n">
        <v>0</v>
      </c>
      <c r="G14" t="n">
        <v>0</v>
      </c>
      <c r="H14" s="5" t="n">
        <v>0</v>
      </c>
      <c r="I14" s="5" t="n">
        <v>0.005</v>
      </c>
      <c r="J14" s="5" t="n">
        <v>0.01</v>
      </c>
      <c r="K14" s="5" t="n">
        <v>0.02</v>
      </c>
      <c r="L14" s="5" t="n">
        <v>0</v>
      </c>
      <c r="M14" s="5" t="n">
        <v>143.38</v>
      </c>
      <c r="N14" s="5" t="n">
        <v>267.039</v>
      </c>
      <c r="O14" s="5" t="n">
        <v>479.106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t="inlineStr">
        <is>
          <t>faible</t>
        </is>
      </c>
      <c r="AC14" t="inlineStr">
        <is>
          <t>recherche/fiches/R10_industrialiser_la_gestion_rh_et_la_paie_intermin.md</t>
        </is>
      </c>
    </row>
    <row r="15">
      <c r="A15" t="inlineStr">
        <is>
          <t>R11</t>
        </is>
      </c>
      <c r="B15" t="inlineStr">
        <is>
          <t>Généraliser l'assistance IA aux tâches rédactionnelles de l'État</t>
        </is>
      </c>
      <c r="C15" t="inlineStr">
        <is>
          <t>V_FPE_AUTRES</t>
        </is>
      </c>
      <c r="D15" t="n">
        <v>40</v>
      </c>
      <c r="E15" t="n">
        <v>1</v>
      </c>
      <c r="F15" t="n">
        <v>0</v>
      </c>
      <c r="G15" t="n">
        <v>0</v>
      </c>
      <c r="H15" s="5" t="n">
        <v>0</v>
      </c>
      <c r="I15" s="5" t="n">
        <v>0.01</v>
      </c>
      <c r="J15" s="5" t="n">
        <v>0.03</v>
      </c>
      <c r="K15" s="5" t="n">
        <v>0.05</v>
      </c>
      <c r="L15" s="5" t="n">
        <v>0</v>
      </c>
      <c r="M15" s="5" t="n">
        <v>61.853</v>
      </c>
      <c r="N15" s="5" t="n">
        <v>61.853</v>
      </c>
      <c r="O15" s="5" t="n">
        <v>61.853</v>
      </c>
      <c r="P15" s="5" t="n">
        <v>0</v>
      </c>
      <c r="Q15" s="5" t="n">
        <v>2.432</v>
      </c>
      <c r="R15" s="5" t="n">
        <v>2.432</v>
      </c>
      <c r="S15" s="5" t="n">
        <v>2.432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t="inlineStr">
        <is>
          <t>faible</t>
        </is>
      </c>
      <c r="AC15" t="inlineStr">
        <is>
          <t>recherche/fiches/R11_generaliser_l_assistance_ia_aux_taches_redaction.md</t>
        </is>
      </c>
    </row>
    <row r="16">
      <c r="A16" t="inlineStr">
        <is>
          <t>R12</t>
        </is>
      </c>
      <c r="B16" t="inlineStr">
        <is>
          <t>Ne remplacer qu'un départ sur deux dans les fonctions administratives restantes de l'État</t>
        </is>
      </c>
      <c r="C16" t="inlineStr">
        <is>
          <t>V_FPE_AUTRES</t>
        </is>
      </c>
      <c r="D16" t="n">
        <v>50</v>
      </c>
      <c r="E16" t="n">
        <v>1</v>
      </c>
      <c r="F16" t="n">
        <v>0</v>
      </c>
      <c r="G16" t="n">
        <v>1</v>
      </c>
      <c r="H16" s="5" t="n">
        <v>0</v>
      </c>
      <c r="I16" s="5" t="n">
        <v>0</v>
      </c>
      <c r="J16" s="5" t="n">
        <v>0.03</v>
      </c>
      <c r="K16" s="5" t="n">
        <v>0.08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128.219</v>
      </c>
      <c r="S16" s="5" t="n">
        <v>297.365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t="inlineStr">
        <is>
          <t>faible</t>
        </is>
      </c>
      <c r="AC16" t="inlineStr">
        <is>
          <t>recherche/fiches/R12_ne_remplacer_qu_un_depart_sur_deux_dans_les_fonc.md</t>
        </is>
      </c>
    </row>
    <row r="17">
      <c r="A17" t="inlineStr">
        <is>
          <t>R19</t>
        </is>
      </c>
      <c r="B17" t="inlineStr">
        <is>
          <t>Mutualiser les fonctions administratives au sein des groupements hospitaliers</t>
        </is>
      </c>
      <c r="C17" t="inlineStr">
        <is>
          <t>V_FPH_ADM</t>
        </is>
      </c>
      <c r="D17" t="n">
        <v>30</v>
      </c>
      <c r="E17" t="n">
        <v>1</v>
      </c>
      <c r="F17" t="n">
        <v>0</v>
      </c>
      <c r="G17" t="n">
        <v>0</v>
      </c>
      <c r="H17" s="5" t="n">
        <v>0.01</v>
      </c>
      <c r="I17" s="5" t="n">
        <v>0.03</v>
      </c>
      <c r="J17" s="5" t="n">
        <v>0.05</v>
      </c>
      <c r="K17" s="5" t="n">
        <v>0.08</v>
      </c>
      <c r="L17" s="5" t="n">
        <v>80.312</v>
      </c>
      <c r="M17" s="5" t="n">
        <v>240.937</v>
      </c>
      <c r="N17" s="5" t="n">
        <v>401.561</v>
      </c>
      <c r="O17" s="5" t="n">
        <v>642.497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t="inlineStr">
        <is>
          <t>faible</t>
        </is>
      </c>
      <c r="AC17" t="inlineStr">
        <is>
          <t>recherche/fiches/R19_mutualiser_les_fonctions_administratives_au_sein.md</t>
        </is>
      </c>
    </row>
    <row r="18">
      <c r="A18" t="inlineStr">
        <is>
          <t>R20</t>
        </is>
      </c>
      <c r="B18" t="inlineStr">
        <is>
          <t>Automatiser le codage, la facturation et le secrétariat hospitaliers</t>
        </is>
      </c>
      <c r="C18" t="inlineStr">
        <is>
          <t>V_FPH_ADM</t>
        </is>
      </c>
      <c r="D18" t="n">
        <v>40</v>
      </c>
      <c r="E18" t="n">
        <v>1</v>
      </c>
      <c r="F18" t="n">
        <v>0</v>
      </c>
      <c r="G18" t="n">
        <v>0</v>
      </c>
      <c r="H18" s="5" t="n">
        <v>0</v>
      </c>
      <c r="I18" s="5" t="n">
        <v>0.01</v>
      </c>
      <c r="J18" s="5" t="n">
        <v>0.03</v>
      </c>
      <c r="K18" s="5" t="n">
        <v>0.05</v>
      </c>
      <c r="L18" s="5" t="n">
        <v>0</v>
      </c>
      <c r="M18" s="5" t="n">
        <v>31.843</v>
      </c>
      <c r="N18" s="5" t="n">
        <v>31.843</v>
      </c>
      <c r="O18" s="5" t="n">
        <v>31.843</v>
      </c>
      <c r="P18" s="5" t="n">
        <v>0</v>
      </c>
      <c r="Q18" s="5" t="n">
        <v>1.252</v>
      </c>
      <c r="R18" s="5" t="n">
        <v>1.252</v>
      </c>
      <c r="S18" s="5" t="n">
        <v>1.252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t="inlineStr">
        <is>
          <t>faible</t>
        </is>
      </c>
      <c r="AC18" t="inlineStr">
        <is>
          <t>recherche/fiches/R20_automatiser_le_codage_la_facturation_et_le_secre.md</t>
        </is>
      </c>
    </row>
    <row r="19">
      <c r="A19" t="inlineStr">
        <is>
          <t>R14</t>
        </is>
      </c>
      <c r="B19" t="inlineStr">
        <is>
          <t>Désigner un chef de file unique par politique cofinancée entre collectivités</t>
        </is>
      </c>
      <c r="C19" t="inlineStr">
        <is>
          <t>V_FPT_ADM</t>
        </is>
      </c>
      <c r="D19" t="n">
        <v>10</v>
      </c>
      <c r="E19" t="n">
        <v>1</v>
      </c>
      <c r="F19" t="n">
        <v>0</v>
      </c>
      <c r="G19" t="n">
        <v>0</v>
      </c>
      <c r="H19" s="5" t="n">
        <v>0</v>
      </c>
      <c r="I19" s="5" t="n">
        <v>0.01</v>
      </c>
      <c r="J19" s="5" t="n">
        <v>0.02</v>
      </c>
      <c r="K19" s="5" t="n">
        <v>0.04</v>
      </c>
      <c r="L19" s="5" t="n">
        <v>0</v>
      </c>
      <c r="M19" s="5" t="n">
        <v>299.54</v>
      </c>
      <c r="N19" s="5" t="n">
        <v>599.079</v>
      </c>
      <c r="O19" s="5" t="n">
        <v>1198.159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t="inlineStr">
        <is>
          <t>faible</t>
        </is>
      </c>
      <c r="AC19" t="inlineStr">
        <is>
          <t>recherche/fiches/R14_designer_un_chef_de_file_unique_par_politique_co.md</t>
        </is>
      </c>
    </row>
    <row r="20">
      <c r="A20" t="inlineStr">
        <is>
          <t>R15</t>
        </is>
      </c>
      <c r="B20" t="inlineStr">
        <is>
          <t>Supprimer un échelon d'administration territoriale (transformation radicale)</t>
        </is>
      </c>
      <c r="C20" t="inlineStr">
        <is>
          <t>V_FPT_ADM</t>
        </is>
      </c>
      <c r="D20" t="n">
        <v>11</v>
      </c>
      <c r="E20" t="n">
        <v>0.8</v>
      </c>
      <c r="F20" t="n">
        <v>0.2</v>
      </c>
      <c r="G20" t="n">
        <v>0</v>
      </c>
      <c r="H20" s="5" t="n">
        <v>0</v>
      </c>
      <c r="I20" s="5" t="n">
        <v>0</v>
      </c>
      <c r="J20" s="5" t="n">
        <v>0</v>
      </c>
      <c r="K20" s="5" t="n">
        <v>0.05</v>
      </c>
      <c r="L20" s="5" t="n">
        <v>0</v>
      </c>
      <c r="M20" s="5" t="n">
        <v>0</v>
      </c>
      <c r="N20" s="5" t="n">
        <v>0</v>
      </c>
      <c r="O20" s="5" t="n">
        <v>1725.349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t="inlineStr">
        <is>
          <t>faible</t>
        </is>
      </c>
      <c r="AC20" t="inlineStr">
        <is>
          <t>recherche/fiches/R15_supprimer_un_echelon_d_administration_territoria.md</t>
        </is>
      </c>
    </row>
    <row r="21">
      <c r="A21" t="inlineStr">
        <is>
          <t>R16</t>
        </is>
      </c>
      <c r="B21" t="inlineStr">
        <is>
          <t>Évaluer a posteriori et alléger les normes imposées aux collectivités</t>
        </is>
      </c>
      <c r="C21" t="inlineStr">
        <is>
          <t>V_FPT_ADM</t>
        </is>
      </c>
      <c r="D21" t="n">
        <v>20</v>
      </c>
      <c r="E21" t="n">
        <v>1</v>
      </c>
      <c r="F21" t="n">
        <v>0</v>
      </c>
      <c r="G21" t="n">
        <v>0</v>
      </c>
      <c r="H21" s="5" t="n">
        <v>0</v>
      </c>
      <c r="I21" s="5" t="n">
        <v>0.005</v>
      </c>
      <c r="J21" s="5" t="n">
        <v>0.01</v>
      </c>
      <c r="K21" s="5" t="n">
        <v>0.02</v>
      </c>
      <c r="L21" s="5" t="n">
        <v>0</v>
      </c>
      <c r="M21" s="5" t="n">
        <v>148.272</v>
      </c>
      <c r="N21" s="5" t="n">
        <v>293.549</v>
      </c>
      <c r="O21" s="5" t="n">
        <v>546.36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t="inlineStr">
        <is>
          <t>faible</t>
        </is>
      </c>
      <c r="AC21" t="inlineStr">
        <is>
          <t>recherche/fiches/R16_evaluer_a_posteriori_et_alleger_les_normes_impos.md</t>
        </is>
      </c>
    </row>
    <row r="22">
      <c r="A22" t="inlineStr">
        <is>
          <t>R17</t>
        </is>
      </c>
      <c r="B22" t="inlineStr">
        <is>
          <t>Mutualiser les fonctions support entre communes et intercommunalités</t>
        </is>
      </c>
      <c r="C22" t="inlineStr">
        <is>
          <t>V_FPT_ADM</t>
        </is>
      </c>
      <c r="D22" t="n">
        <v>30</v>
      </c>
      <c r="E22" t="n">
        <v>1</v>
      </c>
      <c r="F22" t="n">
        <v>0</v>
      </c>
      <c r="G22" t="n">
        <v>0</v>
      </c>
      <c r="H22" s="5" t="n">
        <v>0.01</v>
      </c>
      <c r="I22" s="5" t="n">
        <v>0.03</v>
      </c>
      <c r="J22" s="5" t="n">
        <v>0.05</v>
      </c>
      <c r="K22" s="5" t="n">
        <v>0.08</v>
      </c>
      <c r="L22" s="5" t="n">
        <v>299.54</v>
      </c>
      <c r="M22" s="5" t="n">
        <v>885.1849999999999</v>
      </c>
      <c r="N22" s="5" t="n">
        <v>1453.067</v>
      </c>
      <c r="O22" s="5" t="n">
        <v>2141.733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t="inlineStr">
        <is>
          <t>moyen</t>
        </is>
      </c>
      <c r="AC22" t="inlineStr">
        <is>
          <t>recherche/fiches/R17_mutualiser_les_fonctions_support_entre_communes_.md</t>
        </is>
      </c>
    </row>
    <row r="23">
      <c r="A23" t="inlineStr">
        <is>
          <t>R18</t>
        </is>
      </c>
      <c r="B23" t="inlineStr">
        <is>
          <t>Automatiser l'instruction des actes et la gestion RH des collectivités</t>
        </is>
      </c>
      <c r="C23" t="inlineStr">
        <is>
          <t>V_FPT_ADM</t>
        </is>
      </c>
      <c r="D23" t="n">
        <v>40</v>
      </c>
      <c r="E23" t="n">
        <v>1</v>
      </c>
      <c r="F23" t="n">
        <v>0</v>
      </c>
      <c r="G23" t="n">
        <v>0</v>
      </c>
      <c r="H23" s="5" t="n">
        <v>0</v>
      </c>
      <c r="I23" s="5" t="n">
        <v>0.01</v>
      </c>
      <c r="J23" s="5" t="n">
        <v>0.03</v>
      </c>
      <c r="K23" s="5" t="n">
        <v>0.05</v>
      </c>
      <c r="L23" s="5" t="n">
        <v>0</v>
      </c>
      <c r="M23" s="5" t="n">
        <v>118.766</v>
      </c>
      <c r="N23" s="5" t="n">
        <v>118.766</v>
      </c>
      <c r="O23" s="5" t="n">
        <v>118.766</v>
      </c>
      <c r="P23" s="5" t="n">
        <v>0</v>
      </c>
      <c r="Q23" s="5" t="n">
        <v>4.671</v>
      </c>
      <c r="R23" s="5" t="n">
        <v>4.671</v>
      </c>
      <c r="S23" s="5" t="n">
        <v>4.671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t="inlineStr">
        <is>
          <t>faible</t>
        </is>
      </c>
      <c r="AC23" t="inlineStr">
        <is>
          <t>recherche/fiches/R18_automatiser_l_instruction_des_actes_et_la_gestio.md</t>
        </is>
      </c>
    </row>
    <row r="24">
      <c r="A24" t="inlineStr">
        <is>
          <t>R25</t>
        </is>
      </c>
      <c r="B24" t="inlineStr">
        <is>
          <t>Un dossier unique pour les parcours d'emploi et d'insertion</t>
        </is>
      </c>
      <c r="C24" t="inlineStr">
        <is>
          <t>V_FT</t>
        </is>
      </c>
      <c r="D24" t="n">
        <v>20</v>
      </c>
      <c r="E24" t="n">
        <v>1</v>
      </c>
      <c r="F24" t="n">
        <v>0</v>
      </c>
      <c r="G24" t="n">
        <v>0</v>
      </c>
      <c r="H24" s="5" t="n">
        <v>0</v>
      </c>
      <c r="I24" s="5" t="n">
        <v>0.01</v>
      </c>
      <c r="J24" s="5" t="n">
        <v>0.02</v>
      </c>
      <c r="K24" s="5" t="n">
        <v>0.03</v>
      </c>
      <c r="L24" s="5" t="n">
        <v>0</v>
      </c>
      <c r="M24" s="5" t="n">
        <v>42.492</v>
      </c>
      <c r="N24" s="5" t="n">
        <v>84.985</v>
      </c>
      <c r="O24" s="5" t="n">
        <v>127.477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t="inlineStr">
        <is>
          <t>faible</t>
        </is>
      </c>
      <c r="AC24" t="inlineStr">
        <is>
          <t>recherche/fiches/R25_un_dossier_unique_pour_les_parcours_d_emploi_et_.md</t>
        </is>
      </c>
    </row>
    <row r="25">
      <c r="A25" t="inlineStr">
        <is>
          <t>R26</t>
        </is>
      </c>
      <c r="B25" t="inlineStr">
        <is>
          <t>Convertir en postes le temps libéré par les outils d'IA de France Travail</t>
        </is>
      </c>
      <c r="C25" t="inlineStr">
        <is>
          <t>V_FT</t>
        </is>
      </c>
      <c r="D25" t="n">
        <v>40</v>
      </c>
      <c r="E25" t="n">
        <v>1</v>
      </c>
      <c r="F25" t="n">
        <v>0</v>
      </c>
      <c r="G25" t="n">
        <v>0</v>
      </c>
      <c r="H25" s="5" t="n">
        <v>0</v>
      </c>
      <c r="I25" s="5" t="n">
        <v>0.005</v>
      </c>
      <c r="J25" s="5" t="n">
        <v>0.016</v>
      </c>
      <c r="K25" s="5" t="n">
        <v>0.03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t="inlineStr">
        <is>
          <t>faible</t>
        </is>
      </c>
      <c r="AC25" t="inlineStr">
        <is>
          <t>recherche/fiches/R26_convertir_en_postes_le_temps_libere_par_les_outi.md</t>
        </is>
      </c>
    </row>
    <row r="26">
      <c r="A26" t="inlineStr">
        <is>
          <t>R27</t>
        </is>
      </c>
      <c r="B26" t="inlineStr">
        <is>
          <t>Externaliser l'accompagnement des demandeurs d'emploi (non retenue)</t>
        </is>
      </c>
      <c r="C26" t="inlineStr">
        <is>
          <t>V_FT</t>
        </is>
      </c>
      <c r="D26" t="n">
        <v>50</v>
      </c>
      <c r="E26" t="n">
        <v>1</v>
      </c>
      <c r="F26" t="n">
        <v>0</v>
      </c>
      <c r="G26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t="inlineStr">
        <is>
          <t>faible</t>
        </is>
      </c>
      <c r="AC26" t="inlineStr">
        <is>
          <t>recherche/fiches/R27_externaliser_l_accompagnement_des_demandeurs_d_e.md</t>
        </is>
      </c>
    </row>
    <row r="27">
      <c r="A27" t="inlineStr">
        <is>
          <t>R13</t>
        </is>
      </c>
      <c r="B27" t="inlineStr">
        <is>
          <t>Mutualiser et automatiser la gestion administrative des personnels de l'Éducation nationale</t>
        </is>
      </c>
      <c r="C27" t="inlineStr">
        <is>
          <t>V_MEN_ADM</t>
        </is>
      </c>
      <c r="D27" t="n">
        <v>30</v>
      </c>
      <c r="E27" t="n">
        <v>1</v>
      </c>
      <c r="F27" t="n">
        <v>0</v>
      </c>
      <c r="G27" t="n">
        <v>0</v>
      </c>
      <c r="H27" s="5" t="n">
        <v>0</v>
      </c>
      <c r="I27" s="5" t="n">
        <v>0.03</v>
      </c>
      <c r="J27" s="5" t="n">
        <v>0.06</v>
      </c>
      <c r="K27" s="5" t="n">
        <v>0.1</v>
      </c>
      <c r="L27" s="5" t="n">
        <v>0</v>
      </c>
      <c r="M27" s="5" t="n">
        <v>134.394</v>
      </c>
      <c r="N27" s="5" t="n">
        <v>268.788</v>
      </c>
      <c r="O27" s="5" t="n">
        <v>447.98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t="inlineStr">
        <is>
          <t>faible</t>
        </is>
      </c>
      <c r="AC27" t="inlineStr">
        <is>
          <t>recherche/fiches/R13_mutualiser_et_automatiser_la_gestion_administrat.md</t>
        </is>
      </c>
    </row>
    <row r="28">
      <c r="A28" t="inlineStr">
        <is>
          <t>R21</t>
        </is>
      </c>
      <c r="B28" t="inlineStr">
        <is>
          <t>Simplifier le double circuit de remboursement assurance maladie et complémentaires</t>
        </is>
      </c>
      <c r="C28" t="inlineStr">
        <is>
          <t>V_OPS</t>
        </is>
      </c>
      <c r="D28" t="n">
        <v>20</v>
      </c>
      <c r="E28" t="n">
        <v>1</v>
      </c>
      <c r="F28" t="n">
        <v>0</v>
      </c>
      <c r="G28" t="n">
        <v>0</v>
      </c>
      <c r="H28" s="5" t="n">
        <v>0</v>
      </c>
      <c r="I28" s="5" t="n">
        <v>0.01</v>
      </c>
      <c r="J28" s="5" t="n">
        <v>0.02</v>
      </c>
      <c r="K28" s="5" t="n">
        <v>0.04</v>
      </c>
      <c r="L28" s="5" t="n">
        <v>0</v>
      </c>
      <c r="M28" s="5" t="n">
        <v>143.271</v>
      </c>
      <c r="N28" s="5" t="n">
        <v>286.542</v>
      </c>
      <c r="O28" s="5" t="n">
        <v>573.083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t="inlineStr">
        <is>
          <t>faible</t>
        </is>
      </c>
      <c r="AC28" t="inlineStr">
        <is>
          <t>recherche/fiches/R21_simplifier_le_double_circuit_de_remboursement_as.md</t>
        </is>
      </c>
    </row>
    <row r="29">
      <c r="A29" t="inlineStr">
        <is>
          <t>R23</t>
        </is>
      </c>
      <c r="B29" t="inlineStr">
        <is>
          <t>Réduire les indus et payer à bon droit</t>
        </is>
      </c>
      <c r="C29" t="inlineStr">
        <is>
          <t>V_OPS</t>
        </is>
      </c>
      <c r="D29" t="n">
        <v>21</v>
      </c>
      <c r="E29" t="n">
        <v>1</v>
      </c>
      <c r="F29" t="n">
        <v>0</v>
      </c>
      <c r="G29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100</v>
      </c>
      <c r="Y29" s="5" t="n">
        <v>100</v>
      </c>
      <c r="Z29" s="5" t="n">
        <v>100</v>
      </c>
      <c r="AA29" s="5" t="n">
        <v>100</v>
      </c>
      <c r="AB29" t="inlineStr">
        <is>
          <t>moyen</t>
        </is>
      </c>
      <c r="AC29" t="inlineStr">
        <is>
          <t>recherche/fiches/R23_reduire_les_indus_et_payer_a_bon_droit.md</t>
        </is>
      </c>
    </row>
    <row r="30">
      <c r="A30" t="inlineStr">
        <is>
          <t>R22</t>
        </is>
      </c>
      <c r="B30" t="inlineStr">
        <is>
          <t>Mutualiser les fonctions support des caisses de Sécurité sociale</t>
        </is>
      </c>
      <c r="C30" t="inlineStr">
        <is>
          <t>V_OPS</t>
        </is>
      </c>
      <c r="D30" t="n">
        <v>30</v>
      </c>
      <c r="E30" t="n">
        <v>1</v>
      </c>
      <c r="F30" t="n">
        <v>0</v>
      </c>
      <c r="G30" t="n">
        <v>0</v>
      </c>
      <c r="H30" s="5" t="n">
        <v>0.01</v>
      </c>
      <c r="I30" s="5" t="n">
        <v>0.02</v>
      </c>
      <c r="J30" s="5" t="n">
        <v>0.04</v>
      </c>
      <c r="K30" s="5" t="n">
        <v>0.06</v>
      </c>
      <c r="L30" s="5" t="n">
        <v>143.271</v>
      </c>
      <c r="M30" s="5" t="n">
        <v>283.676</v>
      </c>
      <c r="N30" s="5" t="n">
        <v>561.622</v>
      </c>
      <c r="O30" s="5" t="n">
        <v>825.24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t="inlineStr">
        <is>
          <t>faible</t>
        </is>
      </c>
      <c r="AC30" t="inlineStr">
        <is>
          <t>recherche/fiches/R22_mutualiser_les_fonctions_support_des_caisses_de_.md</t>
        </is>
      </c>
    </row>
    <row r="31">
      <c r="A31" t="inlineStr">
        <is>
          <t>R24</t>
        </is>
      </c>
      <c r="B31" t="inlineStr">
        <is>
          <t>Automatiser le traitement des dossiers de prestations</t>
        </is>
      </c>
      <c r="C31" t="inlineStr">
        <is>
          <t>V_OPS</t>
        </is>
      </c>
      <c r="D31" t="n">
        <v>40</v>
      </c>
      <c r="E31" t="n">
        <v>1</v>
      </c>
      <c r="F31" t="n">
        <v>0</v>
      </c>
      <c r="G31" t="n">
        <v>0</v>
      </c>
      <c r="H31" s="5" t="n">
        <v>0</v>
      </c>
      <c r="I31" s="5" t="n">
        <v>0.01</v>
      </c>
      <c r="J31" s="5" t="n">
        <v>0.03</v>
      </c>
      <c r="K31" s="5" t="n">
        <v>0.05</v>
      </c>
      <c r="L31" s="5" t="n">
        <v>0</v>
      </c>
      <c r="M31" s="5" t="n">
        <v>43.42</v>
      </c>
      <c r="N31" s="5" t="n">
        <v>43.42</v>
      </c>
      <c r="O31" s="5" t="n">
        <v>43.42</v>
      </c>
      <c r="P31" s="5" t="n">
        <v>0</v>
      </c>
      <c r="Q31" s="5" t="n">
        <v>1.708</v>
      </c>
      <c r="R31" s="5" t="n">
        <v>1.708</v>
      </c>
      <c r="S31" s="5" t="n">
        <v>1.708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t="inlineStr">
        <is>
          <t>faible</t>
        </is>
      </c>
      <c r="AC31" t="inlineStr">
        <is>
          <t>recherche/fiches/R24_automatiser_le_traitement_des_dossiers_de_presta.md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3" t="inlineStr">
        <is>
          <t>id</t>
        </is>
      </c>
      <c r="B1" s="3" t="inlineStr">
        <is>
          <t>vivier</t>
        </is>
      </c>
      <c r="C1" s="3" t="inlineStr">
        <is>
          <t>ordre</t>
        </is>
      </c>
      <c r="D1" s="3" t="inlineStr">
        <is>
          <t>base ETP</t>
        </is>
      </c>
      <c r="E1" s="3" t="inlineStr">
        <is>
          <t>plafond</t>
        </is>
      </c>
      <c r="F1" s="3" t="inlineStr">
        <is>
          <t>taux effectif</t>
        </is>
      </c>
      <c r="G1" s="3" t="inlineStr">
        <is>
          <t>cumul cibles précédentes</t>
        </is>
      </c>
      <c r="H1" s="3" t="inlineStr">
        <is>
          <t>cible ETP</t>
        </is>
      </c>
      <c r="I1" s="3" t="inlineStr">
        <is>
          <t>non-remplacement demandé</t>
        </is>
      </c>
      <c r="J1" s="3" t="inlineStr">
        <is>
          <t>capacité départs vivier</t>
        </is>
      </c>
      <c r="K1" s="3" t="inlineStr">
        <is>
          <t>cumul NR précédents</t>
        </is>
      </c>
      <c r="L1" s="3" t="inlineStr">
        <is>
          <t>NR réalisé</t>
        </is>
      </c>
      <c r="M1" s="3" t="inlineStr">
        <is>
          <t>redéployés</t>
        </is>
      </c>
      <c r="N1" s="3" t="inlineStr">
        <is>
          <t>coût unitaire (k€)</t>
        </is>
      </c>
      <c r="O1" s="3" t="inlineStr">
        <is>
          <t>économie salariale RP (M€)</t>
        </is>
      </c>
      <c r="P1" s="3" t="inlineStr">
        <is>
          <t>éco. fonctionnement (M€)</t>
        </is>
      </c>
      <c r="Q1" s="3" t="inlineStr">
        <is>
          <t>coût récurrent (M€)</t>
        </is>
      </c>
      <c r="R1" s="3" t="inlineStr">
        <is>
          <t>recettes (M€)</t>
        </is>
      </c>
      <c r="S1" s="3" t="inlineStr">
        <is>
          <t>net RP (M€)</t>
        </is>
      </c>
      <c r="T1" s="3" t="inlineStr">
        <is>
          <t>consolidé APU RP (M€)</t>
        </is>
      </c>
      <c r="U1" s="3" t="inlineStr">
        <is>
          <t>investissement (M€)</t>
        </is>
      </c>
    </row>
    <row r="2">
      <c r="A2">
        <f>Reformes!A2</f>
        <v/>
      </c>
      <c r="B2">
        <f>Reformes!C2</f>
        <v/>
      </c>
      <c r="C2">
        <f>Reformes!D2</f>
        <v/>
      </c>
      <c r="D2">
        <f>VLOOKUP(B2,Viviers!$A$2:$I$9,3,FALSE)</f>
        <v/>
      </c>
      <c r="E2">
        <f>VLOOKUP(B2,Viviers!$A$2:$I$9,5,FALSE)</f>
        <v/>
      </c>
      <c r="F2">
        <f>MIN(1,Reformes!H2*Hypotheses!$B$5)</f>
        <v/>
      </c>
      <c r="G2">
        <f>0</f>
        <v/>
      </c>
      <c r="H2">
        <f>MAX(0,MIN(F2*(D2-G2),E2*D2-G2))</f>
        <v/>
      </c>
      <c r="I2">
        <f>H2*Reformes!E2</f>
        <v/>
      </c>
      <c r="J2">
        <f>VLOOKUP(B2,Viviers!$A$2:$I$9,9,FALSE)</f>
        <v/>
      </c>
      <c r="K2">
        <f>0</f>
        <v/>
      </c>
      <c r="L2">
        <f>MIN(I2,MAX(0,J2-K2))</f>
        <v/>
      </c>
      <c r="M2">
        <f>H2*Reformes!F2</f>
        <v/>
      </c>
      <c r="N2">
        <f>MIN(VLOOKUP(VLOOKUP(B2,Viviers!$A$2:$I$9,2,FALSE),Hypotheses!$A$11:$C$15,3,FALSE),VLOOKUP(VLOOKUP(B2,Viviers!$A$2:$I$9,2,FALSE),Hypotheses!$A$11:$C$15,2,FALSE)*(1+Hypotheses!$B$3)^(Hypotheses!$B$2/2))*Hypotheses!$B$7</f>
        <v/>
      </c>
      <c r="O2">
        <f>L2*N2/1000</f>
        <v/>
      </c>
      <c r="P2">
        <f>Reformes!T2</f>
        <v/>
      </c>
      <c r="Q2">
        <f>IF(Reformes!G2=1,Reformes!P2*IF(I2&gt;0,L2/I2,0),Reformes!P2)</f>
        <v/>
      </c>
      <c r="R2">
        <f>Reformes!X2</f>
        <v/>
      </c>
      <c r="S2">
        <f>O2+P2-Q2+R2</f>
        <v/>
      </c>
      <c r="T2">
        <f>O2*Hypotheses!$B$4+P2-Q2+R2</f>
        <v/>
      </c>
      <c r="U2">
        <f>Reformes!L2*Hypotheses!$B$8</f>
        <v/>
      </c>
    </row>
    <row r="3">
      <c r="A3">
        <f>Reformes!A3</f>
        <v/>
      </c>
      <c r="B3">
        <f>Reformes!C3</f>
        <v/>
      </c>
      <c r="C3">
        <f>Reformes!D3</f>
        <v/>
      </c>
      <c r="D3">
        <f>VLOOKUP(B3,Viviers!$A$2:$I$9,3,FALSE)</f>
        <v/>
      </c>
      <c r="E3">
        <f>VLOOKUP(B3,Viviers!$A$2:$I$9,5,FALSE)</f>
        <v/>
      </c>
      <c r="F3">
        <f>MIN(1,Reformes!H3*Hypotheses!$B$5)</f>
        <v/>
      </c>
      <c r="G3">
        <f>IF(B3=B2,G2+H2,0)</f>
        <v/>
      </c>
      <c r="H3">
        <f>MAX(0,MIN(F3*(D3-G3),E3*D3-G3))</f>
        <v/>
      </c>
      <c r="I3">
        <f>H3*Reformes!E3</f>
        <v/>
      </c>
      <c r="J3">
        <f>VLOOKUP(B3,Viviers!$A$2:$I$9,9,FALSE)</f>
        <v/>
      </c>
      <c r="K3">
        <f>IF(B3=B2,K2+L2,0)</f>
        <v/>
      </c>
      <c r="L3">
        <f>MIN(I3,MAX(0,J3-K3))</f>
        <v/>
      </c>
      <c r="M3">
        <f>H3*Reformes!F3</f>
        <v/>
      </c>
      <c r="N3">
        <f>MIN(VLOOKUP(VLOOKUP(B3,Viviers!$A$2:$I$9,2,FALSE),Hypotheses!$A$11:$C$15,3,FALSE),VLOOKUP(VLOOKUP(B3,Viviers!$A$2:$I$9,2,FALSE),Hypotheses!$A$11:$C$15,2,FALSE)*(1+Hypotheses!$B$3)^(Hypotheses!$B$2/2))*Hypotheses!$B$7</f>
        <v/>
      </c>
      <c r="O3">
        <f>L3*N3/1000</f>
        <v/>
      </c>
      <c r="P3">
        <f>Reformes!T3</f>
        <v/>
      </c>
      <c r="Q3">
        <f>IF(Reformes!G3=1,Reformes!P3*IF(I3&gt;0,L3/I3,0),Reformes!P3)</f>
        <v/>
      </c>
      <c r="R3">
        <f>Reformes!X3</f>
        <v/>
      </c>
      <c r="S3">
        <f>O3+P3-Q3+R3</f>
        <v/>
      </c>
      <c r="T3">
        <f>O3*Hypotheses!$B$4+P3-Q3+R3</f>
        <v/>
      </c>
      <c r="U3">
        <f>Reformes!L3*Hypotheses!$B$8</f>
        <v/>
      </c>
    </row>
    <row r="4">
      <c r="A4">
        <f>Reformes!A4</f>
        <v/>
      </c>
      <c r="B4">
        <f>Reformes!C4</f>
        <v/>
      </c>
      <c r="C4">
        <f>Reformes!D4</f>
        <v/>
      </c>
      <c r="D4">
        <f>VLOOKUP(B4,Viviers!$A$2:$I$9,3,FALSE)</f>
        <v/>
      </c>
      <c r="E4">
        <f>VLOOKUP(B4,Viviers!$A$2:$I$9,5,FALSE)</f>
        <v/>
      </c>
      <c r="F4">
        <f>MIN(1,Reformes!H4*Hypotheses!$B$5)</f>
        <v/>
      </c>
      <c r="G4">
        <f>IF(B4=B3,G3+H3,0)</f>
        <v/>
      </c>
      <c r="H4">
        <f>MAX(0,MIN(F4*(D4-G4),E4*D4-G4))</f>
        <v/>
      </c>
      <c r="I4">
        <f>H4*Reformes!E4</f>
        <v/>
      </c>
      <c r="J4">
        <f>VLOOKUP(B4,Viviers!$A$2:$I$9,9,FALSE)</f>
        <v/>
      </c>
      <c r="K4">
        <f>IF(B4=B3,K3+L3,0)</f>
        <v/>
      </c>
      <c r="L4">
        <f>MIN(I4,MAX(0,J4-K4))</f>
        <v/>
      </c>
      <c r="M4">
        <f>H4*Reformes!F4</f>
        <v/>
      </c>
      <c r="N4">
        <f>MIN(VLOOKUP(VLOOKUP(B4,Viviers!$A$2:$I$9,2,FALSE),Hypotheses!$A$11:$C$15,3,FALSE),VLOOKUP(VLOOKUP(B4,Viviers!$A$2:$I$9,2,FALSE),Hypotheses!$A$11:$C$15,2,FALSE)*(1+Hypotheses!$B$3)^(Hypotheses!$B$2/2))*Hypotheses!$B$7</f>
        <v/>
      </c>
      <c r="O4">
        <f>L4*N4/1000</f>
        <v/>
      </c>
      <c r="P4">
        <f>Reformes!T4</f>
        <v/>
      </c>
      <c r="Q4">
        <f>IF(Reformes!G4=1,Reformes!P4*IF(I4&gt;0,L4/I4,0),Reformes!P4)</f>
        <v/>
      </c>
      <c r="R4">
        <f>Reformes!X4</f>
        <v/>
      </c>
      <c r="S4">
        <f>O4+P4-Q4+R4</f>
        <v/>
      </c>
      <c r="T4">
        <f>O4*Hypotheses!$B$4+P4-Q4+R4</f>
        <v/>
      </c>
      <c r="U4">
        <f>Reformes!L4*Hypotheses!$B$8</f>
        <v/>
      </c>
    </row>
    <row r="5">
      <c r="A5">
        <f>Reformes!A5</f>
        <v/>
      </c>
      <c r="B5">
        <f>Reformes!C5</f>
        <v/>
      </c>
      <c r="C5">
        <f>Reformes!D5</f>
        <v/>
      </c>
      <c r="D5">
        <f>VLOOKUP(B5,Viviers!$A$2:$I$9,3,FALSE)</f>
        <v/>
      </c>
      <c r="E5">
        <f>VLOOKUP(B5,Viviers!$A$2:$I$9,5,FALSE)</f>
        <v/>
      </c>
      <c r="F5">
        <f>MIN(1,Reformes!H5*Hypotheses!$B$5)</f>
        <v/>
      </c>
      <c r="G5">
        <f>IF(B5=B4,G4+H4,0)</f>
        <v/>
      </c>
      <c r="H5">
        <f>MAX(0,MIN(F5*(D5-G5),E5*D5-G5))</f>
        <v/>
      </c>
      <c r="I5">
        <f>H5*Reformes!E5</f>
        <v/>
      </c>
      <c r="J5">
        <f>VLOOKUP(B5,Viviers!$A$2:$I$9,9,FALSE)</f>
        <v/>
      </c>
      <c r="K5">
        <f>IF(B5=B4,K4+L4,0)</f>
        <v/>
      </c>
      <c r="L5">
        <f>MIN(I5,MAX(0,J5-K5))</f>
        <v/>
      </c>
      <c r="M5">
        <f>H5*Reformes!F5</f>
        <v/>
      </c>
      <c r="N5">
        <f>MIN(VLOOKUP(VLOOKUP(B5,Viviers!$A$2:$I$9,2,FALSE),Hypotheses!$A$11:$C$15,3,FALSE),VLOOKUP(VLOOKUP(B5,Viviers!$A$2:$I$9,2,FALSE),Hypotheses!$A$11:$C$15,2,FALSE)*(1+Hypotheses!$B$3)^(Hypotheses!$B$2/2))*Hypotheses!$B$7</f>
        <v/>
      </c>
      <c r="O5">
        <f>L5*N5/1000</f>
        <v/>
      </c>
      <c r="P5">
        <f>Reformes!T5</f>
        <v/>
      </c>
      <c r="Q5">
        <f>IF(Reformes!G5=1,Reformes!P5*IF(I5&gt;0,L5/I5,0),Reformes!P5)</f>
        <v/>
      </c>
      <c r="R5">
        <f>Reformes!X5</f>
        <v/>
      </c>
      <c r="S5">
        <f>O5+P5-Q5+R5</f>
        <v/>
      </c>
      <c r="T5">
        <f>O5*Hypotheses!$B$4+P5-Q5+R5</f>
        <v/>
      </c>
      <c r="U5">
        <f>Reformes!L5*Hypotheses!$B$8</f>
        <v/>
      </c>
    </row>
    <row r="6">
      <c r="A6">
        <f>Reformes!A6</f>
        <v/>
      </c>
      <c r="B6">
        <f>Reformes!C6</f>
        <v/>
      </c>
      <c r="C6">
        <f>Reformes!D6</f>
        <v/>
      </c>
      <c r="D6">
        <f>VLOOKUP(B6,Viviers!$A$2:$I$9,3,FALSE)</f>
        <v/>
      </c>
      <c r="E6">
        <f>VLOOKUP(B6,Viviers!$A$2:$I$9,5,FALSE)</f>
        <v/>
      </c>
      <c r="F6">
        <f>MIN(1,Reformes!H6*Hypotheses!$B$5)</f>
        <v/>
      </c>
      <c r="G6">
        <f>IF(B6=B5,G5+H5,0)</f>
        <v/>
      </c>
      <c r="H6">
        <f>MAX(0,MIN(F6*(D6-G6),E6*D6-G6))</f>
        <v/>
      </c>
      <c r="I6">
        <f>H6*Reformes!E6</f>
        <v/>
      </c>
      <c r="J6">
        <f>VLOOKUP(B6,Viviers!$A$2:$I$9,9,FALSE)</f>
        <v/>
      </c>
      <c r="K6">
        <f>IF(B6=B5,K5+L5,0)</f>
        <v/>
      </c>
      <c r="L6">
        <f>MIN(I6,MAX(0,J6-K6))</f>
        <v/>
      </c>
      <c r="M6">
        <f>H6*Reformes!F6</f>
        <v/>
      </c>
      <c r="N6">
        <f>MIN(VLOOKUP(VLOOKUP(B6,Viviers!$A$2:$I$9,2,FALSE),Hypotheses!$A$11:$C$15,3,FALSE),VLOOKUP(VLOOKUP(B6,Viviers!$A$2:$I$9,2,FALSE),Hypotheses!$A$11:$C$15,2,FALSE)*(1+Hypotheses!$B$3)^(Hypotheses!$B$2/2))*Hypotheses!$B$7</f>
        <v/>
      </c>
      <c r="O6">
        <f>L6*N6/1000</f>
        <v/>
      </c>
      <c r="P6">
        <f>Reformes!T6</f>
        <v/>
      </c>
      <c r="Q6">
        <f>IF(Reformes!G6=1,Reformes!P6*IF(I6&gt;0,L6/I6,0),Reformes!P6)</f>
        <v/>
      </c>
      <c r="R6">
        <f>Reformes!X6</f>
        <v/>
      </c>
      <c r="S6">
        <f>O6+P6-Q6+R6</f>
        <v/>
      </c>
      <c r="T6">
        <f>O6*Hypotheses!$B$4+P6-Q6+R6</f>
        <v/>
      </c>
      <c r="U6">
        <f>Reformes!L6*Hypotheses!$B$8</f>
        <v/>
      </c>
    </row>
    <row r="7">
      <c r="A7">
        <f>Reformes!A7</f>
        <v/>
      </c>
      <c r="B7">
        <f>Reformes!C7</f>
        <v/>
      </c>
      <c r="C7">
        <f>Reformes!D7</f>
        <v/>
      </c>
      <c r="D7">
        <f>VLOOKUP(B7,Viviers!$A$2:$I$9,3,FALSE)</f>
        <v/>
      </c>
      <c r="E7">
        <f>VLOOKUP(B7,Viviers!$A$2:$I$9,5,FALSE)</f>
        <v/>
      </c>
      <c r="F7">
        <f>MIN(1,Reformes!H7*Hypotheses!$B$5)</f>
        <v/>
      </c>
      <c r="G7">
        <f>IF(B7=B6,G6+H6,0)</f>
        <v/>
      </c>
      <c r="H7">
        <f>MAX(0,MIN(F7*(D7-G7),E7*D7-G7))</f>
        <v/>
      </c>
      <c r="I7">
        <f>H7*Reformes!E7</f>
        <v/>
      </c>
      <c r="J7">
        <f>VLOOKUP(B7,Viviers!$A$2:$I$9,9,FALSE)</f>
        <v/>
      </c>
      <c r="K7">
        <f>IF(B7=B6,K6+L6,0)</f>
        <v/>
      </c>
      <c r="L7">
        <f>MIN(I7,MAX(0,J7-K7))</f>
        <v/>
      </c>
      <c r="M7">
        <f>H7*Reformes!F7</f>
        <v/>
      </c>
      <c r="N7">
        <f>MIN(VLOOKUP(VLOOKUP(B7,Viviers!$A$2:$I$9,2,FALSE),Hypotheses!$A$11:$C$15,3,FALSE),VLOOKUP(VLOOKUP(B7,Viviers!$A$2:$I$9,2,FALSE),Hypotheses!$A$11:$C$15,2,FALSE)*(1+Hypotheses!$B$3)^(Hypotheses!$B$2/2))*Hypotheses!$B$7</f>
        <v/>
      </c>
      <c r="O7">
        <f>L7*N7/1000</f>
        <v/>
      </c>
      <c r="P7">
        <f>Reformes!T7</f>
        <v/>
      </c>
      <c r="Q7">
        <f>IF(Reformes!G7=1,Reformes!P7*IF(I7&gt;0,L7/I7,0),Reformes!P7)</f>
        <v/>
      </c>
      <c r="R7">
        <f>Reformes!X7</f>
        <v/>
      </c>
      <c r="S7">
        <f>O7+P7-Q7+R7</f>
        <v/>
      </c>
      <c r="T7">
        <f>O7*Hypotheses!$B$4+P7-Q7+R7</f>
        <v/>
      </c>
      <c r="U7">
        <f>Reformes!L7*Hypotheses!$B$8</f>
        <v/>
      </c>
    </row>
    <row r="8">
      <c r="A8">
        <f>Reformes!A8</f>
        <v/>
      </c>
      <c r="B8">
        <f>Reformes!C8</f>
        <v/>
      </c>
      <c r="C8">
        <f>Reformes!D8</f>
        <v/>
      </c>
      <c r="D8">
        <f>VLOOKUP(B8,Viviers!$A$2:$I$9,3,FALSE)</f>
        <v/>
      </c>
      <c r="E8">
        <f>VLOOKUP(B8,Viviers!$A$2:$I$9,5,FALSE)</f>
        <v/>
      </c>
      <c r="F8">
        <f>MIN(1,Reformes!H8*Hypotheses!$B$5)</f>
        <v/>
      </c>
      <c r="G8">
        <f>IF(B8=B7,G7+H7,0)</f>
        <v/>
      </c>
      <c r="H8">
        <f>MAX(0,MIN(F8*(D8-G8),E8*D8-G8))</f>
        <v/>
      </c>
      <c r="I8">
        <f>H8*Reformes!E8</f>
        <v/>
      </c>
      <c r="J8">
        <f>VLOOKUP(B8,Viviers!$A$2:$I$9,9,FALSE)</f>
        <v/>
      </c>
      <c r="K8">
        <f>IF(B8=B7,K7+L7,0)</f>
        <v/>
      </c>
      <c r="L8">
        <f>MIN(I8,MAX(0,J8-K8))</f>
        <v/>
      </c>
      <c r="M8">
        <f>H8*Reformes!F8</f>
        <v/>
      </c>
      <c r="N8">
        <f>MIN(VLOOKUP(VLOOKUP(B8,Viviers!$A$2:$I$9,2,FALSE),Hypotheses!$A$11:$C$15,3,FALSE),VLOOKUP(VLOOKUP(B8,Viviers!$A$2:$I$9,2,FALSE),Hypotheses!$A$11:$C$15,2,FALSE)*(1+Hypotheses!$B$3)^(Hypotheses!$B$2/2))*Hypotheses!$B$7</f>
        <v/>
      </c>
      <c r="O8">
        <f>L8*N8/1000</f>
        <v/>
      </c>
      <c r="P8">
        <f>Reformes!T8</f>
        <v/>
      </c>
      <c r="Q8">
        <f>IF(Reformes!G8=1,Reformes!P8*IF(I8&gt;0,L8/I8,0),Reformes!P8)</f>
        <v/>
      </c>
      <c r="R8">
        <f>Reformes!X8</f>
        <v/>
      </c>
      <c r="S8">
        <f>O8+P8-Q8+R8</f>
        <v/>
      </c>
      <c r="T8">
        <f>O8*Hypotheses!$B$4+P8-Q8+R8</f>
        <v/>
      </c>
      <c r="U8">
        <f>Reformes!L8*Hypotheses!$B$8</f>
        <v/>
      </c>
    </row>
    <row r="9">
      <c r="A9">
        <f>Reformes!A9</f>
        <v/>
      </c>
      <c r="B9">
        <f>Reformes!C9</f>
        <v/>
      </c>
      <c r="C9">
        <f>Reformes!D9</f>
        <v/>
      </c>
      <c r="D9">
        <f>VLOOKUP(B9,Viviers!$A$2:$I$9,3,FALSE)</f>
        <v/>
      </c>
      <c r="E9">
        <f>VLOOKUP(B9,Viviers!$A$2:$I$9,5,FALSE)</f>
        <v/>
      </c>
      <c r="F9">
        <f>MIN(1,Reformes!H9*Hypotheses!$B$5)</f>
        <v/>
      </c>
      <c r="G9">
        <f>IF(B9=B8,G8+H8,0)</f>
        <v/>
      </c>
      <c r="H9">
        <f>MAX(0,MIN(F9*(D9-G9),E9*D9-G9))</f>
        <v/>
      </c>
      <c r="I9">
        <f>H9*Reformes!E9</f>
        <v/>
      </c>
      <c r="J9">
        <f>VLOOKUP(B9,Viviers!$A$2:$I$9,9,FALSE)</f>
        <v/>
      </c>
      <c r="K9">
        <f>IF(B9=B8,K8+L8,0)</f>
        <v/>
      </c>
      <c r="L9">
        <f>MIN(I9,MAX(0,J9-K9))</f>
        <v/>
      </c>
      <c r="M9">
        <f>H9*Reformes!F9</f>
        <v/>
      </c>
      <c r="N9">
        <f>MIN(VLOOKUP(VLOOKUP(B9,Viviers!$A$2:$I$9,2,FALSE),Hypotheses!$A$11:$C$15,3,FALSE),VLOOKUP(VLOOKUP(B9,Viviers!$A$2:$I$9,2,FALSE),Hypotheses!$A$11:$C$15,2,FALSE)*(1+Hypotheses!$B$3)^(Hypotheses!$B$2/2))*Hypotheses!$B$7</f>
        <v/>
      </c>
      <c r="O9">
        <f>L9*N9/1000</f>
        <v/>
      </c>
      <c r="P9">
        <f>Reformes!T9</f>
        <v/>
      </c>
      <c r="Q9">
        <f>IF(Reformes!G9=1,Reformes!P9*IF(I9&gt;0,L9/I9,0),Reformes!P9)</f>
        <v/>
      </c>
      <c r="R9">
        <f>Reformes!X9</f>
        <v/>
      </c>
      <c r="S9">
        <f>O9+P9-Q9+R9</f>
        <v/>
      </c>
      <c r="T9">
        <f>O9*Hypotheses!$B$4+P9-Q9+R9</f>
        <v/>
      </c>
      <c r="U9">
        <f>Reformes!L9*Hypotheses!$B$8</f>
        <v/>
      </c>
    </row>
    <row r="10">
      <c r="A10">
        <f>Reformes!A10</f>
        <v/>
      </c>
      <c r="B10">
        <f>Reformes!C10</f>
        <v/>
      </c>
      <c r="C10">
        <f>Reformes!D10</f>
        <v/>
      </c>
      <c r="D10">
        <f>VLOOKUP(B10,Viviers!$A$2:$I$9,3,FALSE)</f>
        <v/>
      </c>
      <c r="E10">
        <f>VLOOKUP(B10,Viviers!$A$2:$I$9,5,FALSE)</f>
        <v/>
      </c>
      <c r="F10">
        <f>MIN(1,Reformes!H10*Hypotheses!$B$5)</f>
        <v/>
      </c>
      <c r="G10">
        <f>IF(B10=B9,G9+H9,0)</f>
        <v/>
      </c>
      <c r="H10">
        <f>MAX(0,MIN(F10*(D10-G10),E10*D10-G10))</f>
        <v/>
      </c>
      <c r="I10">
        <f>H10*Reformes!E10</f>
        <v/>
      </c>
      <c r="J10">
        <f>VLOOKUP(B10,Viviers!$A$2:$I$9,9,FALSE)</f>
        <v/>
      </c>
      <c r="K10">
        <f>IF(B10=B9,K9+L9,0)</f>
        <v/>
      </c>
      <c r="L10">
        <f>MIN(I10,MAX(0,J10-K10))</f>
        <v/>
      </c>
      <c r="M10">
        <f>H10*Reformes!F10</f>
        <v/>
      </c>
      <c r="N10">
        <f>MIN(VLOOKUP(VLOOKUP(B10,Viviers!$A$2:$I$9,2,FALSE),Hypotheses!$A$11:$C$15,3,FALSE),VLOOKUP(VLOOKUP(B10,Viviers!$A$2:$I$9,2,FALSE),Hypotheses!$A$11:$C$15,2,FALSE)*(1+Hypotheses!$B$3)^(Hypotheses!$B$2/2))*Hypotheses!$B$7</f>
        <v/>
      </c>
      <c r="O10">
        <f>L10*N10/1000</f>
        <v/>
      </c>
      <c r="P10">
        <f>Reformes!T10</f>
        <v/>
      </c>
      <c r="Q10">
        <f>IF(Reformes!G10=1,Reformes!P10*IF(I10&gt;0,L10/I10,0),Reformes!P10)</f>
        <v/>
      </c>
      <c r="R10">
        <f>Reformes!X10</f>
        <v/>
      </c>
      <c r="S10">
        <f>O10+P10-Q10+R10</f>
        <v/>
      </c>
      <c r="T10">
        <f>O10*Hypotheses!$B$4+P10-Q10+R10</f>
        <v/>
      </c>
      <c r="U10">
        <f>Reformes!L10*Hypotheses!$B$8</f>
        <v/>
      </c>
    </row>
    <row r="11">
      <c r="A11">
        <f>Reformes!A11</f>
        <v/>
      </c>
      <c r="B11">
        <f>Reformes!C11</f>
        <v/>
      </c>
      <c r="C11">
        <f>Reformes!D11</f>
        <v/>
      </c>
      <c r="D11">
        <f>VLOOKUP(B11,Viviers!$A$2:$I$9,3,FALSE)</f>
        <v/>
      </c>
      <c r="E11">
        <f>VLOOKUP(B11,Viviers!$A$2:$I$9,5,FALSE)</f>
        <v/>
      </c>
      <c r="F11">
        <f>MIN(1,Reformes!H11*Hypotheses!$B$5)</f>
        <v/>
      </c>
      <c r="G11">
        <f>IF(B11=B10,G10+H10,0)</f>
        <v/>
      </c>
      <c r="H11">
        <f>MAX(0,MIN(F11*(D11-G11),E11*D11-G11))</f>
        <v/>
      </c>
      <c r="I11">
        <f>H11*Reformes!E11</f>
        <v/>
      </c>
      <c r="J11">
        <f>VLOOKUP(B11,Viviers!$A$2:$I$9,9,FALSE)</f>
        <v/>
      </c>
      <c r="K11">
        <f>IF(B11=B10,K10+L10,0)</f>
        <v/>
      </c>
      <c r="L11">
        <f>MIN(I11,MAX(0,J11-K11))</f>
        <v/>
      </c>
      <c r="M11">
        <f>H11*Reformes!F11</f>
        <v/>
      </c>
      <c r="N11">
        <f>MIN(VLOOKUP(VLOOKUP(B11,Viviers!$A$2:$I$9,2,FALSE),Hypotheses!$A$11:$C$15,3,FALSE),VLOOKUP(VLOOKUP(B11,Viviers!$A$2:$I$9,2,FALSE),Hypotheses!$A$11:$C$15,2,FALSE)*(1+Hypotheses!$B$3)^(Hypotheses!$B$2/2))*Hypotheses!$B$7</f>
        <v/>
      </c>
      <c r="O11">
        <f>L11*N11/1000</f>
        <v/>
      </c>
      <c r="P11">
        <f>Reformes!T11</f>
        <v/>
      </c>
      <c r="Q11">
        <f>IF(Reformes!G11=1,Reformes!P11*IF(I11&gt;0,L11/I11,0),Reformes!P11)</f>
        <v/>
      </c>
      <c r="R11">
        <f>Reformes!X11</f>
        <v/>
      </c>
      <c r="S11">
        <f>O11+P11-Q11+R11</f>
        <v/>
      </c>
      <c r="T11">
        <f>O11*Hypotheses!$B$4+P11-Q11+R11</f>
        <v/>
      </c>
      <c r="U11">
        <f>Reformes!L11*Hypotheses!$B$8</f>
        <v/>
      </c>
    </row>
    <row r="12">
      <c r="A12">
        <f>Reformes!A12</f>
        <v/>
      </c>
      <c r="B12">
        <f>Reformes!C12</f>
        <v/>
      </c>
      <c r="C12">
        <f>Reformes!D12</f>
        <v/>
      </c>
      <c r="D12">
        <f>VLOOKUP(B12,Viviers!$A$2:$I$9,3,FALSE)</f>
        <v/>
      </c>
      <c r="E12">
        <f>VLOOKUP(B12,Viviers!$A$2:$I$9,5,FALSE)</f>
        <v/>
      </c>
      <c r="F12">
        <f>MIN(1,Reformes!H12*Hypotheses!$B$5)</f>
        <v/>
      </c>
      <c r="G12">
        <f>IF(B12=B11,G11+H11,0)</f>
        <v/>
      </c>
      <c r="H12">
        <f>MAX(0,MIN(F12*(D12-G12),E12*D12-G12))</f>
        <v/>
      </c>
      <c r="I12">
        <f>H12*Reformes!E12</f>
        <v/>
      </c>
      <c r="J12">
        <f>VLOOKUP(B12,Viviers!$A$2:$I$9,9,FALSE)</f>
        <v/>
      </c>
      <c r="K12">
        <f>IF(B12=B11,K11+L11,0)</f>
        <v/>
      </c>
      <c r="L12">
        <f>MIN(I12,MAX(0,J12-K12))</f>
        <v/>
      </c>
      <c r="M12">
        <f>H12*Reformes!F12</f>
        <v/>
      </c>
      <c r="N12">
        <f>MIN(VLOOKUP(VLOOKUP(B12,Viviers!$A$2:$I$9,2,FALSE),Hypotheses!$A$11:$C$15,3,FALSE),VLOOKUP(VLOOKUP(B12,Viviers!$A$2:$I$9,2,FALSE),Hypotheses!$A$11:$C$15,2,FALSE)*(1+Hypotheses!$B$3)^(Hypotheses!$B$2/2))*Hypotheses!$B$7</f>
        <v/>
      </c>
      <c r="O12">
        <f>L12*N12/1000</f>
        <v/>
      </c>
      <c r="P12">
        <f>Reformes!T12</f>
        <v/>
      </c>
      <c r="Q12">
        <f>IF(Reformes!G12=1,Reformes!P12*IF(I12&gt;0,L12/I12,0),Reformes!P12)</f>
        <v/>
      </c>
      <c r="R12">
        <f>Reformes!X12</f>
        <v/>
      </c>
      <c r="S12">
        <f>O12+P12-Q12+R12</f>
        <v/>
      </c>
      <c r="T12">
        <f>O12*Hypotheses!$B$4+P12-Q12+R12</f>
        <v/>
      </c>
      <c r="U12">
        <f>Reformes!L12*Hypotheses!$B$8</f>
        <v/>
      </c>
    </row>
    <row r="13">
      <c r="A13">
        <f>Reformes!A13</f>
        <v/>
      </c>
      <c r="B13">
        <f>Reformes!C13</f>
        <v/>
      </c>
      <c r="C13">
        <f>Reformes!D13</f>
        <v/>
      </c>
      <c r="D13">
        <f>VLOOKUP(B13,Viviers!$A$2:$I$9,3,FALSE)</f>
        <v/>
      </c>
      <c r="E13">
        <f>VLOOKUP(B13,Viviers!$A$2:$I$9,5,FALSE)</f>
        <v/>
      </c>
      <c r="F13">
        <f>MIN(1,Reformes!H13*Hypotheses!$B$5)</f>
        <v/>
      </c>
      <c r="G13">
        <f>IF(B13=B12,G12+H12,0)</f>
        <v/>
      </c>
      <c r="H13">
        <f>MAX(0,MIN(F13*(D13-G13),E13*D13-G13))</f>
        <v/>
      </c>
      <c r="I13">
        <f>H13*Reformes!E13</f>
        <v/>
      </c>
      <c r="J13">
        <f>VLOOKUP(B13,Viviers!$A$2:$I$9,9,FALSE)</f>
        <v/>
      </c>
      <c r="K13">
        <f>IF(B13=B12,K12+L12,0)</f>
        <v/>
      </c>
      <c r="L13">
        <f>MIN(I13,MAX(0,J13-K13))</f>
        <v/>
      </c>
      <c r="M13">
        <f>H13*Reformes!F13</f>
        <v/>
      </c>
      <c r="N13">
        <f>MIN(VLOOKUP(VLOOKUP(B13,Viviers!$A$2:$I$9,2,FALSE),Hypotheses!$A$11:$C$15,3,FALSE),VLOOKUP(VLOOKUP(B13,Viviers!$A$2:$I$9,2,FALSE),Hypotheses!$A$11:$C$15,2,FALSE)*(1+Hypotheses!$B$3)^(Hypotheses!$B$2/2))*Hypotheses!$B$7</f>
        <v/>
      </c>
      <c r="O13">
        <f>L13*N13/1000</f>
        <v/>
      </c>
      <c r="P13">
        <f>Reformes!T13</f>
        <v/>
      </c>
      <c r="Q13">
        <f>IF(Reformes!G13=1,Reformes!P13*IF(I13&gt;0,L13/I13,0),Reformes!P13)</f>
        <v/>
      </c>
      <c r="R13">
        <f>Reformes!X13</f>
        <v/>
      </c>
      <c r="S13">
        <f>O13+P13-Q13+R13</f>
        <v/>
      </c>
      <c r="T13">
        <f>O13*Hypotheses!$B$4+P13-Q13+R13</f>
        <v/>
      </c>
      <c r="U13">
        <f>Reformes!L13*Hypotheses!$B$8</f>
        <v/>
      </c>
    </row>
    <row r="14">
      <c r="A14">
        <f>Reformes!A14</f>
        <v/>
      </c>
      <c r="B14">
        <f>Reformes!C14</f>
        <v/>
      </c>
      <c r="C14">
        <f>Reformes!D14</f>
        <v/>
      </c>
      <c r="D14">
        <f>VLOOKUP(B14,Viviers!$A$2:$I$9,3,FALSE)</f>
        <v/>
      </c>
      <c r="E14">
        <f>VLOOKUP(B14,Viviers!$A$2:$I$9,5,FALSE)</f>
        <v/>
      </c>
      <c r="F14">
        <f>MIN(1,Reformes!H14*Hypotheses!$B$5)</f>
        <v/>
      </c>
      <c r="G14">
        <f>IF(B14=B13,G13+H13,0)</f>
        <v/>
      </c>
      <c r="H14">
        <f>MAX(0,MIN(F14*(D14-G14),E14*D14-G14))</f>
        <v/>
      </c>
      <c r="I14">
        <f>H14*Reformes!E14</f>
        <v/>
      </c>
      <c r="J14">
        <f>VLOOKUP(B14,Viviers!$A$2:$I$9,9,FALSE)</f>
        <v/>
      </c>
      <c r="K14">
        <f>IF(B14=B13,K13+L13,0)</f>
        <v/>
      </c>
      <c r="L14">
        <f>MIN(I14,MAX(0,J14-K14))</f>
        <v/>
      </c>
      <c r="M14">
        <f>H14*Reformes!F14</f>
        <v/>
      </c>
      <c r="N14">
        <f>MIN(VLOOKUP(VLOOKUP(B14,Viviers!$A$2:$I$9,2,FALSE),Hypotheses!$A$11:$C$15,3,FALSE),VLOOKUP(VLOOKUP(B14,Viviers!$A$2:$I$9,2,FALSE),Hypotheses!$A$11:$C$15,2,FALSE)*(1+Hypotheses!$B$3)^(Hypotheses!$B$2/2))*Hypotheses!$B$7</f>
        <v/>
      </c>
      <c r="O14">
        <f>L14*N14/1000</f>
        <v/>
      </c>
      <c r="P14">
        <f>Reformes!T14</f>
        <v/>
      </c>
      <c r="Q14">
        <f>IF(Reformes!G14=1,Reformes!P14*IF(I14&gt;0,L14/I14,0),Reformes!P14)</f>
        <v/>
      </c>
      <c r="R14">
        <f>Reformes!X14</f>
        <v/>
      </c>
      <c r="S14">
        <f>O14+P14-Q14+R14</f>
        <v/>
      </c>
      <c r="T14">
        <f>O14*Hypotheses!$B$4+P14-Q14+R14</f>
        <v/>
      </c>
      <c r="U14">
        <f>Reformes!L14*Hypotheses!$B$8</f>
        <v/>
      </c>
    </row>
    <row r="15">
      <c r="A15">
        <f>Reformes!A15</f>
        <v/>
      </c>
      <c r="B15">
        <f>Reformes!C15</f>
        <v/>
      </c>
      <c r="C15">
        <f>Reformes!D15</f>
        <v/>
      </c>
      <c r="D15">
        <f>VLOOKUP(B15,Viviers!$A$2:$I$9,3,FALSE)</f>
        <v/>
      </c>
      <c r="E15">
        <f>VLOOKUP(B15,Viviers!$A$2:$I$9,5,FALSE)</f>
        <v/>
      </c>
      <c r="F15">
        <f>MIN(1,Reformes!H15*Hypotheses!$B$5)</f>
        <v/>
      </c>
      <c r="G15">
        <f>IF(B15=B14,G14+H14,0)</f>
        <v/>
      </c>
      <c r="H15">
        <f>MAX(0,MIN(F15*(D15-G15),E15*D15-G15))</f>
        <v/>
      </c>
      <c r="I15">
        <f>H15*Reformes!E15</f>
        <v/>
      </c>
      <c r="J15">
        <f>VLOOKUP(B15,Viviers!$A$2:$I$9,9,FALSE)</f>
        <v/>
      </c>
      <c r="K15">
        <f>IF(B15=B14,K14+L14,0)</f>
        <v/>
      </c>
      <c r="L15">
        <f>MIN(I15,MAX(0,J15-K15))</f>
        <v/>
      </c>
      <c r="M15">
        <f>H15*Reformes!F15</f>
        <v/>
      </c>
      <c r="N15">
        <f>MIN(VLOOKUP(VLOOKUP(B15,Viviers!$A$2:$I$9,2,FALSE),Hypotheses!$A$11:$C$15,3,FALSE),VLOOKUP(VLOOKUP(B15,Viviers!$A$2:$I$9,2,FALSE),Hypotheses!$A$11:$C$15,2,FALSE)*(1+Hypotheses!$B$3)^(Hypotheses!$B$2/2))*Hypotheses!$B$7</f>
        <v/>
      </c>
      <c r="O15">
        <f>L15*N15/1000</f>
        <v/>
      </c>
      <c r="P15">
        <f>Reformes!T15</f>
        <v/>
      </c>
      <c r="Q15">
        <f>IF(Reformes!G15=1,Reformes!P15*IF(I15&gt;0,L15/I15,0),Reformes!P15)</f>
        <v/>
      </c>
      <c r="R15">
        <f>Reformes!X15</f>
        <v/>
      </c>
      <c r="S15">
        <f>O15+P15-Q15+R15</f>
        <v/>
      </c>
      <c r="T15">
        <f>O15*Hypotheses!$B$4+P15-Q15+R15</f>
        <v/>
      </c>
      <c r="U15">
        <f>Reformes!L15*Hypotheses!$B$8</f>
        <v/>
      </c>
    </row>
    <row r="16">
      <c r="A16">
        <f>Reformes!A16</f>
        <v/>
      </c>
      <c r="B16">
        <f>Reformes!C16</f>
        <v/>
      </c>
      <c r="C16">
        <f>Reformes!D16</f>
        <v/>
      </c>
      <c r="D16">
        <f>VLOOKUP(B16,Viviers!$A$2:$I$9,3,FALSE)</f>
        <v/>
      </c>
      <c r="E16">
        <f>VLOOKUP(B16,Viviers!$A$2:$I$9,5,FALSE)</f>
        <v/>
      </c>
      <c r="F16">
        <f>MIN(1,Reformes!H16*Hypotheses!$B$5)</f>
        <v/>
      </c>
      <c r="G16">
        <f>IF(B16=B15,G15+H15,0)</f>
        <v/>
      </c>
      <c r="H16">
        <f>MAX(0,MIN(F16*(D16-G16),E16*D16-G16))</f>
        <v/>
      </c>
      <c r="I16">
        <f>H16*Reformes!E16</f>
        <v/>
      </c>
      <c r="J16">
        <f>VLOOKUP(B16,Viviers!$A$2:$I$9,9,FALSE)</f>
        <v/>
      </c>
      <c r="K16">
        <f>IF(B16=B15,K15+L15,0)</f>
        <v/>
      </c>
      <c r="L16">
        <f>MIN(I16,MAX(0,J16-K16))</f>
        <v/>
      </c>
      <c r="M16">
        <f>H16*Reformes!F16</f>
        <v/>
      </c>
      <c r="N16">
        <f>MIN(VLOOKUP(VLOOKUP(B16,Viviers!$A$2:$I$9,2,FALSE),Hypotheses!$A$11:$C$15,3,FALSE),VLOOKUP(VLOOKUP(B16,Viviers!$A$2:$I$9,2,FALSE),Hypotheses!$A$11:$C$15,2,FALSE)*(1+Hypotheses!$B$3)^(Hypotheses!$B$2/2))*Hypotheses!$B$7</f>
        <v/>
      </c>
      <c r="O16">
        <f>L16*N16/1000</f>
        <v/>
      </c>
      <c r="P16">
        <f>Reformes!T16</f>
        <v/>
      </c>
      <c r="Q16">
        <f>IF(Reformes!G16=1,Reformes!P16*IF(I16&gt;0,L16/I16,0),Reformes!P16)</f>
        <v/>
      </c>
      <c r="R16">
        <f>Reformes!X16</f>
        <v/>
      </c>
      <c r="S16">
        <f>O16+P16-Q16+R16</f>
        <v/>
      </c>
      <c r="T16">
        <f>O16*Hypotheses!$B$4+P16-Q16+R16</f>
        <v/>
      </c>
      <c r="U16">
        <f>Reformes!L16*Hypotheses!$B$8</f>
        <v/>
      </c>
    </row>
    <row r="17">
      <c r="A17">
        <f>Reformes!A17</f>
        <v/>
      </c>
      <c r="B17">
        <f>Reformes!C17</f>
        <v/>
      </c>
      <c r="C17">
        <f>Reformes!D17</f>
        <v/>
      </c>
      <c r="D17">
        <f>VLOOKUP(B17,Viviers!$A$2:$I$9,3,FALSE)</f>
        <v/>
      </c>
      <c r="E17">
        <f>VLOOKUP(B17,Viviers!$A$2:$I$9,5,FALSE)</f>
        <v/>
      </c>
      <c r="F17">
        <f>MIN(1,Reformes!H17*Hypotheses!$B$5)</f>
        <v/>
      </c>
      <c r="G17">
        <f>IF(B17=B16,G16+H16,0)</f>
        <v/>
      </c>
      <c r="H17">
        <f>MAX(0,MIN(F17*(D17-G17),E17*D17-G17))</f>
        <v/>
      </c>
      <c r="I17">
        <f>H17*Reformes!E17</f>
        <v/>
      </c>
      <c r="J17">
        <f>VLOOKUP(B17,Viviers!$A$2:$I$9,9,FALSE)</f>
        <v/>
      </c>
      <c r="K17">
        <f>IF(B17=B16,K16+L16,0)</f>
        <v/>
      </c>
      <c r="L17">
        <f>MIN(I17,MAX(0,J17-K17))</f>
        <v/>
      </c>
      <c r="M17">
        <f>H17*Reformes!F17</f>
        <v/>
      </c>
      <c r="N17">
        <f>MIN(VLOOKUP(VLOOKUP(B17,Viviers!$A$2:$I$9,2,FALSE),Hypotheses!$A$11:$C$15,3,FALSE),VLOOKUP(VLOOKUP(B17,Viviers!$A$2:$I$9,2,FALSE),Hypotheses!$A$11:$C$15,2,FALSE)*(1+Hypotheses!$B$3)^(Hypotheses!$B$2/2))*Hypotheses!$B$7</f>
        <v/>
      </c>
      <c r="O17">
        <f>L17*N17/1000</f>
        <v/>
      </c>
      <c r="P17">
        <f>Reformes!T17</f>
        <v/>
      </c>
      <c r="Q17">
        <f>IF(Reformes!G17=1,Reformes!P17*IF(I17&gt;0,L17/I17,0),Reformes!P17)</f>
        <v/>
      </c>
      <c r="R17">
        <f>Reformes!X17</f>
        <v/>
      </c>
      <c r="S17">
        <f>O17+P17-Q17+R17</f>
        <v/>
      </c>
      <c r="T17">
        <f>O17*Hypotheses!$B$4+P17-Q17+R17</f>
        <v/>
      </c>
      <c r="U17">
        <f>Reformes!L17*Hypotheses!$B$8</f>
        <v/>
      </c>
    </row>
    <row r="18">
      <c r="A18">
        <f>Reformes!A18</f>
        <v/>
      </c>
      <c r="B18">
        <f>Reformes!C18</f>
        <v/>
      </c>
      <c r="C18">
        <f>Reformes!D18</f>
        <v/>
      </c>
      <c r="D18">
        <f>VLOOKUP(B18,Viviers!$A$2:$I$9,3,FALSE)</f>
        <v/>
      </c>
      <c r="E18">
        <f>VLOOKUP(B18,Viviers!$A$2:$I$9,5,FALSE)</f>
        <v/>
      </c>
      <c r="F18">
        <f>MIN(1,Reformes!H18*Hypotheses!$B$5)</f>
        <v/>
      </c>
      <c r="G18">
        <f>IF(B18=B17,G17+H17,0)</f>
        <v/>
      </c>
      <c r="H18">
        <f>MAX(0,MIN(F18*(D18-G18),E18*D18-G18))</f>
        <v/>
      </c>
      <c r="I18">
        <f>H18*Reformes!E18</f>
        <v/>
      </c>
      <c r="J18">
        <f>VLOOKUP(B18,Viviers!$A$2:$I$9,9,FALSE)</f>
        <v/>
      </c>
      <c r="K18">
        <f>IF(B18=B17,K17+L17,0)</f>
        <v/>
      </c>
      <c r="L18">
        <f>MIN(I18,MAX(0,J18-K18))</f>
        <v/>
      </c>
      <c r="M18">
        <f>H18*Reformes!F18</f>
        <v/>
      </c>
      <c r="N18">
        <f>MIN(VLOOKUP(VLOOKUP(B18,Viviers!$A$2:$I$9,2,FALSE),Hypotheses!$A$11:$C$15,3,FALSE),VLOOKUP(VLOOKUP(B18,Viviers!$A$2:$I$9,2,FALSE),Hypotheses!$A$11:$C$15,2,FALSE)*(1+Hypotheses!$B$3)^(Hypotheses!$B$2/2))*Hypotheses!$B$7</f>
        <v/>
      </c>
      <c r="O18">
        <f>L18*N18/1000</f>
        <v/>
      </c>
      <c r="P18">
        <f>Reformes!T18</f>
        <v/>
      </c>
      <c r="Q18">
        <f>IF(Reformes!G18=1,Reformes!P18*IF(I18&gt;0,L18/I18,0),Reformes!P18)</f>
        <v/>
      </c>
      <c r="R18">
        <f>Reformes!X18</f>
        <v/>
      </c>
      <c r="S18">
        <f>O18+P18-Q18+R18</f>
        <v/>
      </c>
      <c r="T18">
        <f>O18*Hypotheses!$B$4+P18-Q18+R18</f>
        <v/>
      </c>
      <c r="U18">
        <f>Reformes!L18*Hypotheses!$B$8</f>
        <v/>
      </c>
    </row>
    <row r="19">
      <c r="A19">
        <f>Reformes!A19</f>
        <v/>
      </c>
      <c r="B19">
        <f>Reformes!C19</f>
        <v/>
      </c>
      <c r="C19">
        <f>Reformes!D19</f>
        <v/>
      </c>
      <c r="D19">
        <f>VLOOKUP(B19,Viviers!$A$2:$I$9,3,FALSE)</f>
        <v/>
      </c>
      <c r="E19">
        <f>VLOOKUP(B19,Viviers!$A$2:$I$9,5,FALSE)</f>
        <v/>
      </c>
      <c r="F19">
        <f>MIN(1,Reformes!H19*Hypotheses!$B$5)</f>
        <v/>
      </c>
      <c r="G19">
        <f>IF(B19=B18,G18+H18,0)</f>
        <v/>
      </c>
      <c r="H19">
        <f>MAX(0,MIN(F19*(D19-G19),E19*D19-G19))</f>
        <v/>
      </c>
      <c r="I19">
        <f>H19*Reformes!E19</f>
        <v/>
      </c>
      <c r="J19">
        <f>VLOOKUP(B19,Viviers!$A$2:$I$9,9,FALSE)</f>
        <v/>
      </c>
      <c r="K19">
        <f>IF(B19=B18,K18+L18,0)</f>
        <v/>
      </c>
      <c r="L19">
        <f>MIN(I19,MAX(0,J19-K19))</f>
        <v/>
      </c>
      <c r="M19">
        <f>H19*Reformes!F19</f>
        <v/>
      </c>
      <c r="N19">
        <f>MIN(VLOOKUP(VLOOKUP(B19,Viviers!$A$2:$I$9,2,FALSE),Hypotheses!$A$11:$C$15,3,FALSE),VLOOKUP(VLOOKUP(B19,Viviers!$A$2:$I$9,2,FALSE),Hypotheses!$A$11:$C$15,2,FALSE)*(1+Hypotheses!$B$3)^(Hypotheses!$B$2/2))*Hypotheses!$B$7</f>
        <v/>
      </c>
      <c r="O19">
        <f>L19*N19/1000</f>
        <v/>
      </c>
      <c r="P19">
        <f>Reformes!T19</f>
        <v/>
      </c>
      <c r="Q19">
        <f>IF(Reformes!G19=1,Reformes!P19*IF(I19&gt;0,L19/I19,0),Reformes!P19)</f>
        <v/>
      </c>
      <c r="R19">
        <f>Reformes!X19</f>
        <v/>
      </c>
      <c r="S19">
        <f>O19+P19-Q19+R19</f>
        <v/>
      </c>
      <c r="T19">
        <f>O19*Hypotheses!$B$4+P19-Q19+R19</f>
        <v/>
      </c>
      <c r="U19">
        <f>Reformes!L19*Hypotheses!$B$8</f>
        <v/>
      </c>
    </row>
    <row r="20">
      <c r="A20">
        <f>Reformes!A20</f>
        <v/>
      </c>
      <c r="B20">
        <f>Reformes!C20</f>
        <v/>
      </c>
      <c r="C20">
        <f>Reformes!D20</f>
        <v/>
      </c>
      <c r="D20">
        <f>VLOOKUP(B20,Viviers!$A$2:$I$9,3,FALSE)</f>
        <v/>
      </c>
      <c r="E20">
        <f>VLOOKUP(B20,Viviers!$A$2:$I$9,5,FALSE)</f>
        <v/>
      </c>
      <c r="F20">
        <f>MIN(1,Reformes!H20*Hypotheses!$B$5)</f>
        <v/>
      </c>
      <c r="G20">
        <f>IF(B20=B19,G19+H19,0)</f>
        <v/>
      </c>
      <c r="H20">
        <f>MAX(0,MIN(F20*(D20-G20),E20*D20-G20))</f>
        <v/>
      </c>
      <c r="I20">
        <f>H20*Reformes!E20</f>
        <v/>
      </c>
      <c r="J20">
        <f>VLOOKUP(B20,Viviers!$A$2:$I$9,9,FALSE)</f>
        <v/>
      </c>
      <c r="K20">
        <f>IF(B20=B19,K19+L19,0)</f>
        <v/>
      </c>
      <c r="L20">
        <f>MIN(I20,MAX(0,J20-K20))</f>
        <v/>
      </c>
      <c r="M20">
        <f>H20*Reformes!F20</f>
        <v/>
      </c>
      <c r="N20">
        <f>MIN(VLOOKUP(VLOOKUP(B20,Viviers!$A$2:$I$9,2,FALSE),Hypotheses!$A$11:$C$15,3,FALSE),VLOOKUP(VLOOKUP(B20,Viviers!$A$2:$I$9,2,FALSE),Hypotheses!$A$11:$C$15,2,FALSE)*(1+Hypotheses!$B$3)^(Hypotheses!$B$2/2))*Hypotheses!$B$7</f>
        <v/>
      </c>
      <c r="O20">
        <f>L20*N20/1000</f>
        <v/>
      </c>
      <c r="P20">
        <f>Reformes!T20</f>
        <v/>
      </c>
      <c r="Q20">
        <f>IF(Reformes!G20=1,Reformes!P20*IF(I20&gt;0,L20/I20,0),Reformes!P20)</f>
        <v/>
      </c>
      <c r="R20">
        <f>Reformes!X20</f>
        <v/>
      </c>
      <c r="S20">
        <f>O20+P20-Q20+R20</f>
        <v/>
      </c>
      <c r="T20">
        <f>O20*Hypotheses!$B$4+P20-Q20+R20</f>
        <v/>
      </c>
      <c r="U20">
        <f>Reformes!L20*Hypotheses!$B$8</f>
        <v/>
      </c>
    </row>
    <row r="21">
      <c r="A21">
        <f>Reformes!A21</f>
        <v/>
      </c>
      <c r="B21">
        <f>Reformes!C21</f>
        <v/>
      </c>
      <c r="C21">
        <f>Reformes!D21</f>
        <v/>
      </c>
      <c r="D21">
        <f>VLOOKUP(B21,Viviers!$A$2:$I$9,3,FALSE)</f>
        <v/>
      </c>
      <c r="E21">
        <f>VLOOKUP(B21,Viviers!$A$2:$I$9,5,FALSE)</f>
        <v/>
      </c>
      <c r="F21">
        <f>MIN(1,Reformes!H21*Hypotheses!$B$5)</f>
        <v/>
      </c>
      <c r="G21">
        <f>IF(B21=B20,G20+H20,0)</f>
        <v/>
      </c>
      <c r="H21">
        <f>MAX(0,MIN(F21*(D21-G21),E21*D21-G21))</f>
        <v/>
      </c>
      <c r="I21">
        <f>H21*Reformes!E21</f>
        <v/>
      </c>
      <c r="J21">
        <f>VLOOKUP(B21,Viviers!$A$2:$I$9,9,FALSE)</f>
        <v/>
      </c>
      <c r="K21">
        <f>IF(B21=B20,K20+L20,0)</f>
        <v/>
      </c>
      <c r="L21">
        <f>MIN(I21,MAX(0,J21-K21))</f>
        <v/>
      </c>
      <c r="M21">
        <f>H21*Reformes!F21</f>
        <v/>
      </c>
      <c r="N21">
        <f>MIN(VLOOKUP(VLOOKUP(B21,Viviers!$A$2:$I$9,2,FALSE),Hypotheses!$A$11:$C$15,3,FALSE),VLOOKUP(VLOOKUP(B21,Viviers!$A$2:$I$9,2,FALSE),Hypotheses!$A$11:$C$15,2,FALSE)*(1+Hypotheses!$B$3)^(Hypotheses!$B$2/2))*Hypotheses!$B$7</f>
        <v/>
      </c>
      <c r="O21">
        <f>L21*N21/1000</f>
        <v/>
      </c>
      <c r="P21">
        <f>Reformes!T21</f>
        <v/>
      </c>
      <c r="Q21">
        <f>IF(Reformes!G21=1,Reformes!P21*IF(I21&gt;0,L21/I21,0),Reformes!P21)</f>
        <v/>
      </c>
      <c r="R21">
        <f>Reformes!X21</f>
        <v/>
      </c>
      <c r="S21">
        <f>O21+P21-Q21+R21</f>
        <v/>
      </c>
      <c r="T21">
        <f>O21*Hypotheses!$B$4+P21-Q21+R21</f>
        <v/>
      </c>
      <c r="U21">
        <f>Reformes!L21*Hypotheses!$B$8</f>
        <v/>
      </c>
    </row>
    <row r="22">
      <c r="A22">
        <f>Reformes!A22</f>
        <v/>
      </c>
      <c r="B22">
        <f>Reformes!C22</f>
        <v/>
      </c>
      <c r="C22">
        <f>Reformes!D22</f>
        <v/>
      </c>
      <c r="D22">
        <f>VLOOKUP(B22,Viviers!$A$2:$I$9,3,FALSE)</f>
        <v/>
      </c>
      <c r="E22">
        <f>VLOOKUP(B22,Viviers!$A$2:$I$9,5,FALSE)</f>
        <v/>
      </c>
      <c r="F22">
        <f>MIN(1,Reformes!H22*Hypotheses!$B$5)</f>
        <v/>
      </c>
      <c r="G22">
        <f>IF(B22=B21,G21+H21,0)</f>
        <v/>
      </c>
      <c r="H22">
        <f>MAX(0,MIN(F22*(D22-G22),E22*D22-G22))</f>
        <v/>
      </c>
      <c r="I22">
        <f>H22*Reformes!E22</f>
        <v/>
      </c>
      <c r="J22">
        <f>VLOOKUP(B22,Viviers!$A$2:$I$9,9,FALSE)</f>
        <v/>
      </c>
      <c r="K22">
        <f>IF(B22=B21,K21+L21,0)</f>
        <v/>
      </c>
      <c r="L22">
        <f>MIN(I22,MAX(0,J22-K22))</f>
        <v/>
      </c>
      <c r="M22">
        <f>H22*Reformes!F22</f>
        <v/>
      </c>
      <c r="N22">
        <f>MIN(VLOOKUP(VLOOKUP(B22,Viviers!$A$2:$I$9,2,FALSE),Hypotheses!$A$11:$C$15,3,FALSE),VLOOKUP(VLOOKUP(B22,Viviers!$A$2:$I$9,2,FALSE),Hypotheses!$A$11:$C$15,2,FALSE)*(1+Hypotheses!$B$3)^(Hypotheses!$B$2/2))*Hypotheses!$B$7</f>
        <v/>
      </c>
      <c r="O22">
        <f>L22*N22/1000</f>
        <v/>
      </c>
      <c r="P22">
        <f>Reformes!T22</f>
        <v/>
      </c>
      <c r="Q22">
        <f>IF(Reformes!G22=1,Reformes!P22*IF(I22&gt;0,L22/I22,0),Reformes!P22)</f>
        <v/>
      </c>
      <c r="R22">
        <f>Reformes!X22</f>
        <v/>
      </c>
      <c r="S22">
        <f>O22+P22-Q22+R22</f>
        <v/>
      </c>
      <c r="T22">
        <f>O22*Hypotheses!$B$4+P22-Q22+R22</f>
        <v/>
      </c>
      <c r="U22">
        <f>Reformes!L22*Hypotheses!$B$8</f>
        <v/>
      </c>
    </row>
    <row r="23">
      <c r="A23">
        <f>Reformes!A23</f>
        <v/>
      </c>
      <c r="B23">
        <f>Reformes!C23</f>
        <v/>
      </c>
      <c r="C23">
        <f>Reformes!D23</f>
        <v/>
      </c>
      <c r="D23">
        <f>VLOOKUP(B23,Viviers!$A$2:$I$9,3,FALSE)</f>
        <v/>
      </c>
      <c r="E23">
        <f>VLOOKUP(B23,Viviers!$A$2:$I$9,5,FALSE)</f>
        <v/>
      </c>
      <c r="F23">
        <f>MIN(1,Reformes!H23*Hypotheses!$B$5)</f>
        <v/>
      </c>
      <c r="G23">
        <f>IF(B23=B22,G22+H22,0)</f>
        <v/>
      </c>
      <c r="H23">
        <f>MAX(0,MIN(F23*(D23-G23),E23*D23-G23))</f>
        <v/>
      </c>
      <c r="I23">
        <f>H23*Reformes!E23</f>
        <v/>
      </c>
      <c r="J23">
        <f>VLOOKUP(B23,Viviers!$A$2:$I$9,9,FALSE)</f>
        <v/>
      </c>
      <c r="K23">
        <f>IF(B23=B22,K22+L22,0)</f>
        <v/>
      </c>
      <c r="L23">
        <f>MIN(I23,MAX(0,J23-K23))</f>
        <v/>
      </c>
      <c r="M23">
        <f>H23*Reformes!F23</f>
        <v/>
      </c>
      <c r="N23">
        <f>MIN(VLOOKUP(VLOOKUP(B23,Viviers!$A$2:$I$9,2,FALSE),Hypotheses!$A$11:$C$15,3,FALSE),VLOOKUP(VLOOKUP(B23,Viviers!$A$2:$I$9,2,FALSE),Hypotheses!$A$11:$C$15,2,FALSE)*(1+Hypotheses!$B$3)^(Hypotheses!$B$2/2))*Hypotheses!$B$7</f>
        <v/>
      </c>
      <c r="O23">
        <f>L23*N23/1000</f>
        <v/>
      </c>
      <c r="P23">
        <f>Reformes!T23</f>
        <v/>
      </c>
      <c r="Q23">
        <f>IF(Reformes!G23=1,Reformes!P23*IF(I23&gt;0,L23/I23,0),Reformes!P23)</f>
        <v/>
      </c>
      <c r="R23">
        <f>Reformes!X23</f>
        <v/>
      </c>
      <c r="S23">
        <f>O23+P23-Q23+R23</f>
        <v/>
      </c>
      <c r="T23">
        <f>O23*Hypotheses!$B$4+P23-Q23+R23</f>
        <v/>
      </c>
      <c r="U23">
        <f>Reformes!L23*Hypotheses!$B$8</f>
        <v/>
      </c>
    </row>
    <row r="24">
      <c r="A24">
        <f>Reformes!A24</f>
        <v/>
      </c>
      <c r="B24">
        <f>Reformes!C24</f>
        <v/>
      </c>
      <c r="C24">
        <f>Reformes!D24</f>
        <v/>
      </c>
      <c r="D24">
        <f>VLOOKUP(B24,Viviers!$A$2:$I$9,3,FALSE)</f>
        <v/>
      </c>
      <c r="E24">
        <f>VLOOKUP(B24,Viviers!$A$2:$I$9,5,FALSE)</f>
        <v/>
      </c>
      <c r="F24">
        <f>MIN(1,Reformes!H24*Hypotheses!$B$5)</f>
        <v/>
      </c>
      <c r="G24">
        <f>IF(B24=B23,G23+H23,0)</f>
        <v/>
      </c>
      <c r="H24">
        <f>MAX(0,MIN(F24*(D24-G24),E24*D24-G24))</f>
        <v/>
      </c>
      <c r="I24">
        <f>H24*Reformes!E24</f>
        <v/>
      </c>
      <c r="J24">
        <f>VLOOKUP(B24,Viviers!$A$2:$I$9,9,FALSE)</f>
        <v/>
      </c>
      <c r="K24">
        <f>IF(B24=B23,K23+L23,0)</f>
        <v/>
      </c>
      <c r="L24">
        <f>MIN(I24,MAX(0,J24-K24))</f>
        <v/>
      </c>
      <c r="M24">
        <f>H24*Reformes!F24</f>
        <v/>
      </c>
      <c r="N24">
        <f>MIN(VLOOKUP(VLOOKUP(B24,Viviers!$A$2:$I$9,2,FALSE),Hypotheses!$A$11:$C$15,3,FALSE),VLOOKUP(VLOOKUP(B24,Viviers!$A$2:$I$9,2,FALSE),Hypotheses!$A$11:$C$15,2,FALSE)*(1+Hypotheses!$B$3)^(Hypotheses!$B$2/2))*Hypotheses!$B$7</f>
        <v/>
      </c>
      <c r="O24">
        <f>L24*N24/1000</f>
        <v/>
      </c>
      <c r="P24">
        <f>Reformes!T24</f>
        <v/>
      </c>
      <c r="Q24">
        <f>IF(Reformes!G24=1,Reformes!P24*IF(I24&gt;0,L24/I24,0),Reformes!P24)</f>
        <v/>
      </c>
      <c r="R24">
        <f>Reformes!X24</f>
        <v/>
      </c>
      <c r="S24">
        <f>O24+P24-Q24+R24</f>
        <v/>
      </c>
      <c r="T24">
        <f>O24*Hypotheses!$B$4+P24-Q24+R24</f>
        <v/>
      </c>
      <c r="U24">
        <f>Reformes!L24*Hypotheses!$B$8</f>
        <v/>
      </c>
    </row>
    <row r="25">
      <c r="A25">
        <f>Reformes!A25</f>
        <v/>
      </c>
      <c r="B25">
        <f>Reformes!C25</f>
        <v/>
      </c>
      <c r="C25">
        <f>Reformes!D25</f>
        <v/>
      </c>
      <c r="D25">
        <f>VLOOKUP(B25,Viviers!$A$2:$I$9,3,FALSE)</f>
        <v/>
      </c>
      <c r="E25">
        <f>VLOOKUP(B25,Viviers!$A$2:$I$9,5,FALSE)</f>
        <v/>
      </c>
      <c r="F25">
        <f>MIN(1,Reformes!H25*Hypotheses!$B$5)</f>
        <v/>
      </c>
      <c r="G25">
        <f>IF(B25=B24,G24+H24,0)</f>
        <v/>
      </c>
      <c r="H25">
        <f>MAX(0,MIN(F25*(D25-G25),E25*D25-G25))</f>
        <v/>
      </c>
      <c r="I25">
        <f>H25*Reformes!E25</f>
        <v/>
      </c>
      <c r="J25">
        <f>VLOOKUP(B25,Viviers!$A$2:$I$9,9,FALSE)</f>
        <v/>
      </c>
      <c r="K25">
        <f>IF(B25=B24,K24+L24,0)</f>
        <v/>
      </c>
      <c r="L25">
        <f>MIN(I25,MAX(0,J25-K25))</f>
        <v/>
      </c>
      <c r="M25">
        <f>H25*Reformes!F25</f>
        <v/>
      </c>
      <c r="N25">
        <f>MIN(VLOOKUP(VLOOKUP(B25,Viviers!$A$2:$I$9,2,FALSE),Hypotheses!$A$11:$C$15,3,FALSE),VLOOKUP(VLOOKUP(B25,Viviers!$A$2:$I$9,2,FALSE),Hypotheses!$A$11:$C$15,2,FALSE)*(1+Hypotheses!$B$3)^(Hypotheses!$B$2/2))*Hypotheses!$B$7</f>
        <v/>
      </c>
      <c r="O25">
        <f>L25*N25/1000</f>
        <v/>
      </c>
      <c r="P25">
        <f>Reformes!T25</f>
        <v/>
      </c>
      <c r="Q25">
        <f>IF(Reformes!G25=1,Reformes!P25*IF(I25&gt;0,L25/I25,0),Reformes!P25)</f>
        <v/>
      </c>
      <c r="R25">
        <f>Reformes!X25</f>
        <v/>
      </c>
      <c r="S25">
        <f>O25+P25-Q25+R25</f>
        <v/>
      </c>
      <c r="T25">
        <f>O25*Hypotheses!$B$4+P25-Q25+R25</f>
        <v/>
      </c>
      <c r="U25">
        <f>Reformes!L25*Hypotheses!$B$8</f>
        <v/>
      </c>
    </row>
    <row r="26">
      <c r="A26">
        <f>Reformes!A26</f>
        <v/>
      </c>
      <c r="B26">
        <f>Reformes!C26</f>
        <v/>
      </c>
      <c r="C26">
        <f>Reformes!D26</f>
        <v/>
      </c>
      <c r="D26">
        <f>VLOOKUP(B26,Viviers!$A$2:$I$9,3,FALSE)</f>
        <v/>
      </c>
      <c r="E26">
        <f>VLOOKUP(B26,Viviers!$A$2:$I$9,5,FALSE)</f>
        <v/>
      </c>
      <c r="F26">
        <f>MIN(1,Reformes!H26*Hypotheses!$B$5)</f>
        <v/>
      </c>
      <c r="G26">
        <f>IF(B26=B25,G25+H25,0)</f>
        <v/>
      </c>
      <c r="H26">
        <f>MAX(0,MIN(F26*(D26-G26),E26*D26-G26))</f>
        <v/>
      </c>
      <c r="I26">
        <f>H26*Reformes!E26</f>
        <v/>
      </c>
      <c r="J26">
        <f>VLOOKUP(B26,Viviers!$A$2:$I$9,9,FALSE)</f>
        <v/>
      </c>
      <c r="K26">
        <f>IF(B26=B25,K25+L25,0)</f>
        <v/>
      </c>
      <c r="L26">
        <f>MIN(I26,MAX(0,J26-K26))</f>
        <v/>
      </c>
      <c r="M26">
        <f>H26*Reformes!F26</f>
        <v/>
      </c>
      <c r="N26">
        <f>MIN(VLOOKUP(VLOOKUP(B26,Viviers!$A$2:$I$9,2,FALSE),Hypotheses!$A$11:$C$15,3,FALSE),VLOOKUP(VLOOKUP(B26,Viviers!$A$2:$I$9,2,FALSE),Hypotheses!$A$11:$C$15,2,FALSE)*(1+Hypotheses!$B$3)^(Hypotheses!$B$2/2))*Hypotheses!$B$7</f>
        <v/>
      </c>
      <c r="O26">
        <f>L26*N26/1000</f>
        <v/>
      </c>
      <c r="P26">
        <f>Reformes!T26</f>
        <v/>
      </c>
      <c r="Q26">
        <f>IF(Reformes!G26=1,Reformes!P26*IF(I26&gt;0,L26/I26,0),Reformes!P26)</f>
        <v/>
      </c>
      <c r="R26">
        <f>Reformes!X26</f>
        <v/>
      </c>
      <c r="S26">
        <f>O26+P26-Q26+R26</f>
        <v/>
      </c>
      <c r="T26">
        <f>O26*Hypotheses!$B$4+P26-Q26+R26</f>
        <v/>
      </c>
      <c r="U26">
        <f>Reformes!L26*Hypotheses!$B$8</f>
        <v/>
      </c>
    </row>
    <row r="27">
      <c r="A27">
        <f>Reformes!A27</f>
        <v/>
      </c>
      <c r="B27">
        <f>Reformes!C27</f>
        <v/>
      </c>
      <c r="C27">
        <f>Reformes!D27</f>
        <v/>
      </c>
      <c r="D27">
        <f>VLOOKUP(B27,Viviers!$A$2:$I$9,3,FALSE)</f>
        <v/>
      </c>
      <c r="E27">
        <f>VLOOKUP(B27,Viviers!$A$2:$I$9,5,FALSE)</f>
        <v/>
      </c>
      <c r="F27">
        <f>MIN(1,Reformes!H27*Hypotheses!$B$5)</f>
        <v/>
      </c>
      <c r="G27">
        <f>IF(B27=B26,G26+H26,0)</f>
        <v/>
      </c>
      <c r="H27">
        <f>MAX(0,MIN(F27*(D27-G27),E27*D27-G27))</f>
        <v/>
      </c>
      <c r="I27">
        <f>H27*Reformes!E27</f>
        <v/>
      </c>
      <c r="J27">
        <f>VLOOKUP(B27,Viviers!$A$2:$I$9,9,FALSE)</f>
        <v/>
      </c>
      <c r="K27">
        <f>IF(B27=B26,K26+L26,0)</f>
        <v/>
      </c>
      <c r="L27">
        <f>MIN(I27,MAX(0,J27-K27))</f>
        <v/>
      </c>
      <c r="M27">
        <f>H27*Reformes!F27</f>
        <v/>
      </c>
      <c r="N27">
        <f>MIN(VLOOKUP(VLOOKUP(B27,Viviers!$A$2:$I$9,2,FALSE),Hypotheses!$A$11:$C$15,3,FALSE),VLOOKUP(VLOOKUP(B27,Viviers!$A$2:$I$9,2,FALSE),Hypotheses!$A$11:$C$15,2,FALSE)*(1+Hypotheses!$B$3)^(Hypotheses!$B$2/2))*Hypotheses!$B$7</f>
        <v/>
      </c>
      <c r="O27">
        <f>L27*N27/1000</f>
        <v/>
      </c>
      <c r="P27">
        <f>Reformes!T27</f>
        <v/>
      </c>
      <c r="Q27">
        <f>IF(Reformes!G27=1,Reformes!P27*IF(I27&gt;0,L27/I27,0),Reformes!P27)</f>
        <v/>
      </c>
      <c r="R27">
        <f>Reformes!X27</f>
        <v/>
      </c>
      <c r="S27">
        <f>O27+P27-Q27+R27</f>
        <v/>
      </c>
      <c r="T27">
        <f>O27*Hypotheses!$B$4+P27-Q27+R27</f>
        <v/>
      </c>
      <c r="U27">
        <f>Reformes!L27*Hypotheses!$B$8</f>
        <v/>
      </c>
    </row>
    <row r="28">
      <c r="A28">
        <f>Reformes!A28</f>
        <v/>
      </c>
      <c r="B28">
        <f>Reformes!C28</f>
        <v/>
      </c>
      <c r="C28">
        <f>Reformes!D28</f>
        <v/>
      </c>
      <c r="D28">
        <f>VLOOKUP(B28,Viviers!$A$2:$I$9,3,FALSE)</f>
        <v/>
      </c>
      <c r="E28">
        <f>VLOOKUP(B28,Viviers!$A$2:$I$9,5,FALSE)</f>
        <v/>
      </c>
      <c r="F28">
        <f>MIN(1,Reformes!H28*Hypotheses!$B$5)</f>
        <v/>
      </c>
      <c r="G28">
        <f>IF(B28=B27,G27+H27,0)</f>
        <v/>
      </c>
      <c r="H28">
        <f>MAX(0,MIN(F28*(D28-G28),E28*D28-G28))</f>
        <v/>
      </c>
      <c r="I28">
        <f>H28*Reformes!E28</f>
        <v/>
      </c>
      <c r="J28">
        <f>VLOOKUP(B28,Viviers!$A$2:$I$9,9,FALSE)</f>
        <v/>
      </c>
      <c r="K28">
        <f>IF(B28=B27,K27+L27,0)</f>
        <v/>
      </c>
      <c r="L28">
        <f>MIN(I28,MAX(0,J28-K28))</f>
        <v/>
      </c>
      <c r="M28">
        <f>H28*Reformes!F28</f>
        <v/>
      </c>
      <c r="N28">
        <f>MIN(VLOOKUP(VLOOKUP(B28,Viviers!$A$2:$I$9,2,FALSE),Hypotheses!$A$11:$C$15,3,FALSE),VLOOKUP(VLOOKUP(B28,Viviers!$A$2:$I$9,2,FALSE),Hypotheses!$A$11:$C$15,2,FALSE)*(1+Hypotheses!$B$3)^(Hypotheses!$B$2/2))*Hypotheses!$B$7</f>
        <v/>
      </c>
      <c r="O28">
        <f>L28*N28/1000</f>
        <v/>
      </c>
      <c r="P28">
        <f>Reformes!T28</f>
        <v/>
      </c>
      <c r="Q28">
        <f>IF(Reformes!G28=1,Reformes!P28*IF(I28&gt;0,L28/I28,0),Reformes!P28)</f>
        <v/>
      </c>
      <c r="R28">
        <f>Reformes!X28</f>
        <v/>
      </c>
      <c r="S28">
        <f>O28+P28-Q28+R28</f>
        <v/>
      </c>
      <c r="T28">
        <f>O28*Hypotheses!$B$4+P28-Q28+R28</f>
        <v/>
      </c>
      <c r="U28">
        <f>Reformes!L28*Hypotheses!$B$8</f>
        <v/>
      </c>
    </row>
    <row r="29">
      <c r="A29">
        <f>Reformes!A29</f>
        <v/>
      </c>
      <c r="B29">
        <f>Reformes!C29</f>
        <v/>
      </c>
      <c r="C29">
        <f>Reformes!D29</f>
        <v/>
      </c>
      <c r="D29">
        <f>VLOOKUP(B29,Viviers!$A$2:$I$9,3,FALSE)</f>
        <v/>
      </c>
      <c r="E29">
        <f>VLOOKUP(B29,Viviers!$A$2:$I$9,5,FALSE)</f>
        <v/>
      </c>
      <c r="F29">
        <f>MIN(1,Reformes!H29*Hypotheses!$B$5)</f>
        <v/>
      </c>
      <c r="G29">
        <f>IF(B29=B28,G28+H28,0)</f>
        <v/>
      </c>
      <c r="H29">
        <f>MAX(0,MIN(F29*(D29-G29),E29*D29-G29))</f>
        <v/>
      </c>
      <c r="I29">
        <f>H29*Reformes!E29</f>
        <v/>
      </c>
      <c r="J29">
        <f>VLOOKUP(B29,Viviers!$A$2:$I$9,9,FALSE)</f>
        <v/>
      </c>
      <c r="K29">
        <f>IF(B29=B28,K28+L28,0)</f>
        <v/>
      </c>
      <c r="L29">
        <f>MIN(I29,MAX(0,J29-K29))</f>
        <v/>
      </c>
      <c r="M29">
        <f>H29*Reformes!F29</f>
        <v/>
      </c>
      <c r="N29">
        <f>MIN(VLOOKUP(VLOOKUP(B29,Viviers!$A$2:$I$9,2,FALSE),Hypotheses!$A$11:$C$15,3,FALSE),VLOOKUP(VLOOKUP(B29,Viviers!$A$2:$I$9,2,FALSE),Hypotheses!$A$11:$C$15,2,FALSE)*(1+Hypotheses!$B$3)^(Hypotheses!$B$2/2))*Hypotheses!$B$7</f>
        <v/>
      </c>
      <c r="O29">
        <f>L29*N29/1000</f>
        <v/>
      </c>
      <c r="P29">
        <f>Reformes!T29</f>
        <v/>
      </c>
      <c r="Q29">
        <f>IF(Reformes!G29=1,Reformes!P29*IF(I29&gt;0,L29/I29,0),Reformes!P29)</f>
        <v/>
      </c>
      <c r="R29">
        <f>Reformes!X29</f>
        <v/>
      </c>
      <c r="S29">
        <f>O29+P29-Q29+R29</f>
        <v/>
      </c>
      <c r="T29">
        <f>O29*Hypotheses!$B$4+P29-Q29+R29</f>
        <v/>
      </c>
      <c r="U29">
        <f>Reformes!L29*Hypotheses!$B$8</f>
        <v/>
      </c>
    </row>
    <row r="30">
      <c r="A30">
        <f>Reformes!A30</f>
        <v/>
      </c>
      <c r="B30">
        <f>Reformes!C30</f>
        <v/>
      </c>
      <c r="C30">
        <f>Reformes!D30</f>
        <v/>
      </c>
      <c r="D30">
        <f>VLOOKUP(B30,Viviers!$A$2:$I$9,3,FALSE)</f>
        <v/>
      </c>
      <c r="E30">
        <f>VLOOKUP(B30,Viviers!$A$2:$I$9,5,FALSE)</f>
        <v/>
      </c>
      <c r="F30">
        <f>MIN(1,Reformes!H30*Hypotheses!$B$5)</f>
        <v/>
      </c>
      <c r="G30">
        <f>IF(B30=B29,G29+H29,0)</f>
        <v/>
      </c>
      <c r="H30">
        <f>MAX(0,MIN(F30*(D30-G30),E30*D30-G30))</f>
        <v/>
      </c>
      <c r="I30">
        <f>H30*Reformes!E30</f>
        <v/>
      </c>
      <c r="J30">
        <f>VLOOKUP(B30,Viviers!$A$2:$I$9,9,FALSE)</f>
        <v/>
      </c>
      <c r="K30">
        <f>IF(B30=B29,K29+L29,0)</f>
        <v/>
      </c>
      <c r="L30">
        <f>MIN(I30,MAX(0,J30-K30))</f>
        <v/>
      </c>
      <c r="M30">
        <f>H30*Reformes!F30</f>
        <v/>
      </c>
      <c r="N30">
        <f>MIN(VLOOKUP(VLOOKUP(B30,Viviers!$A$2:$I$9,2,FALSE),Hypotheses!$A$11:$C$15,3,FALSE),VLOOKUP(VLOOKUP(B30,Viviers!$A$2:$I$9,2,FALSE),Hypotheses!$A$11:$C$15,2,FALSE)*(1+Hypotheses!$B$3)^(Hypotheses!$B$2/2))*Hypotheses!$B$7</f>
        <v/>
      </c>
      <c r="O30">
        <f>L30*N30/1000</f>
        <v/>
      </c>
      <c r="P30">
        <f>Reformes!T30</f>
        <v/>
      </c>
      <c r="Q30">
        <f>IF(Reformes!G30=1,Reformes!P30*IF(I30&gt;0,L30/I30,0),Reformes!P30)</f>
        <v/>
      </c>
      <c r="R30">
        <f>Reformes!X30</f>
        <v/>
      </c>
      <c r="S30">
        <f>O30+P30-Q30+R30</f>
        <v/>
      </c>
      <c r="T30">
        <f>O30*Hypotheses!$B$4+P30-Q30+R30</f>
        <v/>
      </c>
      <c r="U30">
        <f>Reformes!L30*Hypotheses!$B$8</f>
        <v/>
      </c>
    </row>
    <row r="31">
      <c r="A31">
        <f>Reformes!A31</f>
        <v/>
      </c>
      <c r="B31">
        <f>Reformes!C31</f>
        <v/>
      </c>
      <c r="C31">
        <f>Reformes!D31</f>
        <v/>
      </c>
      <c r="D31">
        <f>VLOOKUP(B31,Viviers!$A$2:$I$9,3,FALSE)</f>
        <v/>
      </c>
      <c r="E31">
        <f>VLOOKUP(B31,Viviers!$A$2:$I$9,5,FALSE)</f>
        <v/>
      </c>
      <c r="F31">
        <f>MIN(1,Reformes!H31*Hypotheses!$B$5)</f>
        <v/>
      </c>
      <c r="G31">
        <f>IF(B31=B30,G30+H30,0)</f>
        <v/>
      </c>
      <c r="H31">
        <f>MAX(0,MIN(F31*(D31-G31),E31*D31-G31))</f>
        <v/>
      </c>
      <c r="I31">
        <f>H31*Reformes!E31</f>
        <v/>
      </c>
      <c r="J31">
        <f>VLOOKUP(B31,Viviers!$A$2:$I$9,9,FALSE)</f>
        <v/>
      </c>
      <c r="K31">
        <f>IF(B31=B30,K30+L30,0)</f>
        <v/>
      </c>
      <c r="L31">
        <f>MIN(I31,MAX(0,J31-K31))</f>
        <v/>
      </c>
      <c r="M31">
        <f>H31*Reformes!F31</f>
        <v/>
      </c>
      <c r="N31">
        <f>MIN(VLOOKUP(VLOOKUP(B31,Viviers!$A$2:$I$9,2,FALSE),Hypotheses!$A$11:$C$15,3,FALSE),VLOOKUP(VLOOKUP(B31,Viviers!$A$2:$I$9,2,FALSE),Hypotheses!$A$11:$C$15,2,FALSE)*(1+Hypotheses!$B$3)^(Hypotheses!$B$2/2))*Hypotheses!$B$7</f>
        <v/>
      </c>
      <c r="O31">
        <f>L31*N31/1000</f>
        <v/>
      </c>
      <c r="P31">
        <f>Reformes!T31</f>
        <v/>
      </c>
      <c r="Q31">
        <f>IF(Reformes!G31=1,Reformes!P31*IF(I31&gt;0,L31/I31,0),Reformes!P31)</f>
        <v/>
      </c>
      <c r="R31">
        <f>Reformes!X31</f>
        <v/>
      </c>
      <c r="S31">
        <f>O31+P31-Q31+R31</f>
        <v/>
      </c>
      <c r="T31">
        <f>O31*Hypotheses!$B$4+P31-Q31+R31</f>
        <v/>
      </c>
      <c r="U31">
        <f>Reformes!L31*Hypotheses!$B$8</f>
        <v/>
      </c>
    </row>
    <row r="32">
      <c r="A32" s="1" t="inlineStr">
        <is>
          <t>Total</t>
        </is>
      </c>
      <c r="H32" s="1">
        <f>SUM(H2:H31)</f>
        <v/>
      </c>
      <c r="L32" s="1">
        <f>SUM(L2:L31)</f>
        <v/>
      </c>
      <c r="M32" s="1">
        <f>SUM(M2:M31)</f>
        <v/>
      </c>
      <c r="O32" s="1">
        <f>SUM(O2:O31)</f>
        <v/>
      </c>
      <c r="P32" s="1">
        <f>SUM(P2:P31)</f>
        <v/>
      </c>
      <c r="Q32" s="1">
        <f>SUM(Q2:Q31)</f>
        <v/>
      </c>
      <c r="R32" s="1">
        <f>SUM(R2:R31)</f>
        <v/>
      </c>
      <c r="S32" s="1">
        <f>SUM(S2:S31)</f>
        <v/>
      </c>
      <c r="T32" s="1">
        <f>SUM(T2:T31)</f>
        <v/>
      </c>
      <c r="U32" s="1">
        <f>SUM(U2:U31)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3" t="inlineStr">
        <is>
          <t>id</t>
        </is>
      </c>
      <c r="B1" s="3" t="inlineStr">
        <is>
          <t>vivier</t>
        </is>
      </c>
      <c r="C1" s="3" t="inlineStr">
        <is>
          <t>ordre</t>
        </is>
      </c>
      <c r="D1" s="3" t="inlineStr">
        <is>
          <t>base ETP</t>
        </is>
      </c>
      <c r="E1" s="3" t="inlineStr">
        <is>
          <t>plafond</t>
        </is>
      </c>
      <c r="F1" s="3" t="inlineStr">
        <is>
          <t>taux effectif</t>
        </is>
      </c>
      <c r="G1" s="3" t="inlineStr">
        <is>
          <t>cumul cibles précédentes</t>
        </is>
      </c>
      <c r="H1" s="3" t="inlineStr">
        <is>
          <t>cible ETP</t>
        </is>
      </c>
      <c r="I1" s="3" t="inlineStr">
        <is>
          <t>non-remplacement demandé</t>
        </is>
      </c>
      <c r="J1" s="3" t="inlineStr">
        <is>
          <t>capacité départs vivier</t>
        </is>
      </c>
      <c r="K1" s="3" t="inlineStr">
        <is>
          <t>cumul NR précédents</t>
        </is>
      </c>
      <c r="L1" s="3" t="inlineStr">
        <is>
          <t>NR réalisé</t>
        </is>
      </c>
      <c r="M1" s="3" t="inlineStr">
        <is>
          <t>redéployés</t>
        </is>
      </c>
      <c r="N1" s="3" t="inlineStr">
        <is>
          <t>coût unitaire (k€)</t>
        </is>
      </c>
      <c r="O1" s="3" t="inlineStr">
        <is>
          <t>économie salariale RP (M€)</t>
        </is>
      </c>
      <c r="P1" s="3" t="inlineStr">
        <is>
          <t>éco. fonctionnement (M€)</t>
        </is>
      </c>
      <c r="Q1" s="3" t="inlineStr">
        <is>
          <t>coût récurrent (M€)</t>
        </is>
      </c>
      <c r="R1" s="3" t="inlineStr">
        <is>
          <t>recettes (M€)</t>
        </is>
      </c>
      <c r="S1" s="3" t="inlineStr">
        <is>
          <t>net RP (M€)</t>
        </is>
      </c>
      <c r="T1" s="3" t="inlineStr">
        <is>
          <t>consolidé APU RP (M€)</t>
        </is>
      </c>
      <c r="U1" s="3" t="inlineStr">
        <is>
          <t>investissement (M€)</t>
        </is>
      </c>
    </row>
    <row r="2">
      <c r="A2">
        <f>Reformes!A2</f>
        <v/>
      </c>
      <c r="B2">
        <f>Reformes!C2</f>
        <v/>
      </c>
      <c r="C2">
        <f>Reformes!D2</f>
        <v/>
      </c>
      <c r="D2">
        <f>VLOOKUP(B2,Viviers!$A$2:$I$9,3,FALSE)</f>
        <v/>
      </c>
      <c r="E2">
        <f>VLOOKUP(B2,Viviers!$A$2:$I$9,6,FALSE)</f>
        <v/>
      </c>
      <c r="F2">
        <f>MIN(1,Reformes!I2*Hypotheses!$B$5)</f>
        <v/>
      </c>
      <c r="G2">
        <f>0</f>
        <v/>
      </c>
      <c r="H2">
        <f>MAX(0,MIN(F2*(D2-G2),E2*D2-G2))</f>
        <v/>
      </c>
      <c r="I2">
        <f>H2*Reformes!E2</f>
        <v/>
      </c>
      <c r="J2">
        <f>VLOOKUP(B2,Viviers!$A$2:$I$9,9,FALSE)</f>
        <v/>
      </c>
      <c r="K2">
        <f>0</f>
        <v/>
      </c>
      <c r="L2">
        <f>MIN(I2,MAX(0,J2-K2))</f>
        <v/>
      </c>
      <c r="M2">
        <f>H2*Reformes!F2</f>
        <v/>
      </c>
      <c r="N2">
        <f>MIN(VLOOKUP(VLOOKUP(B2,Viviers!$A$2:$I$9,2,FALSE),Hypotheses!$A$11:$C$15,3,FALSE),VLOOKUP(VLOOKUP(B2,Viviers!$A$2:$I$9,2,FALSE),Hypotheses!$A$11:$C$15,2,FALSE)*(1+Hypotheses!$B$3)^(Hypotheses!$B$2/2))*Hypotheses!$B$7</f>
        <v/>
      </c>
      <c r="O2">
        <f>L2*N2/1000</f>
        <v/>
      </c>
      <c r="P2">
        <f>Reformes!U2</f>
        <v/>
      </c>
      <c r="Q2">
        <f>IF(Reformes!G2=1,Reformes!Q2*IF(I2&gt;0,L2/I2,0),Reformes!Q2)</f>
        <v/>
      </c>
      <c r="R2">
        <f>Reformes!Y2</f>
        <v/>
      </c>
      <c r="S2">
        <f>O2+P2-Q2+R2</f>
        <v/>
      </c>
      <c r="T2">
        <f>O2*Hypotheses!$B$4+P2-Q2+R2</f>
        <v/>
      </c>
      <c r="U2">
        <f>Reformes!M2*Hypotheses!$B$8</f>
        <v/>
      </c>
    </row>
    <row r="3">
      <c r="A3">
        <f>Reformes!A3</f>
        <v/>
      </c>
      <c r="B3">
        <f>Reformes!C3</f>
        <v/>
      </c>
      <c r="C3">
        <f>Reformes!D3</f>
        <v/>
      </c>
      <c r="D3">
        <f>VLOOKUP(B3,Viviers!$A$2:$I$9,3,FALSE)</f>
        <v/>
      </c>
      <c r="E3">
        <f>VLOOKUP(B3,Viviers!$A$2:$I$9,6,FALSE)</f>
        <v/>
      </c>
      <c r="F3">
        <f>MIN(1,Reformes!I3*Hypotheses!$B$5)</f>
        <v/>
      </c>
      <c r="G3">
        <f>IF(B3=B2,G2+H2,0)</f>
        <v/>
      </c>
      <c r="H3">
        <f>MAX(0,MIN(F3*(D3-G3),E3*D3-G3))</f>
        <v/>
      </c>
      <c r="I3">
        <f>H3*Reformes!E3</f>
        <v/>
      </c>
      <c r="J3">
        <f>VLOOKUP(B3,Viviers!$A$2:$I$9,9,FALSE)</f>
        <v/>
      </c>
      <c r="K3">
        <f>IF(B3=B2,K2+L2,0)</f>
        <v/>
      </c>
      <c r="L3">
        <f>MIN(I3,MAX(0,J3-K3))</f>
        <v/>
      </c>
      <c r="M3">
        <f>H3*Reformes!F3</f>
        <v/>
      </c>
      <c r="N3">
        <f>MIN(VLOOKUP(VLOOKUP(B3,Viviers!$A$2:$I$9,2,FALSE),Hypotheses!$A$11:$C$15,3,FALSE),VLOOKUP(VLOOKUP(B3,Viviers!$A$2:$I$9,2,FALSE),Hypotheses!$A$11:$C$15,2,FALSE)*(1+Hypotheses!$B$3)^(Hypotheses!$B$2/2))*Hypotheses!$B$7</f>
        <v/>
      </c>
      <c r="O3">
        <f>L3*N3/1000</f>
        <v/>
      </c>
      <c r="P3">
        <f>Reformes!U3</f>
        <v/>
      </c>
      <c r="Q3">
        <f>IF(Reformes!G3=1,Reformes!Q3*IF(I3&gt;0,L3/I3,0),Reformes!Q3)</f>
        <v/>
      </c>
      <c r="R3">
        <f>Reformes!Y3</f>
        <v/>
      </c>
      <c r="S3">
        <f>O3+P3-Q3+R3</f>
        <v/>
      </c>
      <c r="T3">
        <f>O3*Hypotheses!$B$4+P3-Q3+R3</f>
        <v/>
      </c>
      <c r="U3">
        <f>Reformes!M3*Hypotheses!$B$8</f>
        <v/>
      </c>
    </row>
    <row r="4">
      <c r="A4">
        <f>Reformes!A4</f>
        <v/>
      </c>
      <c r="B4">
        <f>Reformes!C4</f>
        <v/>
      </c>
      <c r="C4">
        <f>Reformes!D4</f>
        <v/>
      </c>
      <c r="D4">
        <f>VLOOKUP(B4,Viviers!$A$2:$I$9,3,FALSE)</f>
        <v/>
      </c>
      <c r="E4">
        <f>VLOOKUP(B4,Viviers!$A$2:$I$9,6,FALSE)</f>
        <v/>
      </c>
      <c r="F4">
        <f>MIN(1,Reformes!I4*Hypotheses!$B$5)</f>
        <v/>
      </c>
      <c r="G4">
        <f>IF(B4=B3,G3+H3,0)</f>
        <v/>
      </c>
      <c r="H4">
        <f>MAX(0,MIN(F4*(D4-G4),E4*D4-G4))</f>
        <v/>
      </c>
      <c r="I4">
        <f>H4*Reformes!E4</f>
        <v/>
      </c>
      <c r="J4">
        <f>VLOOKUP(B4,Viviers!$A$2:$I$9,9,FALSE)</f>
        <v/>
      </c>
      <c r="K4">
        <f>IF(B4=B3,K3+L3,0)</f>
        <v/>
      </c>
      <c r="L4">
        <f>MIN(I4,MAX(0,J4-K4))</f>
        <v/>
      </c>
      <c r="M4">
        <f>H4*Reformes!F4</f>
        <v/>
      </c>
      <c r="N4">
        <f>MIN(VLOOKUP(VLOOKUP(B4,Viviers!$A$2:$I$9,2,FALSE),Hypotheses!$A$11:$C$15,3,FALSE),VLOOKUP(VLOOKUP(B4,Viviers!$A$2:$I$9,2,FALSE),Hypotheses!$A$11:$C$15,2,FALSE)*(1+Hypotheses!$B$3)^(Hypotheses!$B$2/2))*Hypotheses!$B$7</f>
        <v/>
      </c>
      <c r="O4">
        <f>L4*N4/1000</f>
        <v/>
      </c>
      <c r="P4">
        <f>Reformes!U4</f>
        <v/>
      </c>
      <c r="Q4">
        <f>IF(Reformes!G4=1,Reformes!Q4*IF(I4&gt;0,L4/I4,0),Reformes!Q4)</f>
        <v/>
      </c>
      <c r="R4">
        <f>Reformes!Y4</f>
        <v/>
      </c>
      <c r="S4">
        <f>O4+P4-Q4+R4</f>
        <v/>
      </c>
      <c r="T4">
        <f>O4*Hypotheses!$B$4+P4-Q4+R4</f>
        <v/>
      </c>
      <c r="U4">
        <f>Reformes!M4*Hypotheses!$B$8</f>
        <v/>
      </c>
    </row>
    <row r="5">
      <c r="A5">
        <f>Reformes!A5</f>
        <v/>
      </c>
      <c r="B5">
        <f>Reformes!C5</f>
        <v/>
      </c>
      <c r="C5">
        <f>Reformes!D5</f>
        <v/>
      </c>
      <c r="D5">
        <f>VLOOKUP(B5,Viviers!$A$2:$I$9,3,FALSE)</f>
        <v/>
      </c>
      <c r="E5">
        <f>VLOOKUP(B5,Viviers!$A$2:$I$9,6,FALSE)</f>
        <v/>
      </c>
      <c r="F5">
        <f>MIN(1,Reformes!I5*Hypotheses!$B$5)</f>
        <v/>
      </c>
      <c r="G5">
        <f>IF(B5=B4,G4+H4,0)</f>
        <v/>
      </c>
      <c r="H5">
        <f>MAX(0,MIN(F5*(D5-G5),E5*D5-G5))</f>
        <v/>
      </c>
      <c r="I5">
        <f>H5*Reformes!E5</f>
        <v/>
      </c>
      <c r="J5">
        <f>VLOOKUP(B5,Viviers!$A$2:$I$9,9,FALSE)</f>
        <v/>
      </c>
      <c r="K5">
        <f>IF(B5=B4,K4+L4,0)</f>
        <v/>
      </c>
      <c r="L5">
        <f>MIN(I5,MAX(0,J5-K5))</f>
        <v/>
      </c>
      <c r="M5">
        <f>H5*Reformes!F5</f>
        <v/>
      </c>
      <c r="N5">
        <f>MIN(VLOOKUP(VLOOKUP(B5,Viviers!$A$2:$I$9,2,FALSE),Hypotheses!$A$11:$C$15,3,FALSE),VLOOKUP(VLOOKUP(B5,Viviers!$A$2:$I$9,2,FALSE),Hypotheses!$A$11:$C$15,2,FALSE)*(1+Hypotheses!$B$3)^(Hypotheses!$B$2/2))*Hypotheses!$B$7</f>
        <v/>
      </c>
      <c r="O5">
        <f>L5*N5/1000</f>
        <v/>
      </c>
      <c r="P5">
        <f>Reformes!U5</f>
        <v/>
      </c>
      <c r="Q5">
        <f>IF(Reformes!G5=1,Reformes!Q5*IF(I5&gt;0,L5/I5,0),Reformes!Q5)</f>
        <v/>
      </c>
      <c r="R5">
        <f>Reformes!Y5</f>
        <v/>
      </c>
      <c r="S5">
        <f>O5+P5-Q5+R5</f>
        <v/>
      </c>
      <c r="T5">
        <f>O5*Hypotheses!$B$4+P5-Q5+R5</f>
        <v/>
      </c>
      <c r="U5">
        <f>Reformes!M5*Hypotheses!$B$8</f>
        <v/>
      </c>
    </row>
    <row r="6">
      <c r="A6">
        <f>Reformes!A6</f>
        <v/>
      </c>
      <c r="B6">
        <f>Reformes!C6</f>
        <v/>
      </c>
      <c r="C6">
        <f>Reformes!D6</f>
        <v/>
      </c>
      <c r="D6">
        <f>VLOOKUP(B6,Viviers!$A$2:$I$9,3,FALSE)</f>
        <v/>
      </c>
      <c r="E6">
        <f>VLOOKUP(B6,Viviers!$A$2:$I$9,6,FALSE)</f>
        <v/>
      </c>
      <c r="F6">
        <f>MIN(1,Reformes!I6*Hypotheses!$B$5)</f>
        <v/>
      </c>
      <c r="G6">
        <f>IF(B6=B5,G5+H5,0)</f>
        <v/>
      </c>
      <c r="H6">
        <f>MAX(0,MIN(F6*(D6-G6),E6*D6-G6))</f>
        <v/>
      </c>
      <c r="I6">
        <f>H6*Reformes!E6</f>
        <v/>
      </c>
      <c r="J6">
        <f>VLOOKUP(B6,Viviers!$A$2:$I$9,9,FALSE)</f>
        <v/>
      </c>
      <c r="K6">
        <f>IF(B6=B5,K5+L5,0)</f>
        <v/>
      </c>
      <c r="L6">
        <f>MIN(I6,MAX(0,J6-K6))</f>
        <v/>
      </c>
      <c r="M6">
        <f>H6*Reformes!F6</f>
        <v/>
      </c>
      <c r="N6">
        <f>MIN(VLOOKUP(VLOOKUP(B6,Viviers!$A$2:$I$9,2,FALSE),Hypotheses!$A$11:$C$15,3,FALSE),VLOOKUP(VLOOKUP(B6,Viviers!$A$2:$I$9,2,FALSE),Hypotheses!$A$11:$C$15,2,FALSE)*(1+Hypotheses!$B$3)^(Hypotheses!$B$2/2))*Hypotheses!$B$7</f>
        <v/>
      </c>
      <c r="O6">
        <f>L6*N6/1000</f>
        <v/>
      </c>
      <c r="P6">
        <f>Reformes!U6</f>
        <v/>
      </c>
      <c r="Q6">
        <f>IF(Reformes!G6=1,Reformes!Q6*IF(I6&gt;0,L6/I6,0),Reformes!Q6)</f>
        <v/>
      </c>
      <c r="R6">
        <f>Reformes!Y6</f>
        <v/>
      </c>
      <c r="S6">
        <f>O6+P6-Q6+R6</f>
        <v/>
      </c>
      <c r="T6">
        <f>O6*Hypotheses!$B$4+P6-Q6+R6</f>
        <v/>
      </c>
      <c r="U6">
        <f>Reformes!M6*Hypotheses!$B$8</f>
        <v/>
      </c>
    </row>
    <row r="7">
      <c r="A7">
        <f>Reformes!A7</f>
        <v/>
      </c>
      <c r="B7">
        <f>Reformes!C7</f>
        <v/>
      </c>
      <c r="C7">
        <f>Reformes!D7</f>
        <v/>
      </c>
      <c r="D7">
        <f>VLOOKUP(B7,Viviers!$A$2:$I$9,3,FALSE)</f>
        <v/>
      </c>
      <c r="E7">
        <f>VLOOKUP(B7,Viviers!$A$2:$I$9,6,FALSE)</f>
        <v/>
      </c>
      <c r="F7">
        <f>MIN(1,Reformes!I7*Hypotheses!$B$5)</f>
        <v/>
      </c>
      <c r="G7">
        <f>IF(B7=B6,G6+H6,0)</f>
        <v/>
      </c>
      <c r="H7">
        <f>MAX(0,MIN(F7*(D7-G7),E7*D7-G7))</f>
        <v/>
      </c>
      <c r="I7">
        <f>H7*Reformes!E7</f>
        <v/>
      </c>
      <c r="J7">
        <f>VLOOKUP(B7,Viviers!$A$2:$I$9,9,FALSE)</f>
        <v/>
      </c>
      <c r="K7">
        <f>IF(B7=B6,K6+L6,0)</f>
        <v/>
      </c>
      <c r="L7">
        <f>MIN(I7,MAX(0,J7-K7))</f>
        <v/>
      </c>
      <c r="M7">
        <f>H7*Reformes!F7</f>
        <v/>
      </c>
      <c r="N7">
        <f>MIN(VLOOKUP(VLOOKUP(B7,Viviers!$A$2:$I$9,2,FALSE),Hypotheses!$A$11:$C$15,3,FALSE),VLOOKUP(VLOOKUP(B7,Viviers!$A$2:$I$9,2,FALSE),Hypotheses!$A$11:$C$15,2,FALSE)*(1+Hypotheses!$B$3)^(Hypotheses!$B$2/2))*Hypotheses!$B$7</f>
        <v/>
      </c>
      <c r="O7">
        <f>L7*N7/1000</f>
        <v/>
      </c>
      <c r="P7">
        <f>Reformes!U7</f>
        <v/>
      </c>
      <c r="Q7">
        <f>IF(Reformes!G7=1,Reformes!Q7*IF(I7&gt;0,L7/I7,0),Reformes!Q7)</f>
        <v/>
      </c>
      <c r="R7">
        <f>Reformes!Y7</f>
        <v/>
      </c>
      <c r="S7">
        <f>O7+P7-Q7+R7</f>
        <v/>
      </c>
      <c r="T7">
        <f>O7*Hypotheses!$B$4+P7-Q7+R7</f>
        <v/>
      </c>
      <c r="U7">
        <f>Reformes!M7*Hypotheses!$B$8</f>
        <v/>
      </c>
    </row>
    <row r="8">
      <c r="A8">
        <f>Reformes!A8</f>
        <v/>
      </c>
      <c r="B8">
        <f>Reformes!C8</f>
        <v/>
      </c>
      <c r="C8">
        <f>Reformes!D8</f>
        <v/>
      </c>
      <c r="D8">
        <f>VLOOKUP(B8,Viviers!$A$2:$I$9,3,FALSE)</f>
        <v/>
      </c>
      <c r="E8">
        <f>VLOOKUP(B8,Viviers!$A$2:$I$9,6,FALSE)</f>
        <v/>
      </c>
      <c r="F8">
        <f>MIN(1,Reformes!I8*Hypotheses!$B$5)</f>
        <v/>
      </c>
      <c r="G8">
        <f>IF(B8=B7,G7+H7,0)</f>
        <v/>
      </c>
      <c r="H8">
        <f>MAX(0,MIN(F8*(D8-G8),E8*D8-G8))</f>
        <v/>
      </c>
      <c r="I8">
        <f>H8*Reformes!E8</f>
        <v/>
      </c>
      <c r="J8">
        <f>VLOOKUP(B8,Viviers!$A$2:$I$9,9,FALSE)</f>
        <v/>
      </c>
      <c r="K8">
        <f>IF(B8=B7,K7+L7,0)</f>
        <v/>
      </c>
      <c r="L8">
        <f>MIN(I8,MAX(0,J8-K8))</f>
        <v/>
      </c>
      <c r="M8">
        <f>H8*Reformes!F8</f>
        <v/>
      </c>
      <c r="N8">
        <f>MIN(VLOOKUP(VLOOKUP(B8,Viviers!$A$2:$I$9,2,FALSE),Hypotheses!$A$11:$C$15,3,FALSE),VLOOKUP(VLOOKUP(B8,Viviers!$A$2:$I$9,2,FALSE),Hypotheses!$A$11:$C$15,2,FALSE)*(1+Hypotheses!$B$3)^(Hypotheses!$B$2/2))*Hypotheses!$B$7</f>
        <v/>
      </c>
      <c r="O8">
        <f>L8*N8/1000</f>
        <v/>
      </c>
      <c r="P8">
        <f>Reformes!U8</f>
        <v/>
      </c>
      <c r="Q8">
        <f>IF(Reformes!G8=1,Reformes!Q8*IF(I8&gt;0,L8/I8,0),Reformes!Q8)</f>
        <v/>
      </c>
      <c r="R8">
        <f>Reformes!Y8</f>
        <v/>
      </c>
      <c r="S8">
        <f>O8+P8-Q8+R8</f>
        <v/>
      </c>
      <c r="T8">
        <f>O8*Hypotheses!$B$4+P8-Q8+R8</f>
        <v/>
      </c>
      <c r="U8">
        <f>Reformes!M8*Hypotheses!$B$8</f>
        <v/>
      </c>
    </row>
    <row r="9">
      <c r="A9">
        <f>Reformes!A9</f>
        <v/>
      </c>
      <c r="B9">
        <f>Reformes!C9</f>
        <v/>
      </c>
      <c r="C9">
        <f>Reformes!D9</f>
        <v/>
      </c>
      <c r="D9">
        <f>VLOOKUP(B9,Viviers!$A$2:$I$9,3,FALSE)</f>
        <v/>
      </c>
      <c r="E9">
        <f>VLOOKUP(B9,Viviers!$A$2:$I$9,6,FALSE)</f>
        <v/>
      </c>
      <c r="F9">
        <f>MIN(1,Reformes!I9*Hypotheses!$B$5)</f>
        <v/>
      </c>
      <c r="G9">
        <f>IF(B9=B8,G8+H8,0)</f>
        <v/>
      </c>
      <c r="H9">
        <f>MAX(0,MIN(F9*(D9-G9),E9*D9-G9))</f>
        <v/>
      </c>
      <c r="I9">
        <f>H9*Reformes!E9</f>
        <v/>
      </c>
      <c r="J9">
        <f>VLOOKUP(B9,Viviers!$A$2:$I$9,9,FALSE)</f>
        <v/>
      </c>
      <c r="K9">
        <f>IF(B9=B8,K8+L8,0)</f>
        <v/>
      </c>
      <c r="L9">
        <f>MIN(I9,MAX(0,J9-K9))</f>
        <v/>
      </c>
      <c r="M9">
        <f>H9*Reformes!F9</f>
        <v/>
      </c>
      <c r="N9">
        <f>MIN(VLOOKUP(VLOOKUP(B9,Viviers!$A$2:$I$9,2,FALSE),Hypotheses!$A$11:$C$15,3,FALSE),VLOOKUP(VLOOKUP(B9,Viviers!$A$2:$I$9,2,FALSE),Hypotheses!$A$11:$C$15,2,FALSE)*(1+Hypotheses!$B$3)^(Hypotheses!$B$2/2))*Hypotheses!$B$7</f>
        <v/>
      </c>
      <c r="O9">
        <f>L9*N9/1000</f>
        <v/>
      </c>
      <c r="P9">
        <f>Reformes!U9</f>
        <v/>
      </c>
      <c r="Q9">
        <f>IF(Reformes!G9=1,Reformes!Q9*IF(I9&gt;0,L9/I9,0),Reformes!Q9)</f>
        <v/>
      </c>
      <c r="R9">
        <f>Reformes!Y9</f>
        <v/>
      </c>
      <c r="S9">
        <f>O9+P9-Q9+R9</f>
        <v/>
      </c>
      <c r="T9">
        <f>O9*Hypotheses!$B$4+P9-Q9+R9</f>
        <v/>
      </c>
      <c r="U9">
        <f>Reformes!M9*Hypotheses!$B$8</f>
        <v/>
      </c>
    </row>
    <row r="10">
      <c r="A10">
        <f>Reformes!A10</f>
        <v/>
      </c>
      <c r="B10">
        <f>Reformes!C10</f>
        <v/>
      </c>
      <c r="C10">
        <f>Reformes!D10</f>
        <v/>
      </c>
      <c r="D10">
        <f>VLOOKUP(B10,Viviers!$A$2:$I$9,3,FALSE)</f>
        <v/>
      </c>
      <c r="E10">
        <f>VLOOKUP(B10,Viviers!$A$2:$I$9,6,FALSE)</f>
        <v/>
      </c>
      <c r="F10">
        <f>MIN(1,Reformes!I10*Hypotheses!$B$5)</f>
        <v/>
      </c>
      <c r="G10">
        <f>IF(B10=B9,G9+H9,0)</f>
        <v/>
      </c>
      <c r="H10">
        <f>MAX(0,MIN(F10*(D10-G10),E10*D10-G10))</f>
        <v/>
      </c>
      <c r="I10">
        <f>H10*Reformes!E10</f>
        <v/>
      </c>
      <c r="J10">
        <f>VLOOKUP(B10,Viviers!$A$2:$I$9,9,FALSE)</f>
        <v/>
      </c>
      <c r="K10">
        <f>IF(B10=B9,K9+L9,0)</f>
        <v/>
      </c>
      <c r="L10">
        <f>MIN(I10,MAX(0,J10-K10))</f>
        <v/>
      </c>
      <c r="M10">
        <f>H10*Reformes!F10</f>
        <v/>
      </c>
      <c r="N10">
        <f>MIN(VLOOKUP(VLOOKUP(B10,Viviers!$A$2:$I$9,2,FALSE),Hypotheses!$A$11:$C$15,3,FALSE),VLOOKUP(VLOOKUP(B10,Viviers!$A$2:$I$9,2,FALSE),Hypotheses!$A$11:$C$15,2,FALSE)*(1+Hypotheses!$B$3)^(Hypotheses!$B$2/2))*Hypotheses!$B$7</f>
        <v/>
      </c>
      <c r="O10">
        <f>L10*N10/1000</f>
        <v/>
      </c>
      <c r="P10">
        <f>Reformes!U10</f>
        <v/>
      </c>
      <c r="Q10">
        <f>IF(Reformes!G10=1,Reformes!Q10*IF(I10&gt;0,L10/I10,0),Reformes!Q10)</f>
        <v/>
      </c>
      <c r="R10">
        <f>Reformes!Y10</f>
        <v/>
      </c>
      <c r="S10">
        <f>O10+P10-Q10+R10</f>
        <v/>
      </c>
      <c r="T10">
        <f>O10*Hypotheses!$B$4+P10-Q10+R10</f>
        <v/>
      </c>
      <c r="U10">
        <f>Reformes!M10*Hypotheses!$B$8</f>
        <v/>
      </c>
    </row>
    <row r="11">
      <c r="A11">
        <f>Reformes!A11</f>
        <v/>
      </c>
      <c r="B11">
        <f>Reformes!C11</f>
        <v/>
      </c>
      <c r="C11">
        <f>Reformes!D11</f>
        <v/>
      </c>
      <c r="D11">
        <f>VLOOKUP(B11,Viviers!$A$2:$I$9,3,FALSE)</f>
        <v/>
      </c>
      <c r="E11">
        <f>VLOOKUP(B11,Viviers!$A$2:$I$9,6,FALSE)</f>
        <v/>
      </c>
      <c r="F11">
        <f>MIN(1,Reformes!I11*Hypotheses!$B$5)</f>
        <v/>
      </c>
      <c r="G11">
        <f>IF(B11=B10,G10+H10,0)</f>
        <v/>
      </c>
      <c r="H11">
        <f>MAX(0,MIN(F11*(D11-G11),E11*D11-G11))</f>
        <v/>
      </c>
      <c r="I11">
        <f>H11*Reformes!E11</f>
        <v/>
      </c>
      <c r="J11">
        <f>VLOOKUP(B11,Viviers!$A$2:$I$9,9,FALSE)</f>
        <v/>
      </c>
      <c r="K11">
        <f>IF(B11=B10,K10+L10,0)</f>
        <v/>
      </c>
      <c r="L11">
        <f>MIN(I11,MAX(0,J11-K11))</f>
        <v/>
      </c>
      <c r="M11">
        <f>H11*Reformes!F11</f>
        <v/>
      </c>
      <c r="N11">
        <f>MIN(VLOOKUP(VLOOKUP(B11,Viviers!$A$2:$I$9,2,FALSE),Hypotheses!$A$11:$C$15,3,FALSE),VLOOKUP(VLOOKUP(B11,Viviers!$A$2:$I$9,2,FALSE),Hypotheses!$A$11:$C$15,2,FALSE)*(1+Hypotheses!$B$3)^(Hypotheses!$B$2/2))*Hypotheses!$B$7</f>
        <v/>
      </c>
      <c r="O11">
        <f>L11*N11/1000</f>
        <v/>
      </c>
      <c r="P11">
        <f>Reformes!U11</f>
        <v/>
      </c>
      <c r="Q11">
        <f>IF(Reformes!G11=1,Reformes!Q11*IF(I11&gt;0,L11/I11,0),Reformes!Q11)</f>
        <v/>
      </c>
      <c r="R11">
        <f>Reformes!Y11</f>
        <v/>
      </c>
      <c r="S11">
        <f>O11+P11-Q11+R11</f>
        <v/>
      </c>
      <c r="T11">
        <f>O11*Hypotheses!$B$4+P11-Q11+R11</f>
        <v/>
      </c>
      <c r="U11">
        <f>Reformes!M11*Hypotheses!$B$8</f>
        <v/>
      </c>
    </row>
    <row r="12">
      <c r="A12">
        <f>Reformes!A12</f>
        <v/>
      </c>
      <c r="B12">
        <f>Reformes!C12</f>
        <v/>
      </c>
      <c r="C12">
        <f>Reformes!D12</f>
        <v/>
      </c>
      <c r="D12">
        <f>VLOOKUP(B12,Viviers!$A$2:$I$9,3,FALSE)</f>
        <v/>
      </c>
      <c r="E12">
        <f>VLOOKUP(B12,Viviers!$A$2:$I$9,6,FALSE)</f>
        <v/>
      </c>
      <c r="F12">
        <f>MIN(1,Reformes!I12*Hypotheses!$B$5)</f>
        <v/>
      </c>
      <c r="G12">
        <f>IF(B12=B11,G11+H11,0)</f>
        <v/>
      </c>
      <c r="H12">
        <f>MAX(0,MIN(F12*(D12-G12),E12*D12-G12))</f>
        <v/>
      </c>
      <c r="I12">
        <f>H12*Reformes!E12</f>
        <v/>
      </c>
      <c r="J12">
        <f>VLOOKUP(B12,Viviers!$A$2:$I$9,9,FALSE)</f>
        <v/>
      </c>
      <c r="K12">
        <f>IF(B12=B11,K11+L11,0)</f>
        <v/>
      </c>
      <c r="L12">
        <f>MIN(I12,MAX(0,J12-K12))</f>
        <v/>
      </c>
      <c r="M12">
        <f>H12*Reformes!F12</f>
        <v/>
      </c>
      <c r="N12">
        <f>MIN(VLOOKUP(VLOOKUP(B12,Viviers!$A$2:$I$9,2,FALSE),Hypotheses!$A$11:$C$15,3,FALSE),VLOOKUP(VLOOKUP(B12,Viviers!$A$2:$I$9,2,FALSE),Hypotheses!$A$11:$C$15,2,FALSE)*(1+Hypotheses!$B$3)^(Hypotheses!$B$2/2))*Hypotheses!$B$7</f>
        <v/>
      </c>
      <c r="O12">
        <f>L12*N12/1000</f>
        <v/>
      </c>
      <c r="P12">
        <f>Reformes!U12</f>
        <v/>
      </c>
      <c r="Q12">
        <f>IF(Reformes!G12=1,Reformes!Q12*IF(I12&gt;0,L12/I12,0),Reformes!Q12)</f>
        <v/>
      </c>
      <c r="R12">
        <f>Reformes!Y12</f>
        <v/>
      </c>
      <c r="S12">
        <f>O12+P12-Q12+R12</f>
        <v/>
      </c>
      <c r="T12">
        <f>O12*Hypotheses!$B$4+P12-Q12+R12</f>
        <v/>
      </c>
      <c r="U12">
        <f>Reformes!M12*Hypotheses!$B$8</f>
        <v/>
      </c>
    </row>
    <row r="13">
      <c r="A13">
        <f>Reformes!A13</f>
        <v/>
      </c>
      <c r="B13">
        <f>Reformes!C13</f>
        <v/>
      </c>
      <c r="C13">
        <f>Reformes!D13</f>
        <v/>
      </c>
      <c r="D13">
        <f>VLOOKUP(B13,Viviers!$A$2:$I$9,3,FALSE)</f>
        <v/>
      </c>
      <c r="E13">
        <f>VLOOKUP(B13,Viviers!$A$2:$I$9,6,FALSE)</f>
        <v/>
      </c>
      <c r="F13">
        <f>MIN(1,Reformes!I13*Hypotheses!$B$5)</f>
        <v/>
      </c>
      <c r="G13">
        <f>IF(B13=B12,G12+H12,0)</f>
        <v/>
      </c>
      <c r="H13">
        <f>MAX(0,MIN(F13*(D13-G13),E13*D13-G13))</f>
        <v/>
      </c>
      <c r="I13">
        <f>H13*Reformes!E13</f>
        <v/>
      </c>
      <c r="J13">
        <f>VLOOKUP(B13,Viviers!$A$2:$I$9,9,FALSE)</f>
        <v/>
      </c>
      <c r="K13">
        <f>IF(B13=B12,K12+L12,0)</f>
        <v/>
      </c>
      <c r="L13">
        <f>MIN(I13,MAX(0,J13-K13))</f>
        <v/>
      </c>
      <c r="M13">
        <f>H13*Reformes!F13</f>
        <v/>
      </c>
      <c r="N13">
        <f>MIN(VLOOKUP(VLOOKUP(B13,Viviers!$A$2:$I$9,2,FALSE),Hypotheses!$A$11:$C$15,3,FALSE),VLOOKUP(VLOOKUP(B13,Viviers!$A$2:$I$9,2,FALSE),Hypotheses!$A$11:$C$15,2,FALSE)*(1+Hypotheses!$B$3)^(Hypotheses!$B$2/2))*Hypotheses!$B$7</f>
        <v/>
      </c>
      <c r="O13">
        <f>L13*N13/1000</f>
        <v/>
      </c>
      <c r="P13">
        <f>Reformes!U13</f>
        <v/>
      </c>
      <c r="Q13">
        <f>IF(Reformes!G13=1,Reformes!Q13*IF(I13&gt;0,L13/I13,0),Reformes!Q13)</f>
        <v/>
      </c>
      <c r="R13">
        <f>Reformes!Y13</f>
        <v/>
      </c>
      <c r="S13">
        <f>O13+P13-Q13+R13</f>
        <v/>
      </c>
      <c r="T13">
        <f>O13*Hypotheses!$B$4+P13-Q13+R13</f>
        <v/>
      </c>
      <c r="U13">
        <f>Reformes!M13*Hypotheses!$B$8</f>
        <v/>
      </c>
    </row>
    <row r="14">
      <c r="A14">
        <f>Reformes!A14</f>
        <v/>
      </c>
      <c r="B14">
        <f>Reformes!C14</f>
        <v/>
      </c>
      <c r="C14">
        <f>Reformes!D14</f>
        <v/>
      </c>
      <c r="D14">
        <f>VLOOKUP(B14,Viviers!$A$2:$I$9,3,FALSE)</f>
        <v/>
      </c>
      <c r="E14">
        <f>VLOOKUP(B14,Viviers!$A$2:$I$9,6,FALSE)</f>
        <v/>
      </c>
      <c r="F14">
        <f>MIN(1,Reformes!I14*Hypotheses!$B$5)</f>
        <v/>
      </c>
      <c r="G14">
        <f>IF(B14=B13,G13+H13,0)</f>
        <v/>
      </c>
      <c r="H14">
        <f>MAX(0,MIN(F14*(D14-G14),E14*D14-G14))</f>
        <v/>
      </c>
      <c r="I14">
        <f>H14*Reformes!E14</f>
        <v/>
      </c>
      <c r="J14">
        <f>VLOOKUP(B14,Viviers!$A$2:$I$9,9,FALSE)</f>
        <v/>
      </c>
      <c r="K14">
        <f>IF(B14=B13,K13+L13,0)</f>
        <v/>
      </c>
      <c r="L14">
        <f>MIN(I14,MAX(0,J14-K14))</f>
        <v/>
      </c>
      <c r="M14">
        <f>H14*Reformes!F14</f>
        <v/>
      </c>
      <c r="N14">
        <f>MIN(VLOOKUP(VLOOKUP(B14,Viviers!$A$2:$I$9,2,FALSE),Hypotheses!$A$11:$C$15,3,FALSE),VLOOKUP(VLOOKUP(B14,Viviers!$A$2:$I$9,2,FALSE),Hypotheses!$A$11:$C$15,2,FALSE)*(1+Hypotheses!$B$3)^(Hypotheses!$B$2/2))*Hypotheses!$B$7</f>
        <v/>
      </c>
      <c r="O14">
        <f>L14*N14/1000</f>
        <v/>
      </c>
      <c r="P14">
        <f>Reformes!U14</f>
        <v/>
      </c>
      <c r="Q14">
        <f>IF(Reformes!G14=1,Reformes!Q14*IF(I14&gt;0,L14/I14,0),Reformes!Q14)</f>
        <v/>
      </c>
      <c r="R14">
        <f>Reformes!Y14</f>
        <v/>
      </c>
      <c r="S14">
        <f>O14+P14-Q14+R14</f>
        <v/>
      </c>
      <c r="T14">
        <f>O14*Hypotheses!$B$4+P14-Q14+R14</f>
        <v/>
      </c>
      <c r="U14">
        <f>Reformes!M14*Hypotheses!$B$8</f>
        <v/>
      </c>
    </row>
    <row r="15">
      <c r="A15">
        <f>Reformes!A15</f>
        <v/>
      </c>
      <c r="B15">
        <f>Reformes!C15</f>
        <v/>
      </c>
      <c r="C15">
        <f>Reformes!D15</f>
        <v/>
      </c>
      <c r="D15">
        <f>VLOOKUP(B15,Viviers!$A$2:$I$9,3,FALSE)</f>
        <v/>
      </c>
      <c r="E15">
        <f>VLOOKUP(B15,Viviers!$A$2:$I$9,6,FALSE)</f>
        <v/>
      </c>
      <c r="F15">
        <f>MIN(1,Reformes!I15*Hypotheses!$B$5)</f>
        <v/>
      </c>
      <c r="G15">
        <f>IF(B15=B14,G14+H14,0)</f>
        <v/>
      </c>
      <c r="H15">
        <f>MAX(0,MIN(F15*(D15-G15),E15*D15-G15))</f>
        <v/>
      </c>
      <c r="I15">
        <f>H15*Reformes!E15</f>
        <v/>
      </c>
      <c r="J15">
        <f>VLOOKUP(B15,Viviers!$A$2:$I$9,9,FALSE)</f>
        <v/>
      </c>
      <c r="K15">
        <f>IF(B15=B14,K14+L14,0)</f>
        <v/>
      </c>
      <c r="L15">
        <f>MIN(I15,MAX(0,J15-K15))</f>
        <v/>
      </c>
      <c r="M15">
        <f>H15*Reformes!F15</f>
        <v/>
      </c>
      <c r="N15">
        <f>MIN(VLOOKUP(VLOOKUP(B15,Viviers!$A$2:$I$9,2,FALSE),Hypotheses!$A$11:$C$15,3,FALSE),VLOOKUP(VLOOKUP(B15,Viviers!$A$2:$I$9,2,FALSE),Hypotheses!$A$11:$C$15,2,FALSE)*(1+Hypotheses!$B$3)^(Hypotheses!$B$2/2))*Hypotheses!$B$7</f>
        <v/>
      </c>
      <c r="O15">
        <f>L15*N15/1000</f>
        <v/>
      </c>
      <c r="P15">
        <f>Reformes!U15</f>
        <v/>
      </c>
      <c r="Q15">
        <f>IF(Reformes!G15=1,Reformes!Q15*IF(I15&gt;0,L15/I15,0),Reformes!Q15)</f>
        <v/>
      </c>
      <c r="R15">
        <f>Reformes!Y15</f>
        <v/>
      </c>
      <c r="S15">
        <f>O15+P15-Q15+R15</f>
        <v/>
      </c>
      <c r="T15">
        <f>O15*Hypotheses!$B$4+P15-Q15+R15</f>
        <v/>
      </c>
      <c r="U15">
        <f>Reformes!M15*Hypotheses!$B$8</f>
        <v/>
      </c>
    </row>
    <row r="16">
      <c r="A16">
        <f>Reformes!A16</f>
        <v/>
      </c>
      <c r="B16">
        <f>Reformes!C16</f>
        <v/>
      </c>
      <c r="C16">
        <f>Reformes!D16</f>
        <v/>
      </c>
      <c r="D16">
        <f>VLOOKUP(B16,Viviers!$A$2:$I$9,3,FALSE)</f>
        <v/>
      </c>
      <c r="E16">
        <f>VLOOKUP(B16,Viviers!$A$2:$I$9,6,FALSE)</f>
        <v/>
      </c>
      <c r="F16">
        <f>MIN(1,Reformes!I16*Hypotheses!$B$5)</f>
        <v/>
      </c>
      <c r="G16">
        <f>IF(B16=B15,G15+H15,0)</f>
        <v/>
      </c>
      <c r="H16">
        <f>MAX(0,MIN(F16*(D16-G16),E16*D16-G16))</f>
        <v/>
      </c>
      <c r="I16">
        <f>H16*Reformes!E16</f>
        <v/>
      </c>
      <c r="J16">
        <f>VLOOKUP(B16,Viviers!$A$2:$I$9,9,FALSE)</f>
        <v/>
      </c>
      <c r="K16">
        <f>IF(B16=B15,K15+L15,0)</f>
        <v/>
      </c>
      <c r="L16">
        <f>MIN(I16,MAX(0,J16-K16))</f>
        <v/>
      </c>
      <c r="M16">
        <f>H16*Reformes!F16</f>
        <v/>
      </c>
      <c r="N16">
        <f>MIN(VLOOKUP(VLOOKUP(B16,Viviers!$A$2:$I$9,2,FALSE),Hypotheses!$A$11:$C$15,3,FALSE),VLOOKUP(VLOOKUP(B16,Viviers!$A$2:$I$9,2,FALSE),Hypotheses!$A$11:$C$15,2,FALSE)*(1+Hypotheses!$B$3)^(Hypotheses!$B$2/2))*Hypotheses!$B$7</f>
        <v/>
      </c>
      <c r="O16">
        <f>L16*N16/1000</f>
        <v/>
      </c>
      <c r="P16">
        <f>Reformes!U16</f>
        <v/>
      </c>
      <c r="Q16">
        <f>IF(Reformes!G16=1,Reformes!Q16*IF(I16&gt;0,L16/I16,0),Reformes!Q16)</f>
        <v/>
      </c>
      <c r="R16">
        <f>Reformes!Y16</f>
        <v/>
      </c>
      <c r="S16">
        <f>O16+P16-Q16+R16</f>
        <v/>
      </c>
      <c r="T16">
        <f>O16*Hypotheses!$B$4+P16-Q16+R16</f>
        <v/>
      </c>
      <c r="U16">
        <f>Reformes!M16*Hypotheses!$B$8</f>
        <v/>
      </c>
    </row>
    <row r="17">
      <c r="A17">
        <f>Reformes!A17</f>
        <v/>
      </c>
      <c r="B17">
        <f>Reformes!C17</f>
        <v/>
      </c>
      <c r="C17">
        <f>Reformes!D17</f>
        <v/>
      </c>
      <c r="D17">
        <f>VLOOKUP(B17,Viviers!$A$2:$I$9,3,FALSE)</f>
        <v/>
      </c>
      <c r="E17">
        <f>VLOOKUP(B17,Viviers!$A$2:$I$9,6,FALSE)</f>
        <v/>
      </c>
      <c r="F17">
        <f>MIN(1,Reformes!I17*Hypotheses!$B$5)</f>
        <v/>
      </c>
      <c r="G17">
        <f>IF(B17=B16,G16+H16,0)</f>
        <v/>
      </c>
      <c r="H17">
        <f>MAX(0,MIN(F17*(D17-G17),E17*D17-G17))</f>
        <v/>
      </c>
      <c r="I17">
        <f>H17*Reformes!E17</f>
        <v/>
      </c>
      <c r="J17">
        <f>VLOOKUP(B17,Viviers!$A$2:$I$9,9,FALSE)</f>
        <v/>
      </c>
      <c r="K17">
        <f>IF(B17=B16,K16+L16,0)</f>
        <v/>
      </c>
      <c r="L17">
        <f>MIN(I17,MAX(0,J17-K17))</f>
        <v/>
      </c>
      <c r="M17">
        <f>H17*Reformes!F17</f>
        <v/>
      </c>
      <c r="N17">
        <f>MIN(VLOOKUP(VLOOKUP(B17,Viviers!$A$2:$I$9,2,FALSE),Hypotheses!$A$11:$C$15,3,FALSE),VLOOKUP(VLOOKUP(B17,Viviers!$A$2:$I$9,2,FALSE),Hypotheses!$A$11:$C$15,2,FALSE)*(1+Hypotheses!$B$3)^(Hypotheses!$B$2/2))*Hypotheses!$B$7</f>
        <v/>
      </c>
      <c r="O17">
        <f>L17*N17/1000</f>
        <v/>
      </c>
      <c r="P17">
        <f>Reformes!U17</f>
        <v/>
      </c>
      <c r="Q17">
        <f>IF(Reformes!G17=1,Reformes!Q17*IF(I17&gt;0,L17/I17,0),Reformes!Q17)</f>
        <v/>
      </c>
      <c r="R17">
        <f>Reformes!Y17</f>
        <v/>
      </c>
      <c r="S17">
        <f>O17+P17-Q17+R17</f>
        <v/>
      </c>
      <c r="T17">
        <f>O17*Hypotheses!$B$4+P17-Q17+R17</f>
        <v/>
      </c>
      <c r="U17">
        <f>Reformes!M17*Hypotheses!$B$8</f>
        <v/>
      </c>
    </row>
    <row r="18">
      <c r="A18">
        <f>Reformes!A18</f>
        <v/>
      </c>
      <c r="B18">
        <f>Reformes!C18</f>
        <v/>
      </c>
      <c r="C18">
        <f>Reformes!D18</f>
        <v/>
      </c>
      <c r="D18">
        <f>VLOOKUP(B18,Viviers!$A$2:$I$9,3,FALSE)</f>
        <v/>
      </c>
      <c r="E18">
        <f>VLOOKUP(B18,Viviers!$A$2:$I$9,6,FALSE)</f>
        <v/>
      </c>
      <c r="F18">
        <f>MIN(1,Reformes!I18*Hypotheses!$B$5)</f>
        <v/>
      </c>
      <c r="G18">
        <f>IF(B18=B17,G17+H17,0)</f>
        <v/>
      </c>
      <c r="H18">
        <f>MAX(0,MIN(F18*(D18-G18),E18*D18-G18))</f>
        <v/>
      </c>
      <c r="I18">
        <f>H18*Reformes!E18</f>
        <v/>
      </c>
      <c r="J18">
        <f>VLOOKUP(B18,Viviers!$A$2:$I$9,9,FALSE)</f>
        <v/>
      </c>
      <c r="K18">
        <f>IF(B18=B17,K17+L17,0)</f>
        <v/>
      </c>
      <c r="L18">
        <f>MIN(I18,MAX(0,J18-K18))</f>
        <v/>
      </c>
      <c r="M18">
        <f>H18*Reformes!F18</f>
        <v/>
      </c>
      <c r="N18">
        <f>MIN(VLOOKUP(VLOOKUP(B18,Viviers!$A$2:$I$9,2,FALSE),Hypotheses!$A$11:$C$15,3,FALSE),VLOOKUP(VLOOKUP(B18,Viviers!$A$2:$I$9,2,FALSE),Hypotheses!$A$11:$C$15,2,FALSE)*(1+Hypotheses!$B$3)^(Hypotheses!$B$2/2))*Hypotheses!$B$7</f>
        <v/>
      </c>
      <c r="O18">
        <f>L18*N18/1000</f>
        <v/>
      </c>
      <c r="P18">
        <f>Reformes!U18</f>
        <v/>
      </c>
      <c r="Q18">
        <f>IF(Reformes!G18=1,Reformes!Q18*IF(I18&gt;0,L18/I18,0),Reformes!Q18)</f>
        <v/>
      </c>
      <c r="R18">
        <f>Reformes!Y18</f>
        <v/>
      </c>
      <c r="S18">
        <f>O18+P18-Q18+R18</f>
        <v/>
      </c>
      <c r="T18">
        <f>O18*Hypotheses!$B$4+P18-Q18+R18</f>
        <v/>
      </c>
      <c r="U18">
        <f>Reformes!M18*Hypotheses!$B$8</f>
        <v/>
      </c>
    </row>
    <row r="19">
      <c r="A19">
        <f>Reformes!A19</f>
        <v/>
      </c>
      <c r="B19">
        <f>Reformes!C19</f>
        <v/>
      </c>
      <c r="C19">
        <f>Reformes!D19</f>
        <v/>
      </c>
      <c r="D19">
        <f>VLOOKUP(B19,Viviers!$A$2:$I$9,3,FALSE)</f>
        <v/>
      </c>
      <c r="E19">
        <f>VLOOKUP(B19,Viviers!$A$2:$I$9,6,FALSE)</f>
        <v/>
      </c>
      <c r="F19">
        <f>MIN(1,Reformes!I19*Hypotheses!$B$5)</f>
        <v/>
      </c>
      <c r="G19">
        <f>IF(B19=B18,G18+H18,0)</f>
        <v/>
      </c>
      <c r="H19">
        <f>MAX(0,MIN(F19*(D19-G19),E19*D19-G19))</f>
        <v/>
      </c>
      <c r="I19">
        <f>H19*Reformes!E19</f>
        <v/>
      </c>
      <c r="J19">
        <f>VLOOKUP(B19,Viviers!$A$2:$I$9,9,FALSE)</f>
        <v/>
      </c>
      <c r="K19">
        <f>IF(B19=B18,K18+L18,0)</f>
        <v/>
      </c>
      <c r="L19">
        <f>MIN(I19,MAX(0,J19-K19))</f>
        <v/>
      </c>
      <c r="M19">
        <f>H19*Reformes!F19</f>
        <v/>
      </c>
      <c r="N19">
        <f>MIN(VLOOKUP(VLOOKUP(B19,Viviers!$A$2:$I$9,2,FALSE),Hypotheses!$A$11:$C$15,3,FALSE),VLOOKUP(VLOOKUP(B19,Viviers!$A$2:$I$9,2,FALSE),Hypotheses!$A$11:$C$15,2,FALSE)*(1+Hypotheses!$B$3)^(Hypotheses!$B$2/2))*Hypotheses!$B$7</f>
        <v/>
      </c>
      <c r="O19">
        <f>L19*N19/1000</f>
        <v/>
      </c>
      <c r="P19">
        <f>Reformes!U19</f>
        <v/>
      </c>
      <c r="Q19">
        <f>IF(Reformes!G19=1,Reformes!Q19*IF(I19&gt;0,L19/I19,0),Reformes!Q19)</f>
        <v/>
      </c>
      <c r="R19">
        <f>Reformes!Y19</f>
        <v/>
      </c>
      <c r="S19">
        <f>O19+P19-Q19+R19</f>
        <v/>
      </c>
      <c r="T19">
        <f>O19*Hypotheses!$B$4+P19-Q19+R19</f>
        <v/>
      </c>
      <c r="U19">
        <f>Reformes!M19*Hypotheses!$B$8</f>
        <v/>
      </c>
    </row>
    <row r="20">
      <c r="A20">
        <f>Reformes!A20</f>
        <v/>
      </c>
      <c r="B20">
        <f>Reformes!C20</f>
        <v/>
      </c>
      <c r="C20">
        <f>Reformes!D20</f>
        <v/>
      </c>
      <c r="D20">
        <f>VLOOKUP(B20,Viviers!$A$2:$I$9,3,FALSE)</f>
        <v/>
      </c>
      <c r="E20">
        <f>VLOOKUP(B20,Viviers!$A$2:$I$9,6,FALSE)</f>
        <v/>
      </c>
      <c r="F20">
        <f>MIN(1,Reformes!I20*Hypotheses!$B$5)</f>
        <v/>
      </c>
      <c r="G20">
        <f>IF(B20=B19,G19+H19,0)</f>
        <v/>
      </c>
      <c r="H20">
        <f>MAX(0,MIN(F20*(D20-G20),E20*D20-G20))</f>
        <v/>
      </c>
      <c r="I20">
        <f>H20*Reformes!E20</f>
        <v/>
      </c>
      <c r="J20">
        <f>VLOOKUP(B20,Viviers!$A$2:$I$9,9,FALSE)</f>
        <v/>
      </c>
      <c r="K20">
        <f>IF(B20=B19,K19+L19,0)</f>
        <v/>
      </c>
      <c r="L20">
        <f>MIN(I20,MAX(0,J20-K20))</f>
        <v/>
      </c>
      <c r="M20">
        <f>H20*Reformes!F20</f>
        <v/>
      </c>
      <c r="N20">
        <f>MIN(VLOOKUP(VLOOKUP(B20,Viviers!$A$2:$I$9,2,FALSE),Hypotheses!$A$11:$C$15,3,FALSE),VLOOKUP(VLOOKUP(B20,Viviers!$A$2:$I$9,2,FALSE),Hypotheses!$A$11:$C$15,2,FALSE)*(1+Hypotheses!$B$3)^(Hypotheses!$B$2/2))*Hypotheses!$B$7</f>
        <v/>
      </c>
      <c r="O20">
        <f>L20*N20/1000</f>
        <v/>
      </c>
      <c r="P20">
        <f>Reformes!U20</f>
        <v/>
      </c>
      <c r="Q20">
        <f>IF(Reformes!G20=1,Reformes!Q20*IF(I20&gt;0,L20/I20,0),Reformes!Q20)</f>
        <v/>
      </c>
      <c r="R20">
        <f>Reformes!Y20</f>
        <v/>
      </c>
      <c r="S20">
        <f>O20+P20-Q20+R20</f>
        <v/>
      </c>
      <c r="T20">
        <f>O20*Hypotheses!$B$4+P20-Q20+R20</f>
        <v/>
      </c>
      <c r="U20">
        <f>Reformes!M20*Hypotheses!$B$8</f>
        <v/>
      </c>
    </row>
    <row r="21">
      <c r="A21">
        <f>Reformes!A21</f>
        <v/>
      </c>
      <c r="B21">
        <f>Reformes!C21</f>
        <v/>
      </c>
      <c r="C21">
        <f>Reformes!D21</f>
        <v/>
      </c>
      <c r="D21">
        <f>VLOOKUP(B21,Viviers!$A$2:$I$9,3,FALSE)</f>
        <v/>
      </c>
      <c r="E21">
        <f>VLOOKUP(B21,Viviers!$A$2:$I$9,6,FALSE)</f>
        <v/>
      </c>
      <c r="F21">
        <f>MIN(1,Reformes!I21*Hypotheses!$B$5)</f>
        <v/>
      </c>
      <c r="G21">
        <f>IF(B21=B20,G20+H20,0)</f>
        <v/>
      </c>
      <c r="H21">
        <f>MAX(0,MIN(F21*(D21-G21),E21*D21-G21))</f>
        <v/>
      </c>
      <c r="I21">
        <f>H21*Reformes!E21</f>
        <v/>
      </c>
      <c r="J21">
        <f>VLOOKUP(B21,Viviers!$A$2:$I$9,9,FALSE)</f>
        <v/>
      </c>
      <c r="K21">
        <f>IF(B21=B20,K20+L20,0)</f>
        <v/>
      </c>
      <c r="L21">
        <f>MIN(I21,MAX(0,J21-K21))</f>
        <v/>
      </c>
      <c r="M21">
        <f>H21*Reformes!F21</f>
        <v/>
      </c>
      <c r="N21">
        <f>MIN(VLOOKUP(VLOOKUP(B21,Viviers!$A$2:$I$9,2,FALSE),Hypotheses!$A$11:$C$15,3,FALSE),VLOOKUP(VLOOKUP(B21,Viviers!$A$2:$I$9,2,FALSE),Hypotheses!$A$11:$C$15,2,FALSE)*(1+Hypotheses!$B$3)^(Hypotheses!$B$2/2))*Hypotheses!$B$7</f>
        <v/>
      </c>
      <c r="O21">
        <f>L21*N21/1000</f>
        <v/>
      </c>
      <c r="P21">
        <f>Reformes!U21</f>
        <v/>
      </c>
      <c r="Q21">
        <f>IF(Reformes!G21=1,Reformes!Q21*IF(I21&gt;0,L21/I21,0),Reformes!Q21)</f>
        <v/>
      </c>
      <c r="R21">
        <f>Reformes!Y21</f>
        <v/>
      </c>
      <c r="S21">
        <f>O21+P21-Q21+R21</f>
        <v/>
      </c>
      <c r="T21">
        <f>O21*Hypotheses!$B$4+P21-Q21+R21</f>
        <v/>
      </c>
      <c r="U21">
        <f>Reformes!M21*Hypotheses!$B$8</f>
        <v/>
      </c>
    </row>
    <row r="22">
      <c r="A22">
        <f>Reformes!A22</f>
        <v/>
      </c>
      <c r="B22">
        <f>Reformes!C22</f>
        <v/>
      </c>
      <c r="C22">
        <f>Reformes!D22</f>
        <v/>
      </c>
      <c r="D22">
        <f>VLOOKUP(B22,Viviers!$A$2:$I$9,3,FALSE)</f>
        <v/>
      </c>
      <c r="E22">
        <f>VLOOKUP(B22,Viviers!$A$2:$I$9,6,FALSE)</f>
        <v/>
      </c>
      <c r="F22">
        <f>MIN(1,Reformes!I22*Hypotheses!$B$5)</f>
        <v/>
      </c>
      <c r="G22">
        <f>IF(B22=B21,G21+H21,0)</f>
        <v/>
      </c>
      <c r="H22">
        <f>MAX(0,MIN(F22*(D22-G22),E22*D22-G22))</f>
        <v/>
      </c>
      <c r="I22">
        <f>H22*Reformes!E22</f>
        <v/>
      </c>
      <c r="J22">
        <f>VLOOKUP(B22,Viviers!$A$2:$I$9,9,FALSE)</f>
        <v/>
      </c>
      <c r="K22">
        <f>IF(B22=B21,K21+L21,0)</f>
        <v/>
      </c>
      <c r="L22">
        <f>MIN(I22,MAX(0,J22-K22))</f>
        <v/>
      </c>
      <c r="M22">
        <f>H22*Reformes!F22</f>
        <v/>
      </c>
      <c r="N22">
        <f>MIN(VLOOKUP(VLOOKUP(B22,Viviers!$A$2:$I$9,2,FALSE),Hypotheses!$A$11:$C$15,3,FALSE),VLOOKUP(VLOOKUP(B22,Viviers!$A$2:$I$9,2,FALSE),Hypotheses!$A$11:$C$15,2,FALSE)*(1+Hypotheses!$B$3)^(Hypotheses!$B$2/2))*Hypotheses!$B$7</f>
        <v/>
      </c>
      <c r="O22">
        <f>L22*N22/1000</f>
        <v/>
      </c>
      <c r="P22">
        <f>Reformes!U22</f>
        <v/>
      </c>
      <c r="Q22">
        <f>IF(Reformes!G22=1,Reformes!Q22*IF(I22&gt;0,L22/I22,0),Reformes!Q22)</f>
        <v/>
      </c>
      <c r="R22">
        <f>Reformes!Y22</f>
        <v/>
      </c>
      <c r="S22">
        <f>O22+P22-Q22+R22</f>
        <v/>
      </c>
      <c r="T22">
        <f>O22*Hypotheses!$B$4+P22-Q22+R22</f>
        <v/>
      </c>
      <c r="U22">
        <f>Reformes!M22*Hypotheses!$B$8</f>
        <v/>
      </c>
    </row>
    <row r="23">
      <c r="A23">
        <f>Reformes!A23</f>
        <v/>
      </c>
      <c r="B23">
        <f>Reformes!C23</f>
        <v/>
      </c>
      <c r="C23">
        <f>Reformes!D23</f>
        <v/>
      </c>
      <c r="D23">
        <f>VLOOKUP(B23,Viviers!$A$2:$I$9,3,FALSE)</f>
        <v/>
      </c>
      <c r="E23">
        <f>VLOOKUP(B23,Viviers!$A$2:$I$9,6,FALSE)</f>
        <v/>
      </c>
      <c r="F23">
        <f>MIN(1,Reformes!I23*Hypotheses!$B$5)</f>
        <v/>
      </c>
      <c r="G23">
        <f>IF(B23=B22,G22+H22,0)</f>
        <v/>
      </c>
      <c r="H23">
        <f>MAX(0,MIN(F23*(D23-G23),E23*D23-G23))</f>
        <v/>
      </c>
      <c r="I23">
        <f>H23*Reformes!E23</f>
        <v/>
      </c>
      <c r="J23">
        <f>VLOOKUP(B23,Viviers!$A$2:$I$9,9,FALSE)</f>
        <v/>
      </c>
      <c r="K23">
        <f>IF(B23=B22,K22+L22,0)</f>
        <v/>
      </c>
      <c r="L23">
        <f>MIN(I23,MAX(0,J23-K23))</f>
        <v/>
      </c>
      <c r="M23">
        <f>H23*Reformes!F23</f>
        <v/>
      </c>
      <c r="N23">
        <f>MIN(VLOOKUP(VLOOKUP(B23,Viviers!$A$2:$I$9,2,FALSE),Hypotheses!$A$11:$C$15,3,FALSE),VLOOKUP(VLOOKUP(B23,Viviers!$A$2:$I$9,2,FALSE),Hypotheses!$A$11:$C$15,2,FALSE)*(1+Hypotheses!$B$3)^(Hypotheses!$B$2/2))*Hypotheses!$B$7</f>
        <v/>
      </c>
      <c r="O23">
        <f>L23*N23/1000</f>
        <v/>
      </c>
      <c r="P23">
        <f>Reformes!U23</f>
        <v/>
      </c>
      <c r="Q23">
        <f>IF(Reformes!G23=1,Reformes!Q23*IF(I23&gt;0,L23/I23,0),Reformes!Q23)</f>
        <v/>
      </c>
      <c r="R23">
        <f>Reformes!Y23</f>
        <v/>
      </c>
      <c r="S23">
        <f>O23+P23-Q23+R23</f>
        <v/>
      </c>
      <c r="T23">
        <f>O23*Hypotheses!$B$4+P23-Q23+R23</f>
        <v/>
      </c>
      <c r="U23">
        <f>Reformes!M23*Hypotheses!$B$8</f>
        <v/>
      </c>
    </row>
    <row r="24">
      <c r="A24">
        <f>Reformes!A24</f>
        <v/>
      </c>
      <c r="B24">
        <f>Reformes!C24</f>
        <v/>
      </c>
      <c r="C24">
        <f>Reformes!D24</f>
        <v/>
      </c>
      <c r="D24">
        <f>VLOOKUP(B24,Viviers!$A$2:$I$9,3,FALSE)</f>
        <v/>
      </c>
      <c r="E24">
        <f>VLOOKUP(B24,Viviers!$A$2:$I$9,6,FALSE)</f>
        <v/>
      </c>
      <c r="F24">
        <f>MIN(1,Reformes!I24*Hypotheses!$B$5)</f>
        <v/>
      </c>
      <c r="G24">
        <f>IF(B24=B23,G23+H23,0)</f>
        <v/>
      </c>
      <c r="H24">
        <f>MAX(0,MIN(F24*(D24-G24),E24*D24-G24))</f>
        <v/>
      </c>
      <c r="I24">
        <f>H24*Reformes!E24</f>
        <v/>
      </c>
      <c r="J24">
        <f>VLOOKUP(B24,Viviers!$A$2:$I$9,9,FALSE)</f>
        <v/>
      </c>
      <c r="K24">
        <f>IF(B24=B23,K23+L23,0)</f>
        <v/>
      </c>
      <c r="L24">
        <f>MIN(I24,MAX(0,J24-K24))</f>
        <v/>
      </c>
      <c r="M24">
        <f>H24*Reformes!F24</f>
        <v/>
      </c>
      <c r="N24">
        <f>MIN(VLOOKUP(VLOOKUP(B24,Viviers!$A$2:$I$9,2,FALSE),Hypotheses!$A$11:$C$15,3,FALSE),VLOOKUP(VLOOKUP(B24,Viviers!$A$2:$I$9,2,FALSE),Hypotheses!$A$11:$C$15,2,FALSE)*(1+Hypotheses!$B$3)^(Hypotheses!$B$2/2))*Hypotheses!$B$7</f>
        <v/>
      </c>
      <c r="O24">
        <f>L24*N24/1000</f>
        <v/>
      </c>
      <c r="P24">
        <f>Reformes!U24</f>
        <v/>
      </c>
      <c r="Q24">
        <f>IF(Reformes!G24=1,Reformes!Q24*IF(I24&gt;0,L24/I24,0),Reformes!Q24)</f>
        <v/>
      </c>
      <c r="R24">
        <f>Reformes!Y24</f>
        <v/>
      </c>
      <c r="S24">
        <f>O24+P24-Q24+R24</f>
        <v/>
      </c>
      <c r="T24">
        <f>O24*Hypotheses!$B$4+P24-Q24+R24</f>
        <v/>
      </c>
      <c r="U24">
        <f>Reformes!M24*Hypotheses!$B$8</f>
        <v/>
      </c>
    </row>
    <row r="25">
      <c r="A25">
        <f>Reformes!A25</f>
        <v/>
      </c>
      <c r="B25">
        <f>Reformes!C25</f>
        <v/>
      </c>
      <c r="C25">
        <f>Reformes!D25</f>
        <v/>
      </c>
      <c r="D25">
        <f>VLOOKUP(B25,Viviers!$A$2:$I$9,3,FALSE)</f>
        <v/>
      </c>
      <c r="E25">
        <f>VLOOKUP(B25,Viviers!$A$2:$I$9,6,FALSE)</f>
        <v/>
      </c>
      <c r="F25">
        <f>MIN(1,Reformes!I25*Hypotheses!$B$5)</f>
        <v/>
      </c>
      <c r="G25">
        <f>IF(B25=B24,G24+H24,0)</f>
        <v/>
      </c>
      <c r="H25">
        <f>MAX(0,MIN(F25*(D25-G25),E25*D25-G25))</f>
        <v/>
      </c>
      <c r="I25">
        <f>H25*Reformes!E25</f>
        <v/>
      </c>
      <c r="J25">
        <f>VLOOKUP(B25,Viviers!$A$2:$I$9,9,FALSE)</f>
        <v/>
      </c>
      <c r="K25">
        <f>IF(B25=B24,K24+L24,0)</f>
        <v/>
      </c>
      <c r="L25">
        <f>MIN(I25,MAX(0,J25-K25))</f>
        <v/>
      </c>
      <c r="M25">
        <f>H25*Reformes!F25</f>
        <v/>
      </c>
      <c r="N25">
        <f>MIN(VLOOKUP(VLOOKUP(B25,Viviers!$A$2:$I$9,2,FALSE),Hypotheses!$A$11:$C$15,3,FALSE),VLOOKUP(VLOOKUP(B25,Viviers!$A$2:$I$9,2,FALSE),Hypotheses!$A$11:$C$15,2,FALSE)*(1+Hypotheses!$B$3)^(Hypotheses!$B$2/2))*Hypotheses!$B$7</f>
        <v/>
      </c>
      <c r="O25">
        <f>L25*N25/1000</f>
        <v/>
      </c>
      <c r="P25">
        <f>Reformes!U25</f>
        <v/>
      </c>
      <c r="Q25">
        <f>IF(Reformes!G25=1,Reformes!Q25*IF(I25&gt;0,L25/I25,0),Reformes!Q25)</f>
        <v/>
      </c>
      <c r="R25">
        <f>Reformes!Y25</f>
        <v/>
      </c>
      <c r="S25">
        <f>O25+P25-Q25+R25</f>
        <v/>
      </c>
      <c r="T25">
        <f>O25*Hypotheses!$B$4+P25-Q25+R25</f>
        <v/>
      </c>
      <c r="U25">
        <f>Reformes!M25*Hypotheses!$B$8</f>
        <v/>
      </c>
    </row>
    <row r="26">
      <c r="A26">
        <f>Reformes!A26</f>
        <v/>
      </c>
      <c r="B26">
        <f>Reformes!C26</f>
        <v/>
      </c>
      <c r="C26">
        <f>Reformes!D26</f>
        <v/>
      </c>
      <c r="D26">
        <f>VLOOKUP(B26,Viviers!$A$2:$I$9,3,FALSE)</f>
        <v/>
      </c>
      <c r="E26">
        <f>VLOOKUP(B26,Viviers!$A$2:$I$9,6,FALSE)</f>
        <v/>
      </c>
      <c r="F26">
        <f>MIN(1,Reformes!I26*Hypotheses!$B$5)</f>
        <v/>
      </c>
      <c r="G26">
        <f>IF(B26=B25,G25+H25,0)</f>
        <v/>
      </c>
      <c r="H26">
        <f>MAX(0,MIN(F26*(D26-G26),E26*D26-G26))</f>
        <v/>
      </c>
      <c r="I26">
        <f>H26*Reformes!E26</f>
        <v/>
      </c>
      <c r="J26">
        <f>VLOOKUP(B26,Viviers!$A$2:$I$9,9,FALSE)</f>
        <v/>
      </c>
      <c r="K26">
        <f>IF(B26=B25,K25+L25,0)</f>
        <v/>
      </c>
      <c r="L26">
        <f>MIN(I26,MAX(0,J26-K26))</f>
        <v/>
      </c>
      <c r="M26">
        <f>H26*Reformes!F26</f>
        <v/>
      </c>
      <c r="N26">
        <f>MIN(VLOOKUP(VLOOKUP(B26,Viviers!$A$2:$I$9,2,FALSE),Hypotheses!$A$11:$C$15,3,FALSE),VLOOKUP(VLOOKUP(B26,Viviers!$A$2:$I$9,2,FALSE),Hypotheses!$A$11:$C$15,2,FALSE)*(1+Hypotheses!$B$3)^(Hypotheses!$B$2/2))*Hypotheses!$B$7</f>
        <v/>
      </c>
      <c r="O26">
        <f>L26*N26/1000</f>
        <v/>
      </c>
      <c r="P26">
        <f>Reformes!U26</f>
        <v/>
      </c>
      <c r="Q26">
        <f>IF(Reformes!G26=1,Reformes!Q26*IF(I26&gt;0,L26/I26,0),Reformes!Q26)</f>
        <v/>
      </c>
      <c r="R26">
        <f>Reformes!Y26</f>
        <v/>
      </c>
      <c r="S26">
        <f>O26+P26-Q26+R26</f>
        <v/>
      </c>
      <c r="T26">
        <f>O26*Hypotheses!$B$4+P26-Q26+R26</f>
        <v/>
      </c>
      <c r="U26">
        <f>Reformes!M26*Hypotheses!$B$8</f>
        <v/>
      </c>
    </row>
    <row r="27">
      <c r="A27">
        <f>Reformes!A27</f>
        <v/>
      </c>
      <c r="B27">
        <f>Reformes!C27</f>
        <v/>
      </c>
      <c r="C27">
        <f>Reformes!D27</f>
        <v/>
      </c>
      <c r="D27">
        <f>VLOOKUP(B27,Viviers!$A$2:$I$9,3,FALSE)</f>
        <v/>
      </c>
      <c r="E27">
        <f>VLOOKUP(B27,Viviers!$A$2:$I$9,6,FALSE)</f>
        <v/>
      </c>
      <c r="F27">
        <f>MIN(1,Reformes!I27*Hypotheses!$B$5)</f>
        <v/>
      </c>
      <c r="G27">
        <f>IF(B27=B26,G26+H26,0)</f>
        <v/>
      </c>
      <c r="H27">
        <f>MAX(0,MIN(F27*(D27-G27),E27*D27-G27))</f>
        <v/>
      </c>
      <c r="I27">
        <f>H27*Reformes!E27</f>
        <v/>
      </c>
      <c r="J27">
        <f>VLOOKUP(B27,Viviers!$A$2:$I$9,9,FALSE)</f>
        <v/>
      </c>
      <c r="K27">
        <f>IF(B27=B26,K26+L26,0)</f>
        <v/>
      </c>
      <c r="L27">
        <f>MIN(I27,MAX(0,J27-K27))</f>
        <v/>
      </c>
      <c r="M27">
        <f>H27*Reformes!F27</f>
        <v/>
      </c>
      <c r="N27">
        <f>MIN(VLOOKUP(VLOOKUP(B27,Viviers!$A$2:$I$9,2,FALSE),Hypotheses!$A$11:$C$15,3,FALSE),VLOOKUP(VLOOKUP(B27,Viviers!$A$2:$I$9,2,FALSE),Hypotheses!$A$11:$C$15,2,FALSE)*(1+Hypotheses!$B$3)^(Hypotheses!$B$2/2))*Hypotheses!$B$7</f>
        <v/>
      </c>
      <c r="O27">
        <f>L27*N27/1000</f>
        <v/>
      </c>
      <c r="P27">
        <f>Reformes!U27</f>
        <v/>
      </c>
      <c r="Q27">
        <f>IF(Reformes!G27=1,Reformes!Q27*IF(I27&gt;0,L27/I27,0),Reformes!Q27)</f>
        <v/>
      </c>
      <c r="R27">
        <f>Reformes!Y27</f>
        <v/>
      </c>
      <c r="S27">
        <f>O27+P27-Q27+R27</f>
        <v/>
      </c>
      <c r="T27">
        <f>O27*Hypotheses!$B$4+P27-Q27+R27</f>
        <v/>
      </c>
      <c r="U27">
        <f>Reformes!M27*Hypotheses!$B$8</f>
        <v/>
      </c>
    </row>
    <row r="28">
      <c r="A28">
        <f>Reformes!A28</f>
        <v/>
      </c>
      <c r="B28">
        <f>Reformes!C28</f>
        <v/>
      </c>
      <c r="C28">
        <f>Reformes!D28</f>
        <v/>
      </c>
      <c r="D28">
        <f>VLOOKUP(B28,Viviers!$A$2:$I$9,3,FALSE)</f>
        <v/>
      </c>
      <c r="E28">
        <f>VLOOKUP(B28,Viviers!$A$2:$I$9,6,FALSE)</f>
        <v/>
      </c>
      <c r="F28">
        <f>MIN(1,Reformes!I28*Hypotheses!$B$5)</f>
        <v/>
      </c>
      <c r="G28">
        <f>IF(B28=B27,G27+H27,0)</f>
        <v/>
      </c>
      <c r="H28">
        <f>MAX(0,MIN(F28*(D28-G28),E28*D28-G28))</f>
        <v/>
      </c>
      <c r="I28">
        <f>H28*Reformes!E28</f>
        <v/>
      </c>
      <c r="J28">
        <f>VLOOKUP(B28,Viviers!$A$2:$I$9,9,FALSE)</f>
        <v/>
      </c>
      <c r="K28">
        <f>IF(B28=B27,K27+L27,0)</f>
        <v/>
      </c>
      <c r="L28">
        <f>MIN(I28,MAX(0,J28-K28))</f>
        <v/>
      </c>
      <c r="M28">
        <f>H28*Reformes!F28</f>
        <v/>
      </c>
      <c r="N28">
        <f>MIN(VLOOKUP(VLOOKUP(B28,Viviers!$A$2:$I$9,2,FALSE),Hypotheses!$A$11:$C$15,3,FALSE),VLOOKUP(VLOOKUP(B28,Viviers!$A$2:$I$9,2,FALSE),Hypotheses!$A$11:$C$15,2,FALSE)*(1+Hypotheses!$B$3)^(Hypotheses!$B$2/2))*Hypotheses!$B$7</f>
        <v/>
      </c>
      <c r="O28">
        <f>L28*N28/1000</f>
        <v/>
      </c>
      <c r="P28">
        <f>Reformes!U28</f>
        <v/>
      </c>
      <c r="Q28">
        <f>IF(Reformes!G28=1,Reformes!Q28*IF(I28&gt;0,L28/I28,0),Reformes!Q28)</f>
        <v/>
      </c>
      <c r="R28">
        <f>Reformes!Y28</f>
        <v/>
      </c>
      <c r="S28">
        <f>O28+P28-Q28+R28</f>
        <v/>
      </c>
      <c r="T28">
        <f>O28*Hypotheses!$B$4+P28-Q28+R28</f>
        <v/>
      </c>
      <c r="U28">
        <f>Reformes!M28*Hypotheses!$B$8</f>
        <v/>
      </c>
    </row>
    <row r="29">
      <c r="A29">
        <f>Reformes!A29</f>
        <v/>
      </c>
      <c r="B29">
        <f>Reformes!C29</f>
        <v/>
      </c>
      <c r="C29">
        <f>Reformes!D29</f>
        <v/>
      </c>
      <c r="D29">
        <f>VLOOKUP(B29,Viviers!$A$2:$I$9,3,FALSE)</f>
        <v/>
      </c>
      <c r="E29">
        <f>VLOOKUP(B29,Viviers!$A$2:$I$9,6,FALSE)</f>
        <v/>
      </c>
      <c r="F29">
        <f>MIN(1,Reformes!I29*Hypotheses!$B$5)</f>
        <v/>
      </c>
      <c r="G29">
        <f>IF(B29=B28,G28+H28,0)</f>
        <v/>
      </c>
      <c r="H29">
        <f>MAX(0,MIN(F29*(D29-G29),E29*D29-G29))</f>
        <v/>
      </c>
      <c r="I29">
        <f>H29*Reformes!E29</f>
        <v/>
      </c>
      <c r="J29">
        <f>VLOOKUP(B29,Viviers!$A$2:$I$9,9,FALSE)</f>
        <v/>
      </c>
      <c r="K29">
        <f>IF(B29=B28,K28+L28,0)</f>
        <v/>
      </c>
      <c r="L29">
        <f>MIN(I29,MAX(0,J29-K29))</f>
        <v/>
      </c>
      <c r="M29">
        <f>H29*Reformes!F29</f>
        <v/>
      </c>
      <c r="N29">
        <f>MIN(VLOOKUP(VLOOKUP(B29,Viviers!$A$2:$I$9,2,FALSE),Hypotheses!$A$11:$C$15,3,FALSE),VLOOKUP(VLOOKUP(B29,Viviers!$A$2:$I$9,2,FALSE),Hypotheses!$A$11:$C$15,2,FALSE)*(1+Hypotheses!$B$3)^(Hypotheses!$B$2/2))*Hypotheses!$B$7</f>
        <v/>
      </c>
      <c r="O29">
        <f>L29*N29/1000</f>
        <v/>
      </c>
      <c r="P29">
        <f>Reformes!U29</f>
        <v/>
      </c>
      <c r="Q29">
        <f>IF(Reformes!G29=1,Reformes!Q29*IF(I29&gt;0,L29/I29,0),Reformes!Q29)</f>
        <v/>
      </c>
      <c r="R29">
        <f>Reformes!Y29</f>
        <v/>
      </c>
      <c r="S29">
        <f>O29+P29-Q29+R29</f>
        <v/>
      </c>
      <c r="T29">
        <f>O29*Hypotheses!$B$4+P29-Q29+R29</f>
        <v/>
      </c>
      <c r="U29">
        <f>Reformes!M29*Hypotheses!$B$8</f>
        <v/>
      </c>
    </row>
    <row r="30">
      <c r="A30">
        <f>Reformes!A30</f>
        <v/>
      </c>
      <c r="B30">
        <f>Reformes!C30</f>
        <v/>
      </c>
      <c r="C30">
        <f>Reformes!D30</f>
        <v/>
      </c>
      <c r="D30">
        <f>VLOOKUP(B30,Viviers!$A$2:$I$9,3,FALSE)</f>
        <v/>
      </c>
      <c r="E30">
        <f>VLOOKUP(B30,Viviers!$A$2:$I$9,6,FALSE)</f>
        <v/>
      </c>
      <c r="F30">
        <f>MIN(1,Reformes!I30*Hypotheses!$B$5)</f>
        <v/>
      </c>
      <c r="G30">
        <f>IF(B30=B29,G29+H29,0)</f>
        <v/>
      </c>
      <c r="H30">
        <f>MAX(0,MIN(F30*(D30-G30),E30*D30-G30))</f>
        <v/>
      </c>
      <c r="I30">
        <f>H30*Reformes!E30</f>
        <v/>
      </c>
      <c r="J30">
        <f>VLOOKUP(B30,Viviers!$A$2:$I$9,9,FALSE)</f>
        <v/>
      </c>
      <c r="K30">
        <f>IF(B30=B29,K29+L29,0)</f>
        <v/>
      </c>
      <c r="L30">
        <f>MIN(I30,MAX(0,J30-K30))</f>
        <v/>
      </c>
      <c r="M30">
        <f>H30*Reformes!F30</f>
        <v/>
      </c>
      <c r="N30">
        <f>MIN(VLOOKUP(VLOOKUP(B30,Viviers!$A$2:$I$9,2,FALSE),Hypotheses!$A$11:$C$15,3,FALSE),VLOOKUP(VLOOKUP(B30,Viviers!$A$2:$I$9,2,FALSE),Hypotheses!$A$11:$C$15,2,FALSE)*(1+Hypotheses!$B$3)^(Hypotheses!$B$2/2))*Hypotheses!$B$7</f>
        <v/>
      </c>
      <c r="O30">
        <f>L30*N30/1000</f>
        <v/>
      </c>
      <c r="P30">
        <f>Reformes!U30</f>
        <v/>
      </c>
      <c r="Q30">
        <f>IF(Reformes!G30=1,Reformes!Q30*IF(I30&gt;0,L30/I30,0),Reformes!Q30)</f>
        <v/>
      </c>
      <c r="R30">
        <f>Reformes!Y30</f>
        <v/>
      </c>
      <c r="S30">
        <f>O30+P30-Q30+R30</f>
        <v/>
      </c>
      <c r="T30">
        <f>O30*Hypotheses!$B$4+P30-Q30+R30</f>
        <v/>
      </c>
      <c r="U30">
        <f>Reformes!M30*Hypotheses!$B$8</f>
        <v/>
      </c>
    </row>
    <row r="31">
      <c r="A31">
        <f>Reformes!A31</f>
        <v/>
      </c>
      <c r="B31">
        <f>Reformes!C31</f>
        <v/>
      </c>
      <c r="C31">
        <f>Reformes!D31</f>
        <v/>
      </c>
      <c r="D31">
        <f>VLOOKUP(B31,Viviers!$A$2:$I$9,3,FALSE)</f>
        <v/>
      </c>
      <c r="E31">
        <f>VLOOKUP(B31,Viviers!$A$2:$I$9,6,FALSE)</f>
        <v/>
      </c>
      <c r="F31">
        <f>MIN(1,Reformes!I31*Hypotheses!$B$5)</f>
        <v/>
      </c>
      <c r="G31">
        <f>IF(B31=B30,G30+H30,0)</f>
        <v/>
      </c>
      <c r="H31">
        <f>MAX(0,MIN(F31*(D31-G31),E31*D31-G31))</f>
        <v/>
      </c>
      <c r="I31">
        <f>H31*Reformes!E31</f>
        <v/>
      </c>
      <c r="J31">
        <f>VLOOKUP(B31,Viviers!$A$2:$I$9,9,FALSE)</f>
        <v/>
      </c>
      <c r="K31">
        <f>IF(B31=B30,K30+L30,0)</f>
        <v/>
      </c>
      <c r="L31">
        <f>MIN(I31,MAX(0,J31-K31))</f>
        <v/>
      </c>
      <c r="M31">
        <f>H31*Reformes!F31</f>
        <v/>
      </c>
      <c r="N31">
        <f>MIN(VLOOKUP(VLOOKUP(B31,Viviers!$A$2:$I$9,2,FALSE),Hypotheses!$A$11:$C$15,3,FALSE),VLOOKUP(VLOOKUP(B31,Viviers!$A$2:$I$9,2,FALSE),Hypotheses!$A$11:$C$15,2,FALSE)*(1+Hypotheses!$B$3)^(Hypotheses!$B$2/2))*Hypotheses!$B$7</f>
        <v/>
      </c>
      <c r="O31">
        <f>L31*N31/1000</f>
        <v/>
      </c>
      <c r="P31">
        <f>Reformes!U31</f>
        <v/>
      </c>
      <c r="Q31">
        <f>IF(Reformes!G31=1,Reformes!Q31*IF(I31&gt;0,L31/I31,0),Reformes!Q31)</f>
        <v/>
      </c>
      <c r="R31">
        <f>Reformes!Y31</f>
        <v/>
      </c>
      <c r="S31">
        <f>O31+P31-Q31+R31</f>
        <v/>
      </c>
      <c r="T31">
        <f>O31*Hypotheses!$B$4+P31-Q31+R31</f>
        <v/>
      </c>
      <c r="U31">
        <f>Reformes!M31*Hypotheses!$B$8</f>
        <v/>
      </c>
    </row>
    <row r="32">
      <c r="A32" s="1" t="inlineStr">
        <is>
          <t>Total</t>
        </is>
      </c>
      <c r="H32" s="1">
        <f>SUM(H2:H31)</f>
        <v/>
      </c>
      <c r="L32" s="1">
        <f>SUM(L2:L31)</f>
        <v/>
      </c>
      <c r="M32" s="1">
        <f>SUM(M2:M31)</f>
        <v/>
      </c>
      <c r="O32" s="1">
        <f>SUM(O2:O31)</f>
        <v/>
      </c>
      <c r="P32" s="1">
        <f>SUM(P2:P31)</f>
        <v/>
      </c>
      <c r="Q32" s="1">
        <f>SUM(Q2:Q31)</f>
        <v/>
      </c>
      <c r="R32" s="1">
        <f>SUM(R2:R31)</f>
        <v/>
      </c>
      <c r="S32" s="1">
        <f>SUM(S2:S31)</f>
        <v/>
      </c>
      <c r="T32" s="1">
        <f>SUM(T2:T31)</f>
        <v/>
      </c>
      <c r="U32" s="1">
        <f>SUM(U2:U31)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3" t="inlineStr">
        <is>
          <t>id</t>
        </is>
      </c>
      <c r="B1" s="3" t="inlineStr">
        <is>
          <t>vivier</t>
        </is>
      </c>
      <c r="C1" s="3" t="inlineStr">
        <is>
          <t>ordre</t>
        </is>
      </c>
      <c r="D1" s="3" t="inlineStr">
        <is>
          <t>base ETP</t>
        </is>
      </c>
      <c r="E1" s="3" t="inlineStr">
        <is>
          <t>plafond</t>
        </is>
      </c>
      <c r="F1" s="3" t="inlineStr">
        <is>
          <t>taux effectif</t>
        </is>
      </c>
      <c r="G1" s="3" t="inlineStr">
        <is>
          <t>cumul cibles précédentes</t>
        </is>
      </c>
      <c r="H1" s="3" t="inlineStr">
        <is>
          <t>cible ETP</t>
        </is>
      </c>
      <c r="I1" s="3" t="inlineStr">
        <is>
          <t>non-remplacement demandé</t>
        </is>
      </c>
      <c r="J1" s="3" t="inlineStr">
        <is>
          <t>capacité départs vivier</t>
        </is>
      </c>
      <c r="K1" s="3" t="inlineStr">
        <is>
          <t>cumul NR précédents</t>
        </is>
      </c>
      <c r="L1" s="3" t="inlineStr">
        <is>
          <t>NR réalisé</t>
        </is>
      </c>
      <c r="M1" s="3" t="inlineStr">
        <is>
          <t>redéployés</t>
        </is>
      </c>
      <c r="N1" s="3" t="inlineStr">
        <is>
          <t>coût unitaire (k€)</t>
        </is>
      </c>
      <c r="O1" s="3" t="inlineStr">
        <is>
          <t>économie salariale RP (M€)</t>
        </is>
      </c>
      <c r="P1" s="3" t="inlineStr">
        <is>
          <t>éco. fonctionnement (M€)</t>
        </is>
      </c>
      <c r="Q1" s="3" t="inlineStr">
        <is>
          <t>coût récurrent (M€)</t>
        </is>
      </c>
      <c r="R1" s="3" t="inlineStr">
        <is>
          <t>recettes (M€)</t>
        </is>
      </c>
      <c r="S1" s="3" t="inlineStr">
        <is>
          <t>net RP (M€)</t>
        </is>
      </c>
      <c r="T1" s="3" t="inlineStr">
        <is>
          <t>consolidé APU RP (M€)</t>
        </is>
      </c>
      <c r="U1" s="3" t="inlineStr">
        <is>
          <t>investissement (M€)</t>
        </is>
      </c>
    </row>
    <row r="2">
      <c r="A2">
        <f>Reformes!A2</f>
        <v/>
      </c>
      <c r="B2">
        <f>Reformes!C2</f>
        <v/>
      </c>
      <c r="C2">
        <f>Reformes!D2</f>
        <v/>
      </c>
      <c r="D2">
        <f>VLOOKUP(B2,Viviers!$A$2:$I$9,3,FALSE)</f>
        <v/>
      </c>
      <c r="E2">
        <f>VLOOKUP(B2,Viviers!$A$2:$I$9,7,FALSE)</f>
        <v/>
      </c>
      <c r="F2">
        <f>MIN(1,Reformes!J2*Hypotheses!$B$5)</f>
        <v/>
      </c>
      <c r="G2">
        <f>0</f>
        <v/>
      </c>
      <c r="H2">
        <f>MAX(0,MIN(F2*(D2-G2),E2*D2-G2))</f>
        <v/>
      </c>
      <c r="I2">
        <f>H2*Reformes!E2</f>
        <v/>
      </c>
      <c r="J2">
        <f>VLOOKUP(B2,Viviers!$A$2:$I$9,9,FALSE)</f>
        <v/>
      </c>
      <c r="K2">
        <f>0</f>
        <v/>
      </c>
      <c r="L2">
        <f>MIN(I2,MAX(0,J2-K2))</f>
        <v/>
      </c>
      <c r="M2">
        <f>H2*Reformes!F2</f>
        <v/>
      </c>
      <c r="N2">
        <f>MIN(VLOOKUP(VLOOKUP(B2,Viviers!$A$2:$I$9,2,FALSE),Hypotheses!$A$11:$C$15,3,FALSE),VLOOKUP(VLOOKUP(B2,Viviers!$A$2:$I$9,2,FALSE),Hypotheses!$A$11:$C$15,2,FALSE)*(1+Hypotheses!$B$3)^(Hypotheses!$B$2/2))*Hypotheses!$B$7</f>
        <v/>
      </c>
      <c r="O2">
        <f>L2*N2/1000</f>
        <v/>
      </c>
      <c r="P2">
        <f>Reformes!V2</f>
        <v/>
      </c>
      <c r="Q2">
        <f>IF(Reformes!G2=1,Reformes!R2*IF(I2&gt;0,L2/I2,0),Reformes!R2)</f>
        <v/>
      </c>
      <c r="R2">
        <f>Reformes!Z2</f>
        <v/>
      </c>
      <c r="S2">
        <f>O2+P2-Q2+R2</f>
        <v/>
      </c>
      <c r="T2">
        <f>O2*Hypotheses!$B$4+P2-Q2+R2</f>
        <v/>
      </c>
      <c r="U2">
        <f>Reformes!N2*Hypotheses!$B$8</f>
        <v/>
      </c>
    </row>
    <row r="3">
      <c r="A3">
        <f>Reformes!A3</f>
        <v/>
      </c>
      <c r="B3">
        <f>Reformes!C3</f>
        <v/>
      </c>
      <c r="C3">
        <f>Reformes!D3</f>
        <v/>
      </c>
      <c r="D3">
        <f>VLOOKUP(B3,Viviers!$A$2:$I$9,3,FALSE)</f>
        <v/>
      </c>
      <c r="E3">
        <f>VLOOKUP(B3,Viviers!$A$2:$I$9,7,FALSE)</f>
        <v/>
      </c>
      <c r="F3">
        <f>MIN(1,Reformes!J3*Hypotheses!$B$5)</f>
        <v/>
      </c>
      <c r="G3">
        <f>IF(B3=B2,G2+H2,0)</f>
        <v/>
      </c>
      <c r="H3">
        <f>MAX(0,MIN(F3*(D3-G3),E3*D3-G3))</f>
        <v/>
      </c>
      <c r="I3">
        <f>H3*Reformes!E3</f>
        <v/>
      </c>
      <c r="J3">
        <f>VLOOKUP(B3,Viviers!$A$2:$I$9,9,FALSE)</f>
        <v/>
      </c>
      <c r="K3">
        <f>IF(B3=B2,K2+L2,0)</f>
        <v/>
      </c>
      <c r="L3">
        <f>MIN(I3,MAX(0,J3-K3))</f>
        <v/>
      </c>
      <c r="M3">
        <f>H3*Reformes!F3</f>
        <v/>
      </c>
      <c r="N3">
        <f>MIN(VLOOKUP(VLOOKUP(B3,Viviers!$A$2:$I$9,2,FALSE),Hypotheses!$A$11:$C$15,3,FALSE),VLOOKUP(VLOOKUP(B3,Viviers!$A$2:$I$9,2,FALSE),Hypotheses!$A$11:$C$15,2,FALSE)*(1+Hypotheses!$B$3)^(Hypotheses!$B$2/2))*Hypotheses!$B$7</f>
        <v/>
      </c>
      <c r="O3">
        <f>L3*N3/1000</f>
        <v/>
      </c>
      <c r="P3">
        <f>Reformes!V3</f>
        <v/>
      </c>
      <c r="Q3">
        <f>IF(Reformes!G3=1,Reformes!R3*IF(I3&gt;0,L3/I3,0),Reformes!R3)</f>
        <v/>
      </c>
      <c r="R3">
        <f>Reformes!Z3</f>
        <v/>
      </c>
      <c r="S3">
        <f>O3+P3-Q3+R3</f>
        <v/>
      </c>
      <c r="T3">
        <f>O3*Hypotheses!$B$4+P3-Q3+R3</f>
        <v/>
      </c>
      <c r="U3">
        <f>Reformes!N3*Hypotheses!$B$8</f>
        <v/>
      </c>
    </row>
    <row r="4">
      <c r="A4">
        <f>Reformes!A4</f>
        <v/>
      </c>
      <c r="B4">
        <f>Reformes!C4</f>
        <v/>
      </c>
      <c r="C4">
        <f>Reformes!D4</f>
        <v/>
      </c>
      <c r="D4">
        <f>VLOOKUP(B4,Viviers!$A$2:$I$9,3,FALSE)</f>
        <v/>
      </c>
      <c r="E4">
        <f>VLOOKUP(B4,Viviers!$A$2:$I$9,7,FALSE)</f>
        <v/>
      </c>
      <c r="F4">
        <f>MIN(1,Reformes!J4*Hypotheses!$B$5)</f>
        <v/>
      </c>
      <c r="G4">
        <f>IF(B4=B3,G3+H3,0)</f>
        <v/>
      </c>
      <c r="H4">
        <f>MAX(0,MIN(F4*(D4-G4),E4*D4-G4))</f>
        <v/>
      </c>
      <c r="I4">
        <f>H4*Reformes!E4</f>
        <v/>
      </c>
      <c r="J4">
        <f>VLOOKUP(B4,Viviers!$A$2:$I$9,9,FALSE)</f>
        <v/>
      </c>
      <c r="K4">
        <f>IF(B4=B3,K3+L3,0)</f>
        <v/>
      </c>
      <c r="L4">
        <f>MIN(I4,MAX(0,J4-K4))</f>
        <v/>
      </c>
      <c r="M4">
        <f>H4*Reformes!F4</f>
        <v/>
      </c>
      <c r="N4">
        <f>MIN(VLOOKUP(VLOOKUP(B4,Viviers!$A$2:$I$9,2,FALSE),Hypotheses!$A$11:$C$15,3,FALSE),VLOOKUP(VLOOKUP(B4,Viviers!$A$2:$I$9,2,FALSE),Hypotheses!$A$11:$C$15,2,FALSE)*(1+Hypotheses!$B$3)^(Hypotheses!$B$2/2))*Hypotheses!$B$7</f>
        <v/>
      </c>
      <c r="O4">
        <f>L4*N4/1000</f>
        <v/>
      </c>
      <c r="P4">
        <f>Reformes!V4</f>
        <v/>
      </c>
      <c r="Q4">
        <f>IF(Reformes!G4=1,Reformes!R4*IF(I4&gt;0,L4/I4,0),Reformes!R4)</f>
        <v/>
      </c>
      <c r="R4">
        <f>Reformes!Z4</f>
        <v/>
      </c>
      <c r="S4">
        <f>O4+P4-Q4+R4</f>
        <v/>
      </c>
      <c r="T4">
        <f>O4*Hypotheses!$B$4+P4-Q4+R4</f>
        <v/>
      </c>
      <c r="U4">
        <f>Reformes!N4*Hypotheses!$B$8</f>
        <v/>
      </c>
    </row>
    <row r="5">
      <c r="A5">
        <f>Reformes!A5</f>
        <v/>
      </c>
      <c r="B5">
        <f>Reformes!C5</f>
        <v/>
      </c>
      <c r="C5">
        <f>Reformes!D5</f>
        <v/>
      </c>
      <c r="D5">
        <f>VLOOKUP(B5,Viviers!$A$2:$I$9,3,FALSE)</f>
        <v/>
      </c>
      <c r="E5">
        <f>VLOOKUP(B5,Viviers!$A$2:$I$9,7,FALSE)</f>
        <v/>
      </c>
      <c r="F5">
        <f>MIN(1,Reformes!J5*Hypotheses!$B$5)</f>
        <v/>
      </c>
      <c r="G5">
        <f>IF(B5=B4,G4+H4,0)</f>
        <v/>
      </c>
      <c r="H5">
        <f>MAX(0,MIN(F5*(D5-G5),E5*D5-G5))</f>
        <v/>
      </c>
      <c r="I5">
        <f>H5*Reformes!E5</f>
        <v/>
      </c>
      <c r="J5">
        <f>VLOOKUP(B5,Viviers!$A$2:$I$9,9,FALSE)</f>
        <v/>
      </c>
      <c r="K5">
        <f>IF(B5=B4,K4+L4,0)</f>
        <v/>
      </c>
      <c r="L5">
        <f>MIN(I5,MAX(0,J5-K5))</f>
        <v/>
      </c>
      <c r="M5">
        <f>H5*Reformes!F5</f>
        <v/>
      </c>
      <c r="N5">
        <f>MIN(VLOOKUP(VLOOKUP(B5,Viviers!$A$2:$I$9,2,FALSE),Hypotheses!$A$11:$C$15,3,FALSE),VLOOKUP(VLOOKUP(B5,Viviers!$A$2:$I$9,2,FALSE),Hypotheses!$A$11:$C$15,2,FALSE)*(1+Hypotheses!$B$3)^(Hypotheses!$B$2/2))*Hypotheses!$B$7</f>
        <v/>
      </c>
      <c r="O5">
        <f>L5*N5/1000</f>
        <v/>
      </c>
      <c r="P5">
        <f>Reformes!V5</f>
        <v/>
      </c>
      <c r="Q5">
        <f>IF(Reformes!G5=1,Reformes!R5*IF(I5&gt;0,L5/I5,0),Reformes!R5)</f>
        <v/>
      </c>
      <c r="R5">
        <f>Reformes!Z5</f>
        <v/>
      </c>
      <c r="S5">
        <f>O5+P5-Q5+R5</f>
        <v/>
      </c>
      <c r="T5">
        <f>O5*Hypotheses!$B$4+P5-Q5+R5</f>
        <v/>
      </c>
      <c r="U5">
        <f>Reformes!N5*Hypotheses!$B$8</f>
        <v/>
      </c>
    </row>
    <row r="6">
      <c r="A6">
        <f>Reformes!A6</f>
        <v/>
      </c>
      <c r="B6">
        <f>Reformes!C6</f>
        <v/>
      </c>
      <c r="C6">
        <f>Reformes!D6</f>
        <v/>
      </c>
      <c r="D6">
        <f>VLOOKUP(B6,Viviers!$A$2:$I$9,3,FALSE)</f>
        <v/>
      </c>
      <c r="E6">
        <f>VLOOKUP(B6,Viviers!$A$2:$I$9,7,FALSE)</f>
        <v/>
      </c>
      <c r="F6">
        <f>MIN(1,Reformes!J6*Hypotheses!$B$5)</f>
        <v/>
      </c>
      <c r="G6">
        <f>IF(B6=B5,G5+H5,0)</f>
        <v/>
      </c>
      <c r="H6">
        <f>MAX(0,MIN(F6*(D6-G6),E6*D6-G6))</f>
        <v/>
      </c>
      <c r="I6">
        <f>H6*Reformes!E6</f>
        <v/>
      </c>
      <c r="J6">
        <f>VLOOKUP(B6,Viviers!$A$2:$I$9,9,FALSE)</f>
        <v/>
      </c>
      <c r="K6">
        <f>IF(B6=B5,K5+L5,0)</f>
        <v/>
      </c>
      <c r="L6">
        <f>MIN(I6,MAX(0,J6-K6))</f>
        <v/>
      </c>
      <c r="M6">
        <f>H6*Reformes!F6</f>
        <v/>
      </c>
      <c r="N6">
        <f>MIN(VLOOKUP(VLOOKUP(B6,Viviers!$A$2:$I$9,2,FALSE),Hypotheses!$A$11:$C$15,3,FALSE),VLOOKUP(VLOOKUP(B6,Viviers!$A$2:$I$9,2,FALSE),Hypotheses!$A$11:$C$15,2,FALSE)*(1+Hypotheses!$B$3)^(Hypotheses!$B$2/2))*Hypotheses!$B$7</f>
        <v/>
      </c>
      <c r="O6">
        <f>L6*N6/1000</f>
        <v/>
      </c>
      <c r="P6">
        <f>Reformes!V6</f>
        <v/>
      </c>
      <c r="Q6">
        <f>IF(Reformes!G6=1,Reformes!R6*IF(I6&gt;0,L6/I6,0),Reformes!R6)</f>
        <v/>
      </c>
      <c r="R6">
        <f>Reformes!Z6</f>
        <v/>
      </c>
      <c r="S6">
        <f>O6+P6-Q6+R6</f>
        <v/>
      </c>
      <c r="T6">
        <f>O6*Hypotheses!$B$4+P6-Q6+R6</f>
        <v/>
      </c>
      <c r="U6">
        <f>Reformes!N6*Hypotheses!$B$8</f>
        <v/>
      </c>
    </row>
    <row r="7">
      <c r="A7">
        <f>Reformes!A7</f>
        <v/>
      </c>
      <c r="B7">
        <f>Reformes!C7</f>
        <v/>
      </c>
      <c r="C7">
        <f>Reformes!D7</f>
        <v/>
      </c>
      <c r="D7">
        <f>VLOOKUP(B7,Viviers!$A$2:$I$9,3,FALSE)</f>
        <v/>
      </c>
      <c r="E7">
        <f>VLOOKUP(B7,Viviers!$A$2:$I$9,7,FALSE)</f>
        <v/>
      </c>
      <c r="F7">
        <f>MIN(1,Reformes!J7*Hypotheses!$B$5)</f>
        <v/>
      </c>
      <c r="G7">
        <f>IF(B7=B6,G6+H6,0)</f>
        <v/>
      </c>
      <c r="H7">
        <f>MAX(0,MIN(F7*(D7-G7),E7*D7-G7))</f>
        <v/>
      </c>
      <c r="I7">
        <f>H7*Reformes!E7</f>
        <v/>
      </c>
      <c r="J7">
        <f>VLOOKUP(B7,Viviers!$A$2:$I$9,9,FALSE)</f>
        <v/>
      </c>
      <c r="K7">
        <f>IF(B7=B6,K6+L6,0)</f>
        <v/>
      </c>
      <c r="L7">
        <f>MIN(I7,MAX(0,J7-K7))</f>
        <v/>
      </c>
      <c r="M7">
        <f>H7*Reformes!F7</f>
        <v/>
      </c>
      <c r="N7">
        <f>MIN(VLOOKUP(VLOOKUP(B7,Viviers!$A$2:$I$9,2,FALSE),Hypotheses!$A$11:$C$15,3,FALSE),VLOOKUP(VLOOKUP(B7,Viviers!$A$2:$I$9,2,FALSE),Hypotheses!$A$11:$C$15,2,FALSE)*(1+Hypotheses!$B$3)^(Hypotheses!$B$2/2))*Hypotheses!$B$7</f>
        <v/>
      </c>
      <c r="O7">
        <f>L7*N7/1000</f>
        <v/>
      </c>
      <c r="P7">
        <f>Reformes!V7</f>
        <v/>
      </c>
      <c r="Q7">
        <f>IF(Reformes!G7=1,Reformes!R7*IF(I7&gt;0,L7/I7,0),Reformes!R7)</f>
        <v/>
      </c>
      <c r="R7">
        <f>Reformes!Z7</f>
        <v/>
      </c>
      <c r="S7">
        <f>O7+P7-Q7+R7</f>
        <v/>
      </c>
      <c r="T7">
        <f>O7*Hypotheses!$B$4+P7-Q7+R7</f>
        <v/>
      </c>
      <c r="U7">
        <f>Reformes!N7*Hypotheses!$B$8</f>
        <v/>
      </c>
    </row>
    <row r="8">
      <c r="A8">
        <f>Reformes!A8</f>
        <v/>
      </c>
      <c r="B8">
        <f>Reformes!C8</f>
        <v/>
      </c>
      <c r="C8">
        <f>Reformes!D8</f>
        <v/>
      </c>
      <c r="D8">
        <f>VLOOKUP(B8,Viviers!$A$2:$I$9,3,FALSE)</f>
        <v/>
      </c>
      <c r="E8">
        <f>VLOOKUP(B8,Viviers!$A$2:$I$9,7,FALSE)</f>
        <v/>
      </c>
      <c r="F8">
        <f>MIN(1,Reformes!J8*Hypotheses!$B$5)</f>
        <v/>
      </c>
      <c r="G8">
        <f>IF(B8=B7,G7+H7,0)</f>
        <v/>
      </c>
      <c r="H8">
        <f>MAX(0,MIN(F8*(D8-G8),E8*D8-G8))</f>
        <v/>
      </c>
      <c r="I8">
        <f>H8*Reformes!E8</f>
        <v/>
      </c>
      <c r="J8">
        <f>VLOOKUP(B8,Viviers!$A$2:$I$9,9,FALSE)</f>
        <v/>
      </c>
      <c r="K8">
        <f>IF(B8=B7,K7+L7,0)</f>
        <v/>
      </c>
      <c r="L8">
        <f>MIN(I8,MAX(0,J8-K8))</f>
        <v/>
      </c>
      <c r="M8">
        <f>H8*Reformes!F8</f>
        <v/>
      </c>
      <c r="N8">
        <f>MIN(VLOOKUP(VLOOKUP(B8,Viviers!$A$2:$I$9,2,FALSE),Hypotheses!$A$11:$C$15,3,FALSE),VLOOKUP(VLOOKUP(B8,Viviers!$A$2:$I$9,2,FALSE),Hypotheses!$A$11:$C$15,2,FALSE)*(1+Hypotheses!$B$3)^(Hypotheses!$B$2/2))*Hypotheses!$B$7</f>
        <v/>
      </c>
      <c r="O8">
        <f>L8*N8/1000</f>
        <v/>
      </c>
      <c r="P8">
        <f>Reformes!V8</f>
        <v/>
      </c>
      <c r="Q8">
        <f>IF(Reformes!G8=1,Reformes!R8*IF(I8&gt;0,L8/I8,0),Reformes!R8)</f>
        <v/>
      </c>
      <c r="R8">
        <f>Reformes!Z8</f>
        <v/>
      </c>
      <c r="S8">
        <f>O8+P8-Q8+R8</f>
        <v/>
      </c>
      <c r="T8">
        <f>O8*Hypotheses!$B$4+P8-Q8+R8</f>
        <v/>
      </c>
      <c r="U8">
        <f>Reformes!N8*Hypotheses!$B$8</f>
        <v/>
      </c>
    </row>
    <row r="9">
      <c r="A9">
        <f>Reformes!A9</f>
        <v/>
      </c>
      <c r="B9">
        <f>Reformes!C9</f>
        <v/>
      </c>
      <c r="C9">
        <f>Reformes!D9</f>
        <v/>
      </c>
      <c r="D9">
        <f>VLOOKUP(B9,Viviers!$A$2:$I$9,3,FALSE)</f>
        <v/>
      </c>
      <c r="E9">
        <f>VLOOKUP(B9,Viviers!$A$2:$I$9,7,FALSE)</f>
        <v/>
      </c>
      <c r="F9">
        <f>MIN(1,Reformes!J9*Hypotheses!$B$5)</f>
        <v/>
      </c>
      <c r="G9">
        <f>IF(B9=B8,G8+H8,0)</f>
        <v/>
      </c>
      <c r="H9">
        <f>MAX(0,MIN(F9*(D9-G9),E9*D9-G9))</f>
        <v/>
      </c>
      <c r="I9">
        <f>H9*Reformes!E9</f>
        <v/>
      </c>
      <c r="J9">
        <f>VLOOKUP(B9,Viviers!$A$2:$I$9,9,FALSE)</f>
        <v/>
      </c>
      <c r="K9">
        <f>IF(B9=B8,K8+L8,0)</f>
        <v/>
      </c>
      <c r="L9">
        <f>MIN(I9,MAX(0,J9-K9))</f>
        <v/>
      </c>
      <c r="M9">
        <f>H9*Reformes!F9</f>
        <v/>
      </c>
      <c r="N9">
        <f>MIN(VLOOKUP(VLOOKUP(B9,Viviers!$A$2:$I$9,2,FALSE),Hypotheses!$A$11:$C$15,3,FALSE),VLOOKUP(VLOOKUP(B9,Viviers!$A$2:$I$9,2,FALSE),Hypotheses!$A$11:$C$15,2,FALSE)*(1+Hypotheses!$B$3)^(Hypotheses!$B$2/2))*Hypotheses!$B$7</f>
        <v/>
      </c>
      <c r="O9">
        <f>L9*N9/1000</f>
        <v/>
      </c>
      <c r="P9">
        <f>Reformes!V9</f>
        <v/>
      </c>
      <c r="Q9">
        <f>IF(Reformes!G9=1,Reformes!R9*IF(I9&gt;0,L9/I9,0),Reformes!R9)</f>
        <v/>
      </c>
      <c r="R9">
        <f>Reformes!Z9</f>
        <v/>
      </c>
      <c r="S9">
        <f>O9+P9-Q9+R9</f>
        <v/>
      </c>
      <c r="T9">
        <f>O9*Hypotheses!$B$4+P9-Q9+R9</f>
        <v/>
      </c>
      <c r="U9">
        <f>Reformes!N9*Hypotheses!$B$8</f>
        <v/>
      </c>
    </row>
    <row r="10">
      <c r="A10">
        <f>Reformes!A10</f>
        <v/>
      </c>
      <c r="B10">
        <f>Reformes!C10</f>
        <v/>
      </c>
      <c r="C10">
        <f>Reformes!D10</f>
        <v/>
      </c>
      <c r="D10">
        <f>VLOOKUP(B10,Viviers!$A$2:$I$9,3,FALSE)</f>
        <v/>
      </c>
      <c r="E10">
        <f>VLOOKUP(B10,Viviers!$A$2:$I$9,7,FALSE)</f>
        <v/>
      </c>
      <c r="F10">
        <f>MIN(1,Reformes!J10*Hypotheses!$B$5)</f>
        <v/>
      </c>
      <c r="G10">
        <f>IF(B10=B9,G9+H9,0)</f>
        <v/>
      </c>
      <c r="H10">
        <f>MAX(0,MIN(F10*(D10-G10),E10*D10-G10))</f>
        <v/>
      </c>
      <c r="I10">
        <f>H10*Reformes!E10</f>
        <v/>
      </c>
      <c r="J10">
        <f>VLOOKUP(B10,Viviers!$A$2:$I$9,9,FALSE)</f>
        <v/>
      </c>
      <c r="K10">
        <f>IF(B10=B9,K9+L9,0)</f>
        <v/>
      </c>
      <c r="L10">
        <f>MIN(I10,MAX(0,J10-K10))</f>
        <v/>
      </c>
      <c r="M10">
        <f>H10*Reformes!F10</f>
        <v/>
      </c>
      <c r="N10">
        <f>MIN(VLOOKUP(VLOOKUP(B10,Viviers!$A$2:$I$9,2,FALSE),Hypotheses!$A$11:$C$15,3,FALSE),VLOOKUP(VLOOKUP(B10,Viviers!$A$2:$I$9,2,FALSE),Hypotheses!$A$11:$C$15,2,FALSE)*(1+Hypotheses!$B$3)^(Hypotheses!$B$2/2))*Hypotheses!$B$7</f>
        <v/>
      </c>
      <c r="O10">
        <f>L10*N10/1000</f>
        <v/>
      </c>
      <c r="P10">
        <f>Reformes!V10</f>
        <v/>
      </c>
      <c r="Q10">
        <f>IF(Reformes!G10=1,Reformes!R10*IF(I10&gt;0,L10/I10,0),Reformes!R10)</f>
        <v/>
      </c>
      <c r="R10">
        <f>Reformes!Z10</f>
        <v/>
      </c>
      <c r="S10">
        <f>O10+P10-Q10+R10</f>
        <v/>
      </c>
      <c r="T10">
        <f>O10*Hypotheses!$B$4+P10-Q10+R10</f>
        <v/>
      </c>
      <c r="U10">
        <f>Reformes!N10*Hypotheses!$B$8</f>
        <v/>
      </c>
    </row>
    <row r="11">
      <c r="A11">
        <f>Reformes!A11</f>
        <v/>
      </c>
      <c r="B11">
        <f>Reformes!C11</f>
        <v/>
      </c>
      <c r="C11">
        <f>Reformes!D11</f>
        <v/>
      </c>
      <c r="D11">
        <f>VLOOKUP(B11,Viviers!$A$2:$I$9,3,FALSE)</f>
        <v/>
      </c>
      <c r="E11">
        <f>VLOOKUP(B11,Viviers!$A$2:$I$9,7,FALSE)</f>
        <v/>
      </c>
      <c r="F11">
        <f>MIN(1,Reformes!J11*Hypotheses!$B$5)</f>
        <v/>
      </c>
      <c r="G11">
        <f>IF(B11=B10,G10+H10,0)</f>
        <v/>
      </c>
      <c r="H11">
        <f>MAX(0,MIN(F11*(D11-G11),E11*D11-G11))</f>
        <v/>
      </c>
      <c r="I11">
        <f>H11*Reformes!E11</f>
        <v/>
      </c>
      <c r="J11">
        <f>VLOOKUP(B11,Viviers!$A$2:$I$9,9,FALSE)</f>
        <v/>
      </c>
      <c r="K11">
        <f>IF(B11=B10,K10+L10,0)</f>
        <v/>
      </c>
      <c r="L11">
        <f>MIN(I11,MAX(0,J11-K11))</f>
        <v/>
      </c>
      <c r="M11">
        <f>H11*Reformes!F11</f>
        <v/>
      </c>
      <c r="N11">
        <f>MIN(VLOOKUP(VLOOKUP(B11,Viviers!$A$2:$I$9,2,FALSE),Hypotheses!$A$11:$C$15,3,FALSE),VLOOKUP(VLOOKUP(B11,Viviers!$A$2:$I$9,2,FALSE),Hypotheses!$A$11:$C$15,2,FALSE)*(1+Hypotheses!$B$3)^(Hypotheses!$B$2/2))*Hypotheses!$B$7</f>
        <v/>
      </c>
      <c r="O11">
        <f>L11*N11/1000</f>
        <v/>
      </c>
      <c r="P11">
        <f>Reformes!V11</f>
        <v/>
      </c>
      <c r="Q11">
        <f>IF(Reformes!G11=1,Reformes!R11*IF(I11&gt;0,L11/I11,0),Reformes!R11)</f>
        <v/>
      </c>
      <c r="R11">
        <f>Reformes!Z11</f>
        <v/>
      </c>
      <c r="S11">
        <f>O11+P11-Q11+R11</f>
        <v/>
      </c>
      <c r="T11">
        <f>O11*Hypotheses!$B$4+P11-Q11+R11</f>
        <v/>
      </c>
      <c r="U11">
        <f>Reformes!N11*Hypotheses!$B$8</f>
        <v/>
      </c>
    </row>
    <row r="12">
      <c r="A12">
        <f>Reformes!A12</f>
        <v/>
      </c>
      <c r="B12">
        <f>Reformes!C12</f>
        <v/>
      </c>
      <c r="C12">
        <f>Reformes!D12</f>
        <v/>
      </c>
      <c r="D12">
        <f>VLOOKUP(B12,Viviers!$A$2:$I$9,3,FALSE)</f>
        <v/>
      </c>
      <c r="E12">
        <f>VLOOKUP(B12,Viviers!$A$2:$I$9,7,FALSE)</f>
        <v/>
      </c>
      <c r="F12">
        <f>MIN(1,Reformes!J12*Hypotheses!$B$5)</f>
        <v/>
      </c>
      <c r="G12">
        <f>IF(B12=B11,G11+H11,0)</f>
        <v/>
      </c>
      <c r="H12">
        <f>MAX(0,MIN(F12*(D12-G12),E12*D12-G12))</f>
        <v/>
      </c>
      <c r="I12">
        <f>H12*Reformes!E12</f>
        <v/>
      </c>
      <c r="J12">
        <f>VLOOKUP(B12,Viviers!$A$2:$I$9,9,FALSE)</f>
        <v/>
      </c>
      <c r="K12">
        <f>IF(B12=B11,K11+L11,0)</f>
        <v/>
      </c>
      <c r="L12">
        <f>MIN(I12,MAX(0,J12-K12))</f>
        <v/>
      </c>
      <c r="M12">
        <f>H12*Reformes!F12</f>
        <v/>
      </c>
      <c r="N12">
        <f>MIN(VLOOKUP(VLOOKUP(B12,Viviers!$A$2:$I$9,2,FALSE),Hypotheses!$A$11:$C$15,3,FALSE),VLOOKUP(VLOOKUP(B12,Viviers!$A$2:$I$9,2,FALSE),Hypotheses!$A$11:$C$15,2,FALSE)*(1+Hypotheses!$B$3)^(Hypotheses!$B$2/2))*Hypotheses!$B$7</f>
        <v/>
      </c>
      <c r="O12">
        <f>L12*N12/1000</f>
        <v/>
      </c>
      <c r="P12">
        <f>Reformes!V12</f>
        <v/>
      </c>
      <c r="Q12">
        <f>IF(Reformes!G12=1,Reformes!R12*IF(I12&gt;0,L12/I12,0),Reformes!R12)</f>
        <v/>
      </c>
      <c r="R12">
        <f>Reformes!Z12</f>
        <v/>
      </c>
      <c r="S12">
        <f>O12+P12-Q12+R12</f>
        <v/>
      </c>
      <c r="T12">
        <f>O12*Hypotheses!$B$4+P12-Q12+R12</f>
        <v/>
      </c>
      <c r="U12">
        <f>Reformes!N12*Hypotheses!$B$8</f>
        <v/>
      </c>
    </row>
    <row r="13">
      <c r="A13">
        <f>Reformes!A13</f>
        <v/>
      </c>
      <c r="B13">
        <f>Reformes!C13</f>
        <v/>
      </c>
      <c r="C13">
        <f>Reformes!D13</f>
        <v/>
      </c>
      <c r="D13">
        <f>VLOOKUP(B13,Viviers!$A$2:$I$9,3,FALSE)</f>
        <v/>
      </c>
      <c r="E13">
        <f>VLOOKUP(B13,Viviers!$A$2:$I$9,7,FALSE)</f>
        <v/>
      </c>
      <c r="F13">
        <f>MIN(1,Reformes!J13*Hypotheses!$B$5)</f>
        <v/>
      </c>
      <c r="G13">
        <f>IF(B13=B12,G12+H12,0)</f>
        <v/>
      </c>
      <c r="H13">
        <f>MAX(0,MIN(F13*(D13-G13),E13*D13-G13))</f>
        <v/>
      </c>
      <c r="I13">
        <f>H13*Reformes!E13</f>
        <v/>
      </c>
      <c r="J13">
        <f>VLOOKUP(B13,Viviers!$A$2:$I$9,9,FALSE)</f>
        <v/>
      </c>
      <c r="K13">
        <f>IF(B13=B12,K12+L12,0)</f>
        <v/>
      </c>
      <c r="L13">
        <f>MIN(I13,MAX(0,J13-K13))</f>
        <v/>
      </c>
      <c r="M13">
        <f>H13*Reformes!F13</f>
        <v/>
      </c>
      <c r="N13">
        <f>MIN(VLOOKUP(VLOOKUP(B13,Viviers!$A$2:$I$9,2,FALSE),Hypotheses!$A$11:$C$15,3,FALSE),VLOOKUP(VLOOKUP(B13,Viviers!$A$2:$I$9,2,FALSE),Hypotheses!$A$11:$C$15,2,FALSE)*(1+Hypotheses!$B$3)^(Hypotheses!$B$2/2))*Hypotheses!$B$7</f>
        <v/>
      </c>
      <c r="O13">
        <f>L13*N13/1000</f>
        <v/>
      </c>
      <c r="P13">
        <f>Reformes!V13</f>
        <v/>
      </c>
      <c r="Q13">
        <f>IF(Reformes!G13=1,Reformes!R13*IF(I13&gt;0,L13/I13,0),Reformes!R13)</f>
        <v/>
      </c>
      <c r="R13">
        <f>Reformes!Z13</f>
        <v/>
      </c>
      <c r="S13">
        <f>O13+P13-Q13+R13</f>
        <v/>
      </c>
      <c r="T13">
        <f>O13*Hypotheses!$B$4+P13-Q13+R13</f>
        <v/>
      </c>
      <c r="U13">
        <f>Reformes!N13*Hypotheses!$B$8</f>
        <v/>
      </c>
    </row>
    <row r="14">
      <c r="A14">
        <f>Reformes!A14</f>
        <v/>
      </c>
      <c r="B14">
        <f>Reformes!C14</f>
        <v/>
      </c>
      <c r="C14">
        <f>Reformes!D14</f>
        <v/>
      </c>
      <c r="D14">
        <f>VLOOKUP(B14,Viviers!$A$2:$I$9,3,FALSE)</f>
        <v/>
      </c>
      <c r="E14">
        <f>VLOOKUP(B14,Viviers!$A$2:$I$9,7,FALSE)</f>
        <v/>
      </c>
      <c r="F14">
        <f>MIN(1,Reformes!J14*Hypotheses!$B$5)</f>
        <v/>
      </c>
      <c r="G14">
        <f>IF(B14=B13,G13+H13,0)</f>
        <v/>
      </c>
      <c r="H14">
        <f>MAX(0,MIN(F14*(D14-G14),E14*D14-G14))</f>
        <v/>
      </c>
      <c r="I14">
        <f>H14*Reformes!E14</f>
        <v/>
      </c>
      <c r="J14">
        <f>VLOOKUP(B14,Viviers!$A$2:$I$9,9,FALSE)</f>
        <v/>
      </c>
      <c r="K14">
        <f>IF(B14=B13,K13+L13,0)</f>
        <v/>
      </c>
      <c r="L14">
        <f>MIN(I14,MAX(0,J14-K14))</f>
        <v/>
      </c>
      <c r="M14">
        <f>H14*Reformes!F14</f>
        <v/>
      </c>
      <c r="N14">
        <f>MIN(VLOOKUP(VLOOKUP(B14,Viviers!$A$2:$I$9,2,FALSE),Hypotheses!$A$11:$C$15,3,FALSE),VLOOKUP(VLOOKUP(B14,Viviers!$A$2:$I$9,2,FALSE),Hypotheses!$A$11:$C$15,2,FALSE)*(1+Hypotheses!$B$3)^(Hypotheses!$B$2/2))*Hypotheses!$B$7</f>
        <v/>
      </c>
      <c r="O14">
        <f>L14*N14/1000</f>
        <v/>
      </c>
      <c r="P14">
        <f>Reformes!V14</f>
        <v/>
      </c>
      <c r="Q14">
        <f>IF(Reformes!G14=1,Reformes!R14*IF(I14&gt;0,L14/I14,0),Reformes!R14)</f>
        <v/>
      </c>
      <c r="R14">
        <f>Reformes!Z14</f>
        <v/>
      </c>
      <c r="S14">
        <f>O14+P14-Q14+R14</f>
        <v/>
      </c>
      <c r="T14">
        <f>O14*Hypotheses!$B$4+P14-Q14+R14</f>
        <v/>
      </c>
      <c r="U14">
        <f>Reformes!N14*Hypotheses!$B$8</f>
        <v/>
      </c>
    </row>
    <row r="15">
      <c r="A15">
        <f>Reformes!A15</f>
        <v/>
      </c>
      <c r="B15">
        <f>Reformes!C15</f>
        <v/>
      </c>
      <c r="C15">
        <f>Reformes!D15</f>
        <v/>
      </c>
      <c r="D15">
        <f>VLOOKUP(B15,Viviers!$A$2:$I$9,3,FALSE)</f>
        <v/>
      </c>
      <c r="E15">
        <f>VLOOKUP(B15,Viviers!$A$2:$I$9,7,FALSE)</f>
        <v/>
      </c>
      <c r="F15">
        <f>MIN(1,Reformes!J15*Hypotheses!$B$5)</f>
        <v/>
      </c>
      <c r="G15">
        <f>IF(B15=B14,G14+H14,0)</f>
        <v/>
      </c>
      <c r="H15">
        <f>MAX(0,MIN(F15*(D15-G15),E15*D15-G15))</f>
        <v/>
      </c>
      <c r="I15">
        <f>H15*Reformes!E15</f>
        <v/>
      </c>
      <c r="J15">
        <f>VLOOKUP(B15,Viviers!$A$2:$I$9,9,FALSE)</f>
        <v/>
      </c>
      <c r="K15">
        <f>IF(B15=B14,K14+L14,0)</f>
        <v/>
      </c>
      <c r="L15">
        <f>MIN(I15,MAX(0,J15-K15))</f>
        <v/>
      </c>
      <c r="M15">
        <f>H15*Reformes!F15</f>
        <v/>
      </c>
      <c r="N15">
        <f>MIN(VLOOKUP(VLOOKUP(B15,Viviers!$A$2:$I$9,2,FALSE),Hypotheses!$A$11:$C$15,3,FALSE),VLOOKUP(VLOOKUP(B15,Viviers!$A$2:$I$9,2,FALSE),Hypotheses!$A$11:$C$15,2,FALSE)*(1+Hypotheses!$B$3)^(Hypotheses!$B$2/2))*Hypotheses!$B$7</f>
        <v/>
      </c>
      <c r="O15">
        <f>L15*N15/1000</f>
        <v/>
      </c>
      <c r="P15">
        <f>Reformes!V15</f>
        <v/>
      </c>
      <c r="Q15">
        <f>IF(Reformes!G15=1,Reformes!R15*IF(I15&gt;0,L15/I15,0),Reformes!R15)</f>
        <v/>
      </c>
      <c r="R15">
        <f>Reformes!Z15</f>
        <v/>
      </c>
      <c r="S15">
        <f>O15+P15-Q15+R15</f>
        <v/>
      </c>
      <c r="T15">
        <f>O15*Hypotheses!$B$4+P15-Q15+R15</f>
        <v/>
      </c>
      <c r="U15">
        <f>Reformes!N15*Hypotheses!$B$8</f>
        <v/>
      </c>
    </row>
    <row r="16">
      <c r="A16">
        <f>Reformes!A16</f>
        <v/>
      </c>
      <c r="B16">
        <f>Reformes!C16</f>
        <v/>
      </c>
      <c r="C16">
        <f>Reformes!D16</f>
        <v/>
      </c>
      <c r="D16">
        <f>VLOOKUP(B16,Viviers!$A$2:$I$9,3,FALSE)</f>
        <v/>
      </c>
      <c r="E16">
        <f>VLOOKUP(B16,Viviers!$A$2:$I$9,7,FALSE)</f>
        <v/>
      </c>
      <c r="F16">
        <f>MIN(1,Reformes!J16*Hypotheses!$B$5)</f>
        <v/>
      </c>
      <c r="G16">
        <f>IF(B16=B15,G15+H15,0)</f>
        <v/>
      </c>
      <c r="H16">
        <f>MAX(0,MIN(F16*(D16-G16),E16*D16-G16))</f>
        <v/>
      </c>
      <c r="I16">
        <f>H16*Reformes!E16</f>
        <v/>
      </c>
      <c r="J16">
        <f>VLOOKUP(B16,Viviers!$A$2:$I$9,9,FALSE)</f>
        <v/>
      </c>
      <c r="K16">
        <f>IF(B16=B15,K15+L15,0)</f>
        <v/>
      </c>
      <c r="L16">
        <f>MIN(I16,MAX(0,J16-K16))</f>
        <v/>
      </c>
      <c r="M16">
        <f>H16*Reformes!F16</f>
        <v/>
      </c>
      <c r="N16">
        <f>MIN(VLOOKUP(VLOOKUP(B16,Viviers!$A$2:$I$9,2,FALSE),Hypotheses!$A$11:$C$15,3,FALSE),VLOOKUP(VLOOKUP(B16,Viviers!$A$2:$I$9,2,FALSE),Hypotheses!$A$11:$C$15,2,FALSE)*(1+Hypotheses!$B$3)^(Hypotheses!$B$2/2))*Hypotheses!$B$7</f>
        <v/>
      </c>
      <c r="O16">
        <f>L16*N16/1000</f>
        <v/>
      </c>
      <c r="P16">
        <f>Reformes!V16</f>
        <v/>
      </c>
      <c r="Q16">
        <f>IF(Reformes!G16=1,Reformes!R16*IF(I16&gt;0,L16/I16,0),Reformes!R16)</f>
        <v/>
      </c>
      <c r="R16">
        <f>Reformes!Z16</f>
        <v/>
      </c>
      <c r="S16">
        <f>O16+P16-Q16+R16</f>
        <v/>
      </c>
      <c r="T16">
        <f>O16*Hypotheses!$B$4+P16-Q16+R16</f>
        <v/>
      </c>
      <c r="U16">
        <f>Reformes!N16*Hypotheses!$B$8</f>
        <v/>
      </c>
    </row>
    <row r="17">
      <c r="A17">
        <f>Reformes!A17</f>
        <v/>
      </c>
      <c r="B17">
        <f>Reformes!C17</f>
        <v/>
      </c>
      <c r="C17">
        <f>Reformes!D17</f>
        <v/>
      </c>
      <c r="D17">
        <f>VLOOKUP(B17,Viviers!$A$2:$I$9,3,FALSE)</f>
        <v/>
      </c>
      <c r="E17">
        <f>VLOOKUP(B17,Viviers!$A$2:$I$9,7,FALSE)</f>
        <v/>
      </c>
      <c r="F17">
        <f>MIN(1,Reformes!J17*Hypotheses!$B$5)</f>
        <v/>
      </c>
      <c r="G17">
        <f>IF(B17=B16,G16+H16,0)</f>
        <v/>
      </c>
      <c r="H17">
        <f>MAX(0,MIN(F17*(D17-G17),E17*D17-G17))</f>
        <v/>
      </c>
      <c r="I17">
        <f>H17*Reformes!E17</f>
        <v/>
      </c>
      <c r="J17">
        <f>VLOOKUP(B17,Viviers!$A$2:$I$9,9,FALSE)</f>
        <v/>
      </c>
      <c r="K17">
        <f>IF(B17=B16,K16+L16,0)</f>
        <v/>
      </c>
      <c r="L17">
        <f>MIN(I17,MAX(0,J17-K17))</f>
        <v/>
      </c>
      <c r="M17">
        <f>H17*Reformes!F17</f>
        <v/>
      </c>
      <c r="N17">
        <f>MIN(VLOOKUP(VLOOKUP(B17,Viviers!$A$2:$I$9,2,FALSE),Hypotheses!$A$11:$C$15,3,FALSE),VLOOKUP(VLOOKUP(B17,Viviers!$A$2:$I$9,2,FALSE),Hypotheses!$A$11:$C$15,2,FALSE)*(1+Hypotheses!$B$3)^(Hypotheses!$B$2/2))*Hypotheses!$B$7</f>
        <v/>
      </c>
      <c r="O17">
        <f>L17*N17/1000</f>
        <v/>
      </c>
      <c r="P17">
        <f>Reformes!V17</f>
        <v/>
      </c>
      <c r="Q17">
        <f>IF(Reformes!G17=1,Reformes!R17*IF(I17&gt;0,L17/I17,0),Reformes!R17)</f>
        <v/>
      </c>
      <c r="R17">
        <f>Reformes!Z17</f>
        <v/>
      </c>
      <c r="S17">
        <f>O17+P17-Q17+R17</f>
        <v/>
      </c>
      <c r="T17">
        <f>O17*Hypotheses!$B$4+P17-Q17+R17</f>
        <v/>
      </c>
      <c r="U17">
        <f>Reformes!N17*Hypotheses!$B$8</f>
        <v/>
      </c>
    </row>
    <row r="18">
      <c r="A18">
        <f>Reformes!A18</f>
        <v/>
      </c>
      <c r="B18">
        <f>Reformes!C18</f>
        <v/>
      </c>
      <c r="C18">
        <f>Reformes!D18</f>
        <v/>
      </c>
      <c r="D18">
        <f>VLOOKUP(B18,Viviers!$A$2:$I$9,3,FALSE)</f>
        <v/>
      </c>
      <c r="E18">
        <f>VLOOKUP(B18,Viviers!$A$2:$I$9,7,FALSE)</f>
        <v/>
      </c>
      <c r="F18">
        <f>MIN(1,Reformes!J18*Hypotheses!$B$5)</f>
        <v/>
      </c>
      <c r="G18">
        <f>IF(B18=B17,G17+H17,0)</f>
        <v/>
      </c>
      <c r="H18">
        <f>MAX(0,MIN(F18*(D18-G18),E18*D18-G18))</f>
        <v/>
      </c>
      <c r="I18">
        <f>H18*Reformes!E18</f>
        <v/>
      </c>
      <c r="J18">
        <f>VLOOKUP(B18,Viviers!$A$2:$I$9,9,FALSE)</f>
        <v/>
      </c>
      <c r="K18">
        <f>IF(B18=B17,K17+L17,0)</f>
        <v/>
      </c>
      <c r="L18">
        <f>MIN(I18,MAX(0,J18-K18))</f>
        <v/>
      </c>
      <c r="M18">
        <f>H18*Reformes!F18</f>
        <v/>
      </c>
      <c r="N18">
        <f>MIN(VLOOKUP(VLOOKUP(B18,Viviers!$A$2:$I$9,2,FALSE),Hypotheses!$A$11:$C$15,3,FALSE),VLOOKUP(VLOOKUP(B18,Viviers!$A$2:$I$9,2,FALSE),Hypotheses!$A$11:$C$15,2,FALSE)*(1+Hypotheses!$B$3)^(Hypotheses!$B$2/2))*Hypotheses!$B$7</f>
        <v/>
      </c>
      <c r="O18">
        <f>L18*N18/1000</f>
        <v/>
      </c>
      <c r="P18">
        <f>Reformes!V18</f>
        <v/>
      </c>
      <c r="Q18">
        <f>IF(Reformes!G18=1,Reformes!R18*IF(I18&gt;0,L18/I18,0),Reformes!R18)</f>
        <v/>
      </c>
      <c r="R18">
        <f>Reformes!Z18</f>
        <v/>
      </c>
      <c r="S18">
        <f>O18+P18-Q18+R18</f>
        <v/>
      </c>
      <c r="T18">
        <f>O18*Hypotheses!$B$4+P18-Q18+R18</f>
        <v/>
      </c>
      <c r="U18">
        <f>Reformes!N18*Hypotheses!$B$8</f>
        <v/>
      </c>
    </row>
    <row r="19">
      <c r="A19">
        <f>Reformes!A19</f>
        <v/>
      </c>
      <c r="B19">
        <f>Reformes!C19</f>
        <v/>
      </c>
      <c r="C19">
        <f>Reformes!D19</f>
        <v/>
      </c>
      <c r="D19">
        <f>VLOOKUP(B19,Viviers!$A$2:$I$9,3,FALSE)</f>
        <v/>
      </c>
      <c r="E19">
        <f>VLOOKUP(B19,Viviers!$A$2:$I$9,7,FALSE)</f>
        <v/>
      </c>
      <c r="F19">
        <f>MIN(1,Reformes!J19*Hypotheses!$B$5)</f>
        <v/>
      </c>
      <c r="G19">
        <f>IF(B19=B18,G18+H18,0)</f>
        <v/>
      </c>
      <c r="H19">
        <f>MAX(0,MIN(F19*(D19-G19),E19*D19-G19))</f>
        <v/>
      </c>
      <c r="I19">
        <f>H19*Reformes!E19</f>
        <v/>
      </c>
      <c r="J19">
        <f>VLOOKUP(B19,Viviers!$A$2:$I$9,9,FALSE)</f>
        <v/>
      </c>
      <c r="K19">
        <f>IF(B19=B18,K18+L18,0)</f>
        <v/>
      </c>
      <c r="L19">
        <f>MIN(I19,MAX(0,J19-K19))</f>
        <v/>
      </c>
      <c r="M19">
        <f>H19*Reformes!F19</f>
        <v/>
      </c>
      <c r="N19">
        <f>MIN(VLOOKUP(VLOOKUP(B19,Viviers!$A$2:$I$9,2,FALSE),Hypotheses!$A$11:$C$15,3,FALSE),VLOOKUP(VLOOKUP(B19,Viviers!$A$2:$I$9,2,FALSE),Hypotheses!$A$11:$C$15,2,FALSE)*(1+Hypotheses!$B$3)^(Hypotheses!$B$2/2))*Hypotheses!$B$7</f>
        <v/>
      </c>
      <c r="O19">
        <f>L19*N19/1000</f>
        <v/>
      </c>
      <c r="P19">
        <f>Reformes!V19</f>
        <v/>
      </c>
      <c r="Q19">
        <f>IF(Reformes!G19=1,Reformes!R19*IF(I19&gt;0,L19/I19,0),Reformes!R19)</f>
        <v/>
      </c>
      <c r="R19">
        <f>Reformes!Z19</f>
        <v/>
      </c>
      <c r="S19">
        <f>O19+P19-Q19+R19</f>
        <v/>
      </c>
      <c r="T19">
        <f>O19*Hypotheses!$B$4+P19-Q19+R19</f>
        <v/>
      </c>
      <c r="U19">
        <f>Reformes!N19*Hypotheses!$B$8</f>
        <v/>
      </c>
    </row>
    <row r="20">
      <c r="A20">
        <f>Reformes!A20</f>
        <v/>
      </c>
      <c r="B20">
        <f>Reformes!C20</f>
        <v/>
      </c>
      <c r="C20">
        <f>Reformes!D20</f>
        <v/>
      </c>
      <c r="D20">
        <f>VLOOKUP(B20,Viviers!$A$2:$I$9,3,FALSE)</f>
        <v/>
      </c>
      <c r="E20">
        <f>VLOOKUP(B20,Viviers!$A$2:$I$9,7,FALSE)</f>
        <v/>
      </c>
      <c r="F20">
        <f>MIN(1,Reformes!J20*Hypotheses!$B$5)</f>
        <v/>
      </c>
      <c r="G20">
        <f>IF(B20=B19,G19+H19,0)</f>
        <v/>
      </c>
      <c r="H20">
        <f>MAX(0,MIN(F20*(D20-G20),E20*D20-G20))</f>
        <v/>
      </c>
      <c r="I20">
        <f>H20*Reformes!E20</f>
        <v/>
      </c>
      <c r="J20">
        <f>VLOOKUP(B20,Viviers!$A$2:$I$9,9,FALSE)</f>
        <v/>
      </c>
      <c r="K20">
        <f>IF(B20=B19,K19+L19,0)</f>
        <v/>
      </c>
      <c r="L20">
        <f>MIN(I20,MAX(0,J20-K20))</f>
        <v/>
      </c>
      <c r="M20">
        <f>H20*Reformes!F20</f>
        <v/>
      </c>
      <c r="N20">
        <f>MIN(VLOOKUP(VLOOKUP(B20,Viviers!$A$2:$I$9,2,FALSE),Hypotheses!$A$11:$C$15,3,FALSE),VLOOKUP(VLOOKUP(B20,Viviers!$A$2:$I$9,2,FALSE),Hypotheses!$A$11:$C$15,2,FALSE)*(1+Hypotheses!$B$3)^(Hypotheses!$B$2/2))*Hypotheses!$B$7</f>
        <v/>
      </c>
      <c r="O20">
        <f>L20*N20/1000</f>
        <v/>
      </c>
      <c r="P20">
        <f>Reformes!V20</f>
        <v/>
      </c>
      <c r="Q20">
        <f>IF(Reformes!G20=1,Reformes!R20*IF(I20&gt;0,L20/I20,0),Reformes!R20)</f>
        <v/>
      </c>
      <c r="R20">
        <f>Reformes!Z20</f>
        <v/>
      </c>
      <c r="S20">
        <f>O20+P20-Q20+R20</f>
        <v/>
      </c>
      <c r="T20">
        <f>O20*Hypotheses!$B$4+P20-Q20+R20</f>
        <v/>
      </c>
      <c r="U20">
        <f>Reformes!N20*Hypotheses!$B$8</f>
        <v/>
      </c>
    </row>
    <row r="21">
      <c r="A21">
        <f>Reformes!A21</f>
        <v/>
      </c>
      <c r="B21">
        <f>Reformes!C21</f>
        <v/>
      </c>
      <c r="C21">
        <f>Reformes!D21</f>
        <v/>
      </c>
      <c r="D21">
        <f>VLOOKUP(B21,Viviers!$A$2:$I$9,3,FALSE)</f>
        <v/>
      </c>
      <c r="E21">
        <f>VLOOKUP(B21,Viviers!$A$2:$I$9,7,FALSE)</f>
        <v/>
      </c>
      <c r="F21">
        <f>MIN(1,Reformes!J21*Hypotheses!$B$5)</f>
        <v/>
      </c>
      <c r="G21">
        <f>IF(B21=B20,G20+H20,0)</f>
        <v/>
      </c>
      <c r="H21">
        <f>MAX(0,MIN(F21*(D21-G21),E21*D21-G21))</f>
        <v/>
      </c>
      <c r="I21">
        <f>H21*Reformes!E21</f>
        <v/>
      </c>
      <c r="J21">
        <f>VLOOKUP(B21,Viviers!$A$2:$I$9,9,FALSE)</f>
        <v/>
      </c>
      <c r="K21">
        <f>IF(B21=B20,K20+L20,0)</f>
        <v/>
      </c>
      <c r="L21">
        <f>MIN(I21,MAX(0,J21-K21))</f>
        <v/>
      </c>
      <c r="M21">
        <f>H21*Reformes!F21</f>
        <v/>
      </c>
      <c r="N21">
        <f>MIN(VLOOKUP(VLOOKUP(B21,Viviers!$A$2:$I$9,2,FALSE),Hypotheses!$A$11:$C$15,3,FALSE),VLOOKUP(VLOOKUP(B21,Viviers!$A$2:$I$9,2,FALSE),Hypotheses!$A$11:$C$15,2,FALSE)*(1+Hypotheses!$B$3)^(Hypotheses!$B$2/2))*Hypotheses!$B$7</f>
        <v/>
      </c>
      <c r="O21">
        <f>L21*N21/1000</f>
        <v/>
      </c>
      <c r="P21">
        <f>Reformes!V21</f>
        <v/>
      </c>
      <c r="Q21">
        <f>IF(Reformes!G21=1,Reformes!R21*IF(I21&gt;0,L21/I21,0),Reformes!R21)</f>
        <v/>
      </c>
      <c r="R21">
        <f>Reformes!Z21</f>
        <v/>
      </c>
      <c r="S21">
        <f>O21+P21-Q21+R21</f>
        <v/>
      </c>
      <c r="T21">
        <f>O21*Hypotheses!$B$4+P21-Q21+R21</f>
        <v/>
      </c>
      <c r="U21">
        <f>Reformes!N21*Hypotheses!$B$8</f>
        <v/>
      </c>
    </row>
    <row r="22">
      <c r="A22">
        <f>Reformes!A22</f>
        <v/>
      </c>
      <c r="B22">
        <f>Reformes!C22</f>
        <v/>
      </c>
      <c r="C22">
        <f>Reformes!D22</f>
        <v/>
      </c>
      <c r="D22">
        <f>VLOOKUP(B22,Viviers!$A$2:$I$9,3,FALSE)</f>
        <v/>
      </c>
      <c r="E22">
        <f>VLOOKUP(B22,Viviers!$A$2:$I$9,7,FALSE)</f>
        <v/>
      </c>
      <c r="F22">
        <f>MIN(1,Reformes!J22*Hypotheses!$B$5)</f>
        <v/>
      </c>
      <c r="G22">
        <f>IF(B22=B21,G21+H21,0)</f>
        <v/>
      </c>
      <c r="H22">
        <f>MAX(0,MIN(F22*(D22-G22),E22*D22-G22))</f>
        <v/>
      </c>
      <c r="I22">
        <f>H22*Reformes!E22</f>
        <v/>
      </c>
      <c r="J22">
        <f>VLOOKUP(B22,Viviers!$A$2:$I$9,9,FALSE)</f>
        <v/>
      </c>
      <c r="K22">
        <f>IF(B22=B21,K21+L21,0)</f>
        <v/>
      </c>
      <c r="L22">
        <f>MIN(I22,MAX(0,J22-K22))</f>
        <v/>
      </c>
      <c r="M22">
        <f>H22*Reformes!F22</f>
        <v/>
      </c>
      <c r="N22">
        <f>MIN(VLOOKUP(VLOOKUP(B22,Viviers!$A$2:$I$9,2,FALSE),Hypotheses!$A$11:$C$15,3,FALSE),VLOOKUP(VLOOKUP(B22,Viviers!$A$2:$I$9,2,FALSE),Hypotheses!$A$11:$C$15,2,FALSE)*(1+Hypotheses!$B$3)^(Hypotheses!$B$2/2))*Hypotheses!$B$7</f>
        <v/>
      </c>
      <c r="O22">
        <f>L22*N22/1000</f>
        <v/>
      </c>
      <c r="P22">
        <f>Reformes!V22</f>
        <v/>
      </c>
      <c r="Q22">
        <f>IF(Reformes!G22=1,Reformes!R22*IF(I22&gt;0,L22/I22,0),Reformes!R22)</f>
        <v/>
      </c>
      <c r="R22">
        <f>Reformes!Z22</f>
        <v/>
      </c>
      <c r="S22">
        <f>O22+P22-Q22+R22</f>
        <v/>
      </c>
      <c r="T22">
        <f>O22*Hypotheses!$B$4+P22-Q22+R22</f>
        <v/>
      </c>
      <c r="U22">
        <f>Reformes!N22*Hypotheses!$B$8</f>
        <v/>
      </c>
    </row>
    <row r="23">
      <c r="A23">
        <f>Reformes!A23</f>
        <v/>
      </c>
      <c r="B23">
        <f>Reformes!C23</f>
        <v/>
      </c>
      <c r="C23">
        <f>Reformes!D23</f>
        <v/>
      </c>
      <c r="D23">
        <f>VLOOKUP(B23,Viviers!$A$2:$I$9,3,FALSE)</f>
        <v/>
      </c>
      <c r="E23">
        <f>VLOOKUP(B23,Viviers!$A$2:$I$9,7,FALSE)</f>
        <v/>
      </c>
      <c r="F23">
        <f>MIN(1,Reformes!J23*Hypotheses!$B$5)</f>
        <v/>
      </c>
      <c r="G23">
        <f>IF(B23=B22,G22+H22,0)</f>
        <v/>
      </c>
      <c r="H23">
        <f>MAX(0,MIN(F23*(D23-G23),E23*D23-G23))</f>
        <v/>
      </c>
      <c r="I23">
        <f>H23*Reformes!E23</f>
        <v/>
      </c>
      <c r="J23">
        <f>VLOOKUP(B23,Viviers!$A$2:$I$9,9,FALSE)</f>
        <v/>
      </c>
      <c r="K23">
        <f>IF(B23=B22,K22+L22,0)</f>
        <v/>
      </c>
      <c r="L23">
        <f>MIN(I23,MAX(0,J23-K23))</f>
        <v/>
      </c>
      <c r="M23">
        <f>H23*Reformes!F23</f>
        <v/>
      </c>
      <c r="N23">
        <f>MIN(VLOOKUP(VLOOKUP(B23,Viviers!$A$2:$I$9,2,FALSE),Hypotheses!$A$11:$C$15,3,FALSE),VLOOKUP(VLOOKUP(B23,Viviers!$A$2:$I$9,2,FALSE),Hypotheses!$A$11:$C$15,2,FALSE)*(1+Hypotheses!$B$3)^(Hypotheses!$B$2/2))*Hypotheses!$B$7</f>
        <v/>
      </c>
      <c r="O23">
        <f>L23*N23/1000</f>
        <v/>
      </c>
      <c r="P23">
        <f>Reformes!V23</f>
        <v/>
      </c>
      <c r="Q23">
        <f>IF(Reformes!G23=1,Reformes!R23*IF(I23&gt;0,L23/I23,0),Reformes!R23)</f>
        <v/>
      </c>
      <c r="R23">
        <f>Reformes!Z23</f>
        <v/>
      </c>
      <c r="S23">
        <f>O23+P23-Q23+R23</f>
        <v/>
      </c>
      <c r="T23">
        <f>O23*Hypotheses!$B$4+P23-Q23+R23</f>
        <v/>
      </c>
      <c r="U23">
        <f>Reformes!N23*Hypotheses!$B$8</f>
        <v/>
      </c>
    </row>
    <row r="24">
      <c r="A24">
        <f>Reformes!A24</f>
        <v/>
      </c>
      <c r="B24">
        <f>Reformes!C24</f>
        <v/>
      </c>
      <c r="C24">
        <f>Reformes!D24</f>
        <v/>
      </c>
      <c r="D24">
        <f>VLOOKUP(B24,Viviers!$A$2:$I$9,3,FALSE)</f>
        <v/>
      </c>
      <c r="E24">
        <f>VLOOKUP(B24,Viviers!$A$2:$I$9,7,FALSE)</f>
        <v/>
      </c>
      <c r="F24">
        <f>MIN(1,Reformes!J24*Hypotheses!$B$5)</f>
        <v/>
      </c>
      <c r="G24">
        <f>IF(B24=B23,G23+H23,0)</f>
        <v/>
      </c>
      <c r="H24">
        <f>MAX(0,MIN(F24*(D24-G24),E24*D24-G24))</f>
        <v/>
      </c>
      <c r="I24">
        <f>H24*Reformes!E24</f>
        <v/>
      </c>
      <c r="J24">
        <f>VLOOKUP(B24,Viviers!$A$2:$I$9,9,FALSE)</f>
        <v/>
      </c>
      <c r="K24">
        <f>IF(B24=B23,K23+L23,0)</f>
        <v/>
      </c>
      <c r="L24">
        <f>MIN(I24,MAX(0,J24-K24))</f>
        <v/>
      </c>
      <c r="M24">
        <f>H24*Reformes!F24</f>
        <v/>
      </c>
      <c r="N24">
        <f>MIN(VLOOKUP(VLOOKUP(B24,Viviers!$A$2:$I$9,2,FALSE),Hypotheses!$A$11:$C$15,3,FALSE),VLOOKUP(VLOOKUP(B24,Viviers!$A$2:$I$9,2,FALSE),Hypotheses!$A$11:$C$15,2,FALSE)*(1+Hypotheses!$B$3)^(Hypotheses!$B$2/2))*Hypotheses!$B$7</f>
        <v/>
      </c>
      <c r="O24">
        <f>L24*N24/1000</f>
        <v/>
      </c>
      <c r="P24">
        <f>Reformes!V24</f>
        <v/>
      </c>
      <c r="Q24">
        <f>IF(Reformes!G24=1,Reformes!R24*IF(I24&gt;0,L24/I24,0),Reformes!R24)</f>
        <v/>
      </c>
      <c r="R24">
        <f>Reformes!Z24</f>
        <v/>
      </c>
      <c r="S24">
        <f>O24+P24-Q24+R24</f>
        <v/>
      </c>
      <c r="T24">
        <f>O24*Hypotheses!$B$4+P24-Q24+R24</f>
        <v/>
      </c>
      <c r="U24">
        <f>Reformes!N24*Hypotheses!$B$8</f>
        <v/>
      </c>
    </row>
    <row r="25">
      <c r="A25">
        <f>Reformes!A25</f>
        <v/>
      </c>
      <c r="B25">
        <f>Reformes!C25</f>
        <v/>
      </c>
      <c r="C25">
        <f>Reformes!D25</f>
        <v/>
      </c>
      <c r="D25">
        <f>VLOOKUP(B25,Viviers!$A$2:$I$9,3,FALSE)</f>
        <v/>
      </c>
      <c r="E25">
        <f>VLOOKUP(B25,Viviers!$A$2:$I$9,7,FALSE)</f>
        <v/>
      </c>
      <c r="F25">
        <f>MIN(1,Reformes!J25*Hypotheses!$B$5)</f>
        <v/>
      </c>
      <c r="G25">
        <f>IF(B25=B24,G24+H24,0)</f>
        <v/>
      </c>
      <c r="H25">
        <f>MAX(0,MIN(F25*(D25-G25),E25*D25-G25))</f>
        <v/>
      </c>
      <c r="I25">
        <f>H25*Reformes!E25</f>
        <v/>
      </c>
      <c r="J25">
        <f>VLOOKUP(B25,Viviers!$A$2:$I$9,9,FALSE)</f>
        <v/>
      </c>
      <c r="K25">
        <f>IF(B25=B24,K24+L24,0)</f>
        <v/>
      </c>
      <c r="L25">
        <f>MIN(I25,MAX(0,J25-K25))</f>
        <v/>
      </c>
      <c r="M25">
        <f>H25*Reformes!F25</f>
        <v/>
      </c>
      <c r="N25">
        <f>MIN(VLOOKUP(VLOOKUP(B25,Viviers!$A$2:$I$9,2,FALSE),Hypotheses!$A$11:$C$15,3,FALSE),VLOOKUP(VLOOKUP(B25,Viviers!$A$2:$I$9,2,FALSE),Hypotheses!$A$11:$C$15,2,FALSE)*(1+Hypotheses!$B$3)^(Hypotheses!$B$2/2))*Hypotheses!$B$7</f>
        <v/>
      </c>
      <c r="O25">
        <f>L25*N25/1000</f>
        <v/>
      </c>
      <c r="P25">
        <f>Reformes!V25</f>
        <v/>
      </c>
      <c r="Q25">
        <f>IF(Reformes!G25=1,Reformes!R25*IF(I25&gt;0,L25/I25,0),Reformes!R25)</f>
        <v/>
      </c>
      <c r="R25">
        <f>Reformes!Z25</f>
        <v/>
      </c>
      <c r="S25">
        <f>O25+P25-Q25+R25</f>
        <v/>
      </c>
      <c r="T25">
        <f>O25*Hypotheses!$B$4+P25-Q25+R25</f>
        <v/>
      </c>
      <c r="U25">
        <f>Reformes!N25*Hypotheses!$B$8</f>
        <v/>
      </c>
    </row>
    <row r="26">
      <c r="A26">
        <f>Reformes!A26</f>
        <v/>
      </c>
      <c r="B26">
        <f>Reformes!C26</f>
        <v/>
      </c>
      <c r="C26">
        <f>Reformes!D26</f>
        <v/>
      </c>
      <c r="D26">
        <f>VLOOKUP(B26,Viviers!$A$2:$I$9,3,FALSE)</f>
        <v/>
      </c>
      <c r="E26">
        <f>VLOOKUP(B26,Viviers!$A$2:$I$9,7,FALSE)</f>
        <v/>
      </c>
      <c r="F26">
        <f>MIN(1,Reformes!J26*Hypotheses!$B$5)</f>
        <v/>
      </c>
      <c r="G26">
        <f>IF(B26=B25,G25+H25,0)</f>
        <v/>
      </c>
      <c r="H26">
        <f>MAX(0,MIN(F26*(D26-G26),E26*D26-G26))</f>
        <v/>
      </c>
      <c r="I26">
        <f>H26*Reformes!E26</f>
        <v/>
      </c>
      <c r="J26">
        <f>VLOOKUP(B26,Viviers!$A$2:$I$9,9,FALSE)</f>
        <v/>
      </c>
      <c r="K26">
        <f>IF(B26=B25,K25+L25,0)</f>
        <v/>
      </c>
      <c r="L26">
        <f>MIN(I26,MAX(0,J26-K26))</f>
        <v/>
      </c>
      <c r="M26">
        <f>H26*Reformes!F26</f>
        <v/>
      </c>
      <c r="N26">
        <f>MIN(VLOOKUP(VLOOKUP(B26,Viviers!$A$2:$I$9,2,FALSE),Hypotheses!$A$11:$C$15,3,FALSE),VLOOKUP(VLOOKUP(B26,Viviers!$A$2:$I$9,2,FALSE),Hypotheses!$A$11:$C$15,2,FALSE)*(1+Hypotheses!$B$3)^(Hypotheses!$B$2/2))*Hypotheses!$B$7</f>
        <v/>
      </c>
      <c r="O26">
        <f>L26*N26/1000</f>
        <v/>
      </c>
      <c r="P26">
        <f>Reformes!V26</f>
        <v/>
      </c>
      <c r="Q26">
        <f>IF(Reformes!G26=1,Reformes!R26*IF(I26&gt;0,L26/I26,0),Reformes!R26)</f>
        <v/>
      </c>
      <c r="R26">
        <f>Reformes!Z26</f>
        <v/>
      </c>
      <c r="S26">
        <f>O26+P26-Q26+R26</f>
        <v/>
      </c>
      <c r="T26">
        <f>O26*Hypotheses!$B$4+P26-Q26+R26</f>
        <v/>
      </c>
      <c r="U26">
        <f>Reformes!N26*Hypotheses!$B$8</f>
        <v/>
      </c>
    </row>
    <row r="27">
      <c r="A27">
        <f>Reformes!A27</f>
        <v/>
      </c>
      <c r="B27">
        <f>Reformes!C27</f>
        <v/>
      </c>
      <c r="C27">
        <f>Reformes!D27</f>
        <v/>
      </c>
      <c r="D27">
        <f>VLOOKUP(B27,Viviers!$A$2:$I$9,3,FALSE)</f>
        <v/>
      </c>
      <c r="E27">
        <f>VLOOKUP(B27,Viviers!$A$2:$I$9,7,FALSE)</f>
        <v/>
      </c>
      <c r="F27">
        <f>MIN(1,Reformes!J27*Hypotheses!$B$5)</f>
        <v/>
      </c>
      <c r="G27">
        <f>IF(B27=B26,G26+H26,0)</f>
        <v/>
      </c>
      <c r="H27">
        <f>MAX(0,MIN(F27*(D27-G27),E27*D27-G27))</f>
        <v/>
      </c>
      <c r="I27">
        <f>H27*Reformes!E27</f>
        <v/>
      </c>
      <c r="J27">
        <f>VLOOKUP(B27,Viviers!$A$2:$I$9,9,FALSE)</f>
        <v/>
      </c>
      <c r="K27">
        <f>IF(B27=B26,K26+L26,0)</f>
        <v/>
      </c>
      <c r="L27">
        <f>MIN(I27,MAX(0,J27-K27))</f>
        <v/>
      </c>
      <c r="M27">
        <f>H27*Reformes!F27</f>
        <v/>
      </c>
      <c r="N27">
        <f>MIN(VLOOKUP(VLOOKUP(B27,Viviers!$A$2:$I$9,2,FALSE),Hypotheses!$A$11:$C$15,3,FALSE),VLOOKUP(VLOOKUP(B27,Viviers!$A$2:$I$9,2,FALSE),Hypotheses!$A$11:$C$15,2,FALSE)*(1+Hypotheses!$B$3)^(Hypotheses!$B$2/2))*Hypotheses!$B$7</f>
        <v/>
      </c>
      <c r="O27">
        <f>L27*N27/1000</f>
        <v/>
      </c>
      <c r="P27">
        <f>Reformes!V27</f>
        <v/>
      </c>
      <c r="Q27">
        <f>IF(Reformes!G27=1,Reformes!R27*IF(I27&gt;0,L27/I27,0),Reformes!R27)</f>
        <v/>
      </c>
      <c r="R27">
        <f>Reformes!Z27</f>
        <v/>
      </c>
      <c r="S27">
        <f>O27+P27-Q27+R27</f>
        <v/>
      </c>
      <c r="T27">
        <f>O27*Hypotheses!$B$4+P27-Q27+R27</f>
        <v/>
      </c>
      <c r="U27">
        <f>Reformes!N27*Hypotheses!$B$8</f>
        <v/>
      </c>
    </row>
    <row r="28">
      <c r="A28">
        <f>Reformes!A28</f>
        <v/>
      </c>
      <c r="B28">
        <f>Reformes!C28</f>
        <v/>
      </c>
      <c r="C28">
        <f>Reformes!D28</f>
        <v/>
      </c>
      <c r="D28">
        <f>VLOOKUP(B28,Viviers!$A$2:$I$9,3,FALSE)</f>
        <v/>
      </c>
      <c r="E28">
        <f>VLOOKUP(B28,Viviers!$A$2:$I$9,7,FALSE)</f>
        <v/>
      </c>
      <c r="F28">
        <f>MIN(1,Reformes!J28*Hypotheses!$B$5)</f>
        <v/>
      </c>
      <c r="G28">
        <f>IF(B28=B27,G27+H27,0)</f>
        <v/>
      </c>
      <c r="H28">
        <f>MAX(0,MIN(F28*(D28-G28),E28*D28-G28))</f>
        <v/>
      </c>
      <c r="I28">
        <f>H28*Reformes!E28</f>
        <v/>
      </c>
      <c r="J28">
        <f>VLOOKUP(B28,Viviers!$A$2:$I$9,9,FALSE)</f>
        <v/>
      </c>
      <c r="K28">
        <f>IF(B28=B27,K27+L27,0)</f>
        <v/>
      </c>
      <c r="L28">
        <f>MIN(I28,MAX(0,J28-K28))</f>
        <v/>
      </c>
      <c r="M28">
        <f>H28*Reformes!F28</f>
        <v/>
      </c>
      <c r="N28">
        <f>MIN(VLOOKUP(VLOOKUP(B28,Viviers!$A$2:$I$9,2,FALSE),Hypotheses!$A$11:$C$15,3,FALSE),VLOOKUP(VLOOKUP(B28,Viviers!$A$2:$I$9,2,FALSE),Hypotheses!$A$11:$C$15,2,FALSE)*(1+Hypotheses!$B$3)^(Hypotheses!$B$2/2))*Hypotheses!$B$7</f>
        <v/>
      </c>
      <c r="O28">
        <f>L28*N28/1000</f>
        <v/>
      </c>
      <c r="P28">
        <f>Reformes!V28</f>
        <v/>
      </c>
      <c r="Q28">
        <f>IF(Reformes!G28=1,Reformes!R28*IF(I28&gt;0,L28/I28,0),Reformes!R28)</f>
        <v/>
      </c>
      <c r="R28">
        <f>Reformes!Z28</f>
        <v/>
      </c>
      <c r="S28">
        <f>O28+P28-Q28+R28</f>
        <v/>
      </c>
      <c r="T28">
        <f>O28*Hypotheses!$B$4+P28-Q28+R28</f>
        <v/>
      </c>
      <c r="U28">
        <f>Reformes!N28*Hypotheses!$B$8</f>
        <v/>
      </c>
    </row>
    <row r="29">
      <c r="A29">
        <f>Reformes!A29</f>
        <v/>
      </c>
      <c r="B29">
        <f>Reformes!C29</f>
        <v/>
      </c>
      <c r="C29">
        <f>Reformes!D29</f>
        <v/>
      </c>
      <c r="D29">
        <f>VLOOKUP(B29,Viviers!$A$2:$I$9,3,FALSE)</f>
        <v/>
      </c>
      <c r="E29">
        <f>VLOOKUP(B29,Viviers!$A$2:$I$9,7,FALSE)</f>
        <v/>
      </c>
      <c r="F29">
        <f>MIN(1,Reformes!J29*Hypotheses!$B$5)</f>
        <v/>
      </c>
      <c r="G29">
        <f>IF(B29=B28,G28+H28,0)</f>
        <v/>
      </c>
      <c r="H29">
        <f>MAX(0,MIN(F29*(D29-G29),E29*D29-G29))</f>
        <v/>
      </c>
      <c r="I29">
        <f>H29*Reformes!E29</f>
        <v/>
      </c>
      <c r="J29">
        <f>VLOOKUP(B29,Viviers!$A$2:$I$9,9,FALSE)</f>
        <v/>
      </c>
      <c r="K29">
        <f>IF(B29=B28,K28+L28,0)</f>
        <v/>
      </c>
      <c r="L29">
        <f>MIN(I29,MAX(0,J29-K29))</f>
        <v/>
      </c>
      <c r="M29">
        <f>H29*Reformes!F29</f>
        <v/>
      </c>
      <c r="N29">
        <f>MIN(VLOOKUP(VLOOKUP(B29,Viviers!$A$2:$I$9,2,FALSE),Hypotheses!$A$11:$C$15,3,FALSE),VLOOKUP(VLOOKUP(B29,Viviers!$A$2:$I$9,2,FALSE),Hypotheses!$A$11:$C$15,2,FALSE)*(1+Hypotheses!$B$3)^(Hypotheses!$B$2/2))*Hypotheses!$B$7</f>
        <v/>
      </c>
      <c r="O29">
        <f>L29*N29/1000</f>
        <v/>
      </c>
      <c r="P29">
        <f>Reformes!V29</f>
        <v/>
      </c>
      <c r="Q29">
        <f>IF(Reformes!G29=1,Reformes!R29*IF(I29&gt;0,L29/I29,0),Reformes!R29)</f>
        <v/>
      </c>
      <c r="R29">
        <f>Reformes!Z29</f>
        <v/>
      </c>
      <c r="S29">
        <f>O29+P29-Q29+R29</f>
        <v/>
      </c>
      <c r="T29">
        <f>O29*Hypotheses!$B$4+P29-Q29+R29</f>
        <v/>
      </c>
      <c r="U29">
        <f>Reformes!N29*Hypotheses!$B$8</f>
        <v/>
      </c>
    </row>
    <row r="30">
      <c r="A30">
        <f>Reformes!A30</f>
        <v/>
      </c>
      <c r="B30">
        <f>Reformes!C30</f>
        <v/>
      </c>
      <c r="C30">
        <f>Reformes!D30</f>
        <v/>
      </c>
      <c r="D30">
        <f>VLOOKUP(B30,Viviers!$A$2:$I$9,3,FALSE)</f>
        <v/>
      </c>
      <c r="E30">
        <f>VLOOKUP(B30,Viviers!$A$2:$I$9,7,FALSE)</f>
        <v/>
      </c>
      <c r="F30">
        <f>MIN(1,Reformes!J30*Hypotheses!$B$5)</f>
        <v/>
      </c>
      <c r="G30">
        <f>IF(B30=B29,G29+H29,0)</f>
        <v/>
      </c>
      <c r="H30">
        <f>MAX(0,MIN(F30*(D30-G30),E30*D30-G30))</f>
        <v/>
      </c>
      <c r="I30">
        <f>H30*Reformes!E30</f>
        <v/>
      </c>
      <c r="J30">
        <f>VLOOKUP(B30,Viviers!$A$2:$I$9,9,FALSE)</f>
        <v/>
      </c>
      <c r="K30">
        <f>IF(B30=B29,K29+L29,0)</f>
        <v/>
      </c>
      <c r="L30">
        <f>MIN(I30,MAX(0,J30-K30))</f>
        <v/>
      </c>
      <c r="M30">
        <f>H30*Reformes!F30</f>
        <v/>
      </c>
      <c r="N30">
        <f>MIN(VLOOKUP(VLOOKUP(B30,Viviers!$A$2:$I$9,2,FALSE),Hypotheses!$A$11:$C$15,3,FALSE),VLOOKUP(VLOOKUP(B30,Viviers!$A$2:$I$9,2,FALSE),Hypotheses!$A$11:$C$15,2,FALSE)*(1+Hypotheses!$B$3)^(Hypotheses!$B$2/2))*Hypotheses!$B$7</f>
        <v/>
      </c>
      <c r="O30">
        <f>L30*N30/1000</f>
        <v/>
      </c>
      <c r="P30">
        <f>Reformes!V30</f>
        <v/>
      </c>
      <c r="Q30">
        <f>IF(Reformes!G30=1,Reformes!R30*IF(I30&gt;0,L30/I30,0),Reformes!R30)</f>
        <v/>
      </c>
      <c r="R30">
        <f>Reformes!Z30</f>
        <v/>
      </c>
      <c r="S30">
        <f>O30+P30-Q30+R30</f>
        <v/>
      </c>
      <c r="T30">
        <f>O30*Hypotheses!$B$4+P30-Q30+R30</f>
        <v/>
      </c>
      <c r="U30">
        <f>Reformes!N30*Hypotheses!$B$8</f>
        <v/>
      </c>
    </row>
    <row r="31">
      <c r="A31">
        <f>Reformes!A31</f>
        <v/>
      </c>
      <c r="B31">
        <f>Reformes!C31</f>
        <v/>
      </c>
      <c r="C31">
        <f>Reformes!D31</f>
        <v/>
      </c>
      <c r="D31">
        <f>VLOOKUP(B31,Viviers!$A$2:$I$9,3,FALSE)</f>
        <v/>
      </c>
      <c r="E31">
        <f>VLOOKUP(B31,Viviers!$A$2:$I$9,7,FALSE)</f>
        <v/>
      </c>
      <c r="F31">
        <f>MIN(1,Reformes!J31*Hypotheses!$B$5)</f>
        <v/>
      </c>
      <c r="G31">
        <f>IF(B31=B30,G30+H30,0)</f>
        <v/>
      </c>
      <c r="H31">
        <f>MAX(0,MIN(F31*(D31-G31),E31*D31-G31))</f>
        <v/>
      </c>
      <c r="I31">
        <f>H31*Reformes!E31</f>
        <v/>
      </c>
      <c r="J31">
        <f>VLOOKUP(B31,Viviers!$A$2:$I$9,9,FALSE)</f>
        <v/>
      </c>
      <c r="K31">
        <f>IF(B31=B30,K30+L30,0)</f>
        <v/>
      </c>
      <c r="L31">
        <f>MIN(I31,MAX(0,J31-K31))</f>
        <v/>
      </c>
      <c r="M31">
        <f>H31*Reformes!F31</f>
        <v/>
      </c>
      <c r="N31">
        <f>MIN(VLOOKUP(VLOOKUP(B31,Viviers!$A$2:$I$9,2,FALSE),Hypotheses!$A$11:$C$15,3,FALSE),VLOOKUP(VLOOKUP(B31,Viviers!$A$2:$I$9,2,FALSE),Hypotheses!$A$11:$C$15,2,FALSE)*(1+Hypotheses!$B$3)^(Hypotheses!$B$2/2))*Hypotheses!$B$7</f>
        <v/>
      </c>
      <c r="O31">
        <f>L31*N31/1000</f>
        <v/>
      </c>
      <c r="P31">
        <f>Reformes!V31</f>
        <v/>
      </c>
      <c r="Q31">
        <f>IF(Reformes!G31=1,Reformes!R31*IF(I31&gt;0,L31/I31,0),Reformes!R31)</f>
        <v/>
      </c>
      <c r="R31">
        <f>Reformes!Z31</f>
        <v/>
      </c>
      <c r="S31">
        <f>O31+P31-Q31+R31</f>
        <v/>
      </c>
      <c r="T31">
        <f>O31*Hypotheses!$B$4+P31-Q31+R31</f>
        <v/>
      </c>
      <c r="U31">
        <f>Reformes!N31*Hypotheses!$B$8</f>
        <v/>
      </c>
    </row>
    <row r="32">
      <c r="A32" s="1" t="inlineStr">
        <is>
          <t>Total</t>
        </is>
      </c>
      <c r="H32" s="1">
        <f>SUM(H2:H31)</f>
        <v/>
      </c>
      <c r="L32" s="1">
        <f>SUM(L2:L31)</f>
        <v/>
      </c>
      <c r="M32" s="1">
        <f>SUM(M2:M31)</f>
        <v/>
      </c>
      <c r="O32" s="1">
        <f>SUM(O2:O31)</f>
        <v/>
      </c>
      <c r="P32" s="1">
        <f>SUM(P2:P31)</f>
        <v/>
      </c>
      <c r="Q32" s="1">
        <f>SUM(Q2:Q31)</f>
        <v/>
      </c>
      <c r="R32" s="1">
        <f>SUM(R2:R31)</f>
        <v/>
      </c>
      <c r="S32" s="1">
        <f>SUM(S2:S31)</f>
        <v/>
      </c>
      <c r="T32" s="1">
        <f>SUM(T2:T31)</f>
        <v/>
      </c>
      <c r="U32" s="1">
        <f>SUM(U2:U31)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3" t="inlineStr">
        <is>
          <t>id</t>
        </is>
      </c>
      <c r="B1" s="3" t="inlineStr">
        <is>
          <t>vivier</t>
        </is>
      </c>
      <c r="C1" s="3" t="inlineStr">
        <is>
          <t>ordre</t>
        </is>
      </c>
      <c r="D1" s="3" t="inlineStr">
        <is>
          <t>base ETP</t>
        </is>
      </c>
      <c r="E1" s="3" t="inlineStr">
        <is>
          <t>plafond</t>
        </is>
      </c>
      <c r="F1" s="3" t="inlineStr">
        <is>
          <t>taux effectif</t>
        </is>
      </c>
      <c r="G1" s="3" t="inlineStr">
        <is>
          <t>cumul cibles précédentes</t>
        </is>
      </c>
      <c r="H1" s="3" t="inlineStr">
        <is>
          <t>cible ETP</t>
        </is>
      </c>
      <c r="I1" s="3" t="inlineStr">
        <is>
          <t>non-remplacement demandé</t>
        </is>
      </c>
      <c r="J1" s="3" t="inlineStr">
        <is>
          <t>capacité départs vivier</t>
        </is>
      </c>
      <c r="K1" s="3" t="inlineStr">
        <is>
          <t>cumul NR précédents</t>
        </is>
      </c>
      <c r="L1" s="3" t="inlineStr">
        <is>
          <t>NR réalisé</t>
        </is>
      </c>
      <c r="M1" s="3" t="inlineStr">
        <is>
          <t>redéployés</t>
        </is>
      </c>
      <c r="N1" s="3" t="inlineStr">
        <is>
          <t>coût unitaire (k€)</t>
        </is>
      </c>
      <c r="O1" s="3" t="inlineStr">
        <is>
          <t>économie salariale RP (M€)</t>
        </is>
      </c>
      <c r="P1" s="3" t="inlineStr">
        <is>
          <t>éco. fonctionnement (M€)</t>
        </is>
      </c>
      <c r="Q1" s="3" t="inlineStr">
        <is>
          <t>coût récurrent (M€)</t>
        </is>
      </c>
      <c r="R1" s="3" t="inlineStr">
        <is>
          <t>recettes (M€)</t>
        </is>
      </c>
      <c r="S1" s="3" t="inlineStr">
        <is>
          <t>net RP (M€)</t>
        </is>
      </c>
      <c r="T1" s="3" t="inlineStr">
        <is>
          <t>consolidé APU RP (M€)</t>
        </is>
      </c>
      <c r="U1" s="3" t="inlineStr">
        <is>
          <t>investissement (M€)</t>
        </is>
      </c>
    </row>
    <row r="2">
      <c r="A2">
        <f>Reformes!A2</f>
        <v/>
      </c>
      <c r="B2">
        <f>Reformes!C2</f>
        <v/>
      </c>
      <c r="C2">
        <f>Reformes!D2</f>
        <v/>
      </c>
      <c r="D2">
        <f>VLOOKUP(B2,Viviers!$A$2:$I$9,3,FALSE)</f>
        <v/>
      </c>
      <c r="E2">
        <f>VLOOKUP(B2,Viviers!$A$2:$I$9,8,FALSE)</f>
        <v/>
      </c>
      <c r="F2">
        <f>MIN(1,Reformes!K2*Hypotheses!$B$5)</f>
        <v/>
      </c>
      <c r="G2">
        <f>0</f>
        <v/>
      </c>
      <c r="H2">
        <f>MAX(0,MIN(F2*(D2-G2),E2*D2-G2))</f>
        <v/>
      </c>
      <c r="I2">
        <f>H2*Reformes!E2</f>
        <v/>
      </c>
      <c r="J2">
        <f>VLOOKUP(B2,Viviers!$A$2:$I$9,9,FALSE)</f>
        <v/>
      </c>
      <c r="K2">
        <f>0</f>
        <v/>
      </c>
      <c r="L2">
        <f>MIN(I2,MAX(0,J2-K2))</f>
        <v/>
      </c>
      <c r="M2">
        <f>H2*Reformes!F2</f>
        <v/>
      </c>
      <c r="N2">
        <f>MIN(VLOOKUP(VLOOKUP(B2,Viviers!$A$2:$I$9,2,FALSE),Hypotheses!$A$11:$C$15,3,FALSE),VLOOKUP(VLOOKUP(B2,Viviers!$A$2:$I$9,2,FALSE),Hypotheses!$A$11:$C$15,2,FALSE)*(1+Hypotheses!$B$3)^(Hypotheses!$B$2/2))*Hypotheses!$B$7</f>
        <v/>
      </c>
      <c r="O2">
        <f>L2*N2/1000</f>
        <v/>
      </c>
      <c r="P2">
        <f>Reformes!W2</f>
        <v/>
      </c>
      <c r="Q2">
        <f>IF(Reformes!G2=1,Reformes!S2*IF(I2&gt;0,L2/I2,0),Reformes!S2)</f>
        <v/>
      </c>
      <c r="R2">
        <f>Reformes!AA2</f>
        <v/>
      </c>
      <c r="S2">
        <f>O2+P2-Q2+R2</f>
        <v/>
      </c>
      <c r="T2">
        <f>O2*Hypotheses!$B$4+P2-Q2+R2</f>
        <v/>
      </c>
      <c r="U2">
        <f>Reformes!O2*Hypotheses!$B$8</f>
        <v/>
      </c>
    </row>
    <row r="3">
      <c r="A3">
        <f>Reformes!A3</f>
        <v/>
      </c>
      <c r="B3">
        <f>Reformes!C3</f>
        <v/>
      </c>
      <c r="C3">
        <f>Reformes!D3</f>
        <v/>
      </c>
      <c r="D3">
        <f>VLOOKUP(B3,Viviers!$A$2:$I$9,3,FALSE)</f>
        <v/>
      </c>
      <c r="E3">
        <f>VLOOKUP(B3,Viviers!$A$2:$I$9,8,FALSE)</f>
        <v/>
      </c>
      <c r="F3">
        <f>MIN(1,Reformes!K3*Hypotheses!$B$5)</f>
        <v/>
      </c>
      <c r="G3">
        <f>IF(B3=B2,G2+H2,0)</f>
        <v/>
      </c>
      <c r="H3">
        <f>MAX(0,MIN(F3*(D3-G3),E3*D3-G3))</f>
        <v/>
      </c>
      <c r="I3">
        <f>H3*Reformes!E3</f>
        <v/>
      </c>
      <c r="J3">
        <f>VLOOKUP(B3,Viviers!$A$2:$I$9,9,FALSE)</f>
        <v/>
      </c>
      <c r="K3">
        <f>IF(B3=B2,K2+L2,0)</f>
        <v/>
      </c>
      <c r="L3">
        <f>MIN(I3,MAX(0,J3-K3))</f>
        <v/>
      </c>
      <c r="M3">
        <f>H3*Reformes!F3</f>
        <v/>
      </c>
      <c r="N3">
        <f>MIN(VLOOKUP(VLOOKUP(B3,Viviers!$A$2:$I$9,2,FALSE),Hypotheses!$A$11:$C$15,3,FALSE),VLOOKUP(VLOOKUP(B3,Viviers!$A$2:$I$9,2,FALSE),Hypotheses!$A$11:$C$15,2,FALSE)*(1+Hypotheses!$B$3)^(Hypotheses!$B$2/2))*Hypotheses!$B$7</f>
        <v/>
      </c>
      <c r="O3">
        <f>L3*N3/1000</f>
        <v/>
      </c>
      <c r="P3">
        <f>Reformes!W3</f>
        <v/>
      </c>
      <c r="Q3">
        <f>IF(Reformes!G3=1,Reformes!S3*IF(I3&gt;0,L3/I3,0),Reformes!S3)</f>
        <v/>
      </c>
      <c r="R3">
        <f>Reformes!AA3</f>
        <v/>
      </c>
      <c r="S3">
        <f>O3+P3-Q3+R3</f>
        <v/>
      </c>
      <c r="T3">
        <f>O3*Hypotheses!$B$4+P3-Q3+R3</f>
        <v/>
      </c>
      <c r="U3">
        <f>Reformes!O3*Hypotheses!$B$8</f>
        <v/>
      </c>
    </row>
    <row r="4">
      <c r="A4">
        <f>Reformes!A4</f>
        <v/>
      </c>
      <c r="B4">
        <f>Reformes!C4</f>
        <v/>
      </c>
      <c r="C4">
        <f>Reformes!D4</f>
        <v/>
      </c>
      <c r="D4">
        <f>VLOOKUP(B4,Viviers!$A$2:$I$9,3,FALSE)</f>
        <v/>
      </c>
      <c r="E4">
        <f>VLOOKUP(B4,Viviers!$A$2:$I$9,8,FALSE)</f>
        <v/>
      </c>
      <c r="F4">
        <f>MIN(1,Reformes!K4*Hypotheses!$B$5)</f>
        <v/>
      </c>
      <c r="G4">
        <f>IF(B4=B3,G3+H3,0)</f>
        <v/>
      </c>
      <c r="H4">
        <f>MAX(0,MIN(F4*(D4-G4),E4*D4-G4))</f>
        <v/>
      </c>
      <c r="I4">
        <f>H4*Reformes!E4</f>
        <v/>
      </c>
      <c r="J4">
        <f>VLOOKUP(B4,Viviers!$A$2:$I$9,9,FALSE)</f>
        <v/>
      </c>
      <c r="K4">
        <f>IF(B4=B3,K3+L3,0)</f>
        <v/>
      </c>
      <c r="L4">
        <f>MIN(I4,MAX(0,J4-K4))</f>
        <v/>
      </c>
      <c r="M4">
        <f>H4*Reformes!F4</f>
        <v/>
      </c>
      <c r="N4">
        <f>MIN(VLOOKUP(VLOOKUP(B4,Viviers!$A$2:$I$9,2,FALSE),Hypotheses!$A$11:$C$15,3,FALSE),VLOOKUP(VLOOKUP(B4,Viviers!$A$2:$I$9,2,FALSE),Hypotheses!$A$11:$C$15,2,FALSE)*(1+Hypotheses!$B$3)^(Hypotheses!$B$2/2))*Hypotheses!$B$7</f>
        <v/>
      </c>
      <c r="O4">
        <f>L4*N4/1000</f>
        <v/>
      </c>
      <c r="P4">
        <f>Reformes!W4</f>
        <v/>
      </c>
      <c r="Q4">
        <f>IF(Reformes!G4=1,Reformes!S4*IF(I4&gt;0,L4/I4,0),Reformes!S4)</f>
        <v/>
      </c>
      <c r="R4">
        <f>Reformes!AA4</f>
        <v/>
      </c>
      <c r="S4">
        <f>O4+P4-Q4+R4</f>
        <v/>
      </c>
      <c r="T4">
        <f>O4*Hypotheses!$B$4+P4-Q4+R4</f>
        <v/>
      </c>
      <c r="U4">
        <f>Reformes!O4*Hypotheses!$B$8</f>
        <v/>
      </c>
    </row>
    <row r="5">
      <c r="A5">
        <f>Reformes!A5</f>
        <v/>
      </c>
      <c r="B5">
        <f>Reformes!C5</f>
        <v/>
      </c>
      <c r="C5">
        <f>Reformes!D5</f>
        <v/>
      </c>
      <c r="D5">
        <f>VLOOKUP(B5,Viviers!$A$2:$I$9,3,FALSE)</f>
        <v/>
      </c>
      <c r="E5">
        <f>VLOOKUP(B5,Viviers!$A$2:$I$9,8,FALSE)</f>
        <v/>
      </c>
      <c r="F5">
        <f>MIN(1,Reformes!K5*Hypotheses!$B$5)</f>
        <v/>
      </c>
      <c r="G5">
        <f>IF(B5=B4,G4+H4,0)</f>
        <v/>
      </c>
      <c r="H5">
        <f>MAX(0,MIN(F5*(D5-G5),E5*D5-G5))</f>
        <v/>
      </c>
      <c r="I5">
        <f>H5*Reformes!E5</f>
        <v/>
      </c>
      <c r="J5">
        <f>VLOOKUP(B5,Viviers!$A$2:$I$9,9,FALSE)</f>
        <v/>
      </c>
      <c r="K5">
        <f>IF(B5=B4,K4+L4,0)</f>
        <v/>
      </c>
      <c r="L5">
        <f>MIN(I5,MAX(0,J5-K5))</f>
        <v/>
      </c>
      <c r="M5">
        <f>H5*Reformes!F5</f>
        <v/>
      </c>
      <c r="N5">
        <f>MIN(VLOOKUP(VLOOKUP(B5,Viviers!$A$2:$I$9,2,FALSE),Hypotheses!$A$11:$C$15,3,FALSE),VLOOKUP(VLOOKUP(B5,Viviers!$A$2:$I$9,2,FALSE),Hypotheses!$A$11:$C$15,2,FALSE)*(1+Hypotheses!$B$3)^(Hypotheses!$B$2/2))*Hypotheses!$B$7</f>
        <v/>
      </c>
      <c r="O5">
        <f>L5*N5/1000</f>
        <v/>
      </c>
      <c r="P5">
        <f>Reformes!W5</f>
        <v/>
      </c>
      <c r="Q5">
        <f>IF(Reformes!G5=1,Reformes!S5*IF(I5&gt;0,L5/I5,0),Reformes!S5)</f>
        <v/>
      </c>
      <c r="R5">
        <f>Reformes!AA5</f>
        <v/>
      </c>
      <c r="S5">
        <f>O5+P5-Q5+R5</f>
        <v/>
      </c>
      <c r="T5">
        <f>O5*Hypotheses!$B$4+P5-Q5+R5</f>
        <v/>
      </c>
      <c r="U5">
        <f>Reformes!O5*Hypotheses!$B$8</f>
        <v/>
      </c>
    </row>
    <row r="6">
      <c r="A6">
        <f>Reformes!A6</f>
        <v/>
      </c>
      <c r="B6">
        <f>Reformes!C6</f>
        <v/>
      </c>
      <c r="C6">
        <f>Reformes!D6</f>
        <v/>
      </c>
      <c r="D6">
        <f>VLOOKUP(B6,Viviers!$A$2:$I$9,3,FALSE)</f>
        <v/>
      </c>
      <c r="E6">
        <f>VLOOKUP(B6,Viviers!$A$2:$I$9,8,FALSE)</f>
        <v/>
      </c>
      <c r="F6">
        <f>MIN(1,Reformes!K6*Hypotheses!$B$5)</f>
        <v/>
      </c>
      <c r="G6">
        <f>IF(B6=B5,G5+H5,0)</f>
        <v/>
      </c>
      <c r="H6">
        <f>MAX(0,MIN(F6*(D6-G6),E6*D6-G6))</f>
        <v/>
      </c>
      <c r="I6">
        <f>H6*Reformes!E6</f>
        <v/>
      </c>
      <c r="J6">
        <f>VLOOKUP(B6,Viviers!$A$2:$I$9,9,FALSE)</f>
        <v/>
      </c>
      <c r="K6">
        <f>IF(B6=B5,K5+L5,0)</f>
        <v/>
      </c>
      <c r="L6">
        <f>MIN(I6,MAX(0,J6-K6))</f>
        <v/>
      </c>
      <c r="M6">
        <f>H6*Reformes!F6</f>
        <v/>
      </c>
      <c r="N6">
        <f>MIN(VLOOKUP(VLOOKUP(B6,Viviers!$A$2:$I$9,2,FALSE),Hypotheses!$A$11:$C$15,3,FALSE),VLOOKUP(VLOOKUP(B6,Viviers!$A$2:$I$9,2,FALSE),Hypotheses!$A$11:$C$15,2,FALSE)*(1+Hypotheses!$B$3)^(Hypotheses!$B$2/2))*Hypotheses!$B$7</f>
        <v/>
      </c>
      <c r="O6">
        <f>L6*N6/1000</f>
        <v/>
      </c>
      <c r="P6">
        <f>Reformes!W6</f>
        <v/>
      </c>
      <c r="Q6">
        <f>IF(Reformes!G6=1,Reformes!S6*IF(I6&gt;0,L6/I6,0),Reformes!S6)</f>
        <v/>
      </c>
      <c r="R6">
        <f>Reformes!AA6</f>
        <v/>
      </c>
      <c r="S6">
        <f>O6+P6-Q6+R6</f>
        <v/>
      </c>
      <c r="T6">
        <f>O6*Hypotheses!$B$4+P6-Q6+R6</f>
        <v/>
      </c>
      <c r="U6">
        <f>Reformes!O6*Hypotheses!$B$8</f>
        <v/>
      </c>
    </row>
    <row r="7">
      <c r="A7">
        <f>Reformes!A7</f>
        <v/>
      </c>
      <c r="B7">
        <f>Reformes!C7</f>
        <v/>
      </c>
      <c r="C7">
        <f>Reformes!D7</f>
        <v/>
      </c>
      <c r="D7">
        <f>VLOOKUP(B7,Viviers!$A$2:$I$9,3,FALSE)</f>
        <v/>
      </c>
      <c r="E7">
        <f>VLOOKUP(B7,Viviers!$A$2:$I$9,8,FALSE)</f>
        <v/>
      </c>
      <c r="F7">
        <f>MIN(1,Reformes!K7*Hypotheses!$B$5)</f>
        <v/>
      </c>
      <c r="G7">
        <f>IF(B7=B6,G6+H6,0)</f>
        <v/>
      </c>
      <c r="H7">
        <f>MAX(0,MIN(F7*(D7-G7),E7*D7-G7))</f>
        <v/>
      </c>
      <c r="I7">
        <f>H7*Reformes!E7</f>
        <v/>
      </c>
      <c r="J7">
        <f>VLOOKUP(B7,Viviers!$A$2:$I$9,9,FALSE)</f>
        <v/>
      </c>
      <c r="K7">
        <f>IF(B7=B6,K6+L6,0)</f>
        <v/>
      </c>
      <c r="L7">
        <f>MIN(I7,MAX(0,J7-K7))</f>
        <v/>
      </c>
      <c r="M7">
        <f>H7*Reformes!F7</f>
        <v/>
      </c>
      <c r="N7">
        <f>MIN(VLOOKUP(VLOOKUP(B7,Viviers!$A$2:$I$9,2,FALSE),Hypotheses!$A$11:$C$15,3,FALSE),VLOOKUP(VLOOKUP(B7,Viviers!$A$2:$I$9,2,FALSE),Hypotheses!$A$11:$C$15,2,FALSE)*(1+Hypotheses!$B$3)^(Hypotheses!$B$2/2))*Hypotheses!$B$7</f>
        <v/>
      </c>
      <c r="O7">
        <f>L7*N7/1000</f>
        <v/>
      </c>
      <c r="P7">
        <f>Reformes!W7</f>
        <v/>
      </c>
      <c r="Q7">
        <f>IF(Reformes!G7=1,Reformes!S7*IF(I7&gt;0,L7/I7,0),Reformes!S7)</f>
        <v/>
      </c>
      <c r="R7">
        <f>Reformes!AA7</f>
        <v/>
      </c>
      <c r="S7">
        <f>O7+P7-Q7+R7</f>
        <v/>
      </c>
      <c r="T7">
        <f>O7*Hypotheses!$B$4+P7-Q7+R7</f>
        <v/>
      </c>
      <c r="U7">
        <f>Reformes!O7*Hypotheses!$B$8</f>
        <v/>
      </c>
    </row>
    <row r="8">
      <c r="A8">
        <f>Reformes!A8</f>
        <v/>
      </c>
      <c r="B8">
        <f>Reformes!C8</f>
        <v/>
      </c>
      <c r="C8">
        <f>Reformes!D8</f>
        <v/>
      </c>
      <c r="D8">
        <f>VLOOKUP(B8,Viviers!$A$2:$I$9,3,FALSE)</f>
        <v/>
      </c>
      <c r="E8">
        <f>VLOOKUP(B8,Viviers!$A$2:$I$9,8,FALSE)</f>
        <v/>
      </c>
      <c r="F8">
        <f>MIN(1,Reformes!K8*Hypotheses!$B$5)</f>
        <v/>
      </c>
      <c r="G8">
        <f>IF(B8=B7,G7+H7,0)</f>
        <v/>
      </c>
      <c r="H8">
        <f>MAX(0,MIN(F8*(D8-G8),E8*D8-G8))</f>
        <v/>
      </c>
      <c r="I8">
        <f>H8*Reformes!E8</f>
        <v/>
      </c>
      <c r="J8">
        <f>VLOOKUP(B8,Viviers!$A$2:$I$9,9,FALSE)</f>
        <v/>
      </c>
      <c r="K8">
        <f>IF(B8=B7,K7+L7,0)</f>
        <v/>
      </c>
      <c r="L8">
        <f>MIN(I8,MAX(0,J8-K8))</f>
        <v/>
      </c>
      <c r="M8">
        <f>H8*Reformes!F8</f>
        <v/>
      </c>
      <c r="N8">
        <f>MIN(VLOOKUP(VLOOKUP(B8,Viviers!$A$2:$I$9,2,FALSE),Hypotheses!$A$11:$C$15,3,FALSE),VLOOKUP(VLOOKUP(B8,Viviers!$A$2:$I$9,2,FALSE),Hypotheses!$A$11:$C$15,2,FALSE)*(1+Hypotheses!$B$3)^(Hypotheses!$B$2/2))*Hypotheses!$B$7</f>
        <v/>
      </c>
      <c r="O8">
        <f>L8*N8/1000</f>
        <v/>
      </c>
      <c r="P8">
        <f>Reformes!W8</f>
        <v/>
      </c>
      <c r="Q8">
        <f>IF(Reformes!G8=1,Reformes!S8*IF(I8&gt;0,L8/I8,0),Reformes!S8)</f>
        <v/>
      </c>
      <c r="R8">
        <f>Reformes!AA8</f>
        <v/>
      </c>
      <c r="S8">
        <f>O8+P8-Q8+R8</f>
        <v/>
      </c>
      <c r="T8">
        <f>O8*Hypotheses!$B$4+P8-Q8+R8</f>
        <v/>
      </c>
      <c r="U8">
        <f>Reformes!O8*Hypotheses!$B$8</f>
        <v/>
      </c>
    </row>
    <row r="9">
      <c r="A9">
        <f>Reformes!A9</f>
        <v/>
      </c>
      <c r="B9">
        <f>Reformes!C9</f>
        <v/>
      </c>
      <c r="C9">
        <f>Reformes!D9</f>
        <v/>
      </c>
      <c r="D9">
        <f>VLOOKUP(B9,Viviers!$A$2:$I$9,3,FALSE)</f>
        <v/>
      </c>
      <c r="E9">
        <f>VLOOKUP(B9,Viviers!$A$2:$I$9,8,FALSE)</f>
        <v/>
      </c>
      <c r="F9">
        <f>MIN(1,Reformes!K9*Hypotheses!$B$5)</f>
        <v/>
      </c>
      <c r="G9">
        <f>IF(B9=B8,G8+H8,0)</f>
        <v/>
      </c>
      <c r="H9">
        <f>MAX(0,MIN(F9*(D9-G9),E9*D9-G9))</f>
        <v/>
      </c>
      <c r="I9">
        <f>H9*Reformes!E9</f>
        <v/>
      </c>
      <c r="J9">
        <f>VLOOKUP(B9,Viviers!$A$2:$I$9,9,FALSE)</f>
        <v/>
      </c>
      <c r="K9">
        <f>IF(B9=B8,K8+L8,0)</f>
        <v/>
      </c>
      <c r="L9">
        <f>MIN(I9,MAX(0,J9-K9))</f>
        <v/>
      </c>
      <c r="M9">
        <f>H9*Reformes!F9</f>
        <v/>
      </c>
      <c r="N9">
        <f>MIN(VLOOKUP(VLOOKUP(B9,Viviers!$A$2:$I$9,2,FALSE),Hypotheses!$A$11:$C$15,3,FALSE),VLOOKUP(VLOOKUP(B9,Viviers!$A$2:$I$9,2,FALSE),Hypotheses!$A$11:$C$15,2,FALSE)*(1+Hypotheses!$B$3)^(Hypotheses!$B$2/2))*Hypotheses!$B$7</f>
        <v/>
      </c>
      <c r="O9">
        <f>L9*N9/1000</f>
        <v/>
      </c>
      <c r="P9">
        <f>Reformes!W9</f>
        <v/>
      </c>
      <c r="Q9">
        <f>IF(Reformes!G9=1,Reformes!S9*IF(I9&gt;0,L9/I9,0),Reformes!S9)</f>
        <v/>
      </c>
      <c r="R9">
        <f>Reformes!AA9</f>
        <v/>
      </c>
      <c r="S9">
        <f>O9+P9-Q9+R9</f>
        <v/>
      </c>
      <c r="T9">
        <f>O9*Hypotheses!$B$4+P9-Q9+R9</f>
        <v/>
      </c>
      <c r="U9">
        <f>Reformes!O9*Hypotheses!$B$8</f>
        <v/>
      </c>
    </row>
    <row r="10">
      <c r="A10">
        <f>Reformes!A10</f>
        <v/>
      </c>
      <c r="B10">
        <f>Reformes!C10</f>
        <v/>
      </c>
      <c r="C10">
        <f>Reformes!D10</f>
        <v/>
      </c>
      <c r="D10">
        <f>VLOOKUP(B10,Viviers!$A$2:$I$9,3,FALSE)</f>
        <v/>
      </c>
      <c r="E10">
        <f>VLOOKUP(B10,Viviers!$A$2:$I$9,8,FALSE)</f>
        <v/>
      </c>
      <c r="F10">
        <f>MIN(1,Reformes!K10*Hypotheses!$B$5)</f>
        <v/>
      </c>
      <c r="G10">
        <f>IF(B10=B9,G9+H9,0)</f>
        <v/>
      </c>
      <c r="H10">
        <f>MAX(0,MIN(F10*(D10-G10),E10*D10-G10))</f>
        <v/>
      </c>
      <c r="I10">
        <f>H10*Reformes!E10</f>
        <v/>
      </c>
      <c r="J10">
        <f>VLOOKUP(B10,Viviers!$A$2:$I$9,9,FALSE)</f>
        <v/>
      </c>
      <c r="K10">
        <f>IF(B10=B9,K9+L9,0)</f>
        <v/>
      </c>
      <c r="L10">
        <f>MIN(I10,MAX(0,J10-K10))</f>
        <v/>
      </c>
      <c r="M10">
        <f>H10*Reformes!F10</f>
        <v/>
      </c>
      <c r="N10">
        <f>MIN(VLOOKUP(VLOOKUP(B10,Viviers!$A$2:$I$9,2,FALSE),Hypotheses!$A$11:$C$15,3,FALSE),VLOOKUP(VLOOKUP(B10,Viviers!$A$2:$I$9,2,FALSE),Hypotheses!$A$11:$C$15,2,FALSE)*(1+Hypotheses!$B$3)^(Hypotheses!$B$2/2))*Hypotheses!$B$7</f>
        <v/>
      </c>
      <c r="O10">
        <f>L10*N10/1000</f>
        <v/>
      </c>
      <c r="P10">
        <f>Reformes!W10</f>
        <v/>
      </c>
      <c r="Q10">
        <f>IF(Reformes!G10=1,Reformes!S10*IF(I10&gt;0,L10/I10,0),Reformes!S10)</f>
        <v/>
      </c>
      <c r="R10">
        <f>Reformes!AA10</f>
        <v/>
      </c>
      <c r="S10">
        <f>O10+P10-Q10+R10</f>
        <v/>
      </c>
      <c r="T10">
        <f>O10*Hypotheses!$B$4+P10-Q10+R10</f>
        <v/>
      </c>
      <c r="U10">
        <f>Reformes!O10*Hypotheses!$B$8</f>
        <v/>
      </c>
    </row>
    <row r="11">
      <c r="A11">
        <f>Reformes!A11</f>
        <v/>
      </c>
      <c r="B11">
        <f>Reformes!C11</f>
        <v/>
      </c>
      <c r="C11">
        <f>Reformes!D11</f>
        <v/>
      </c>
      <c r="D11">
        <f>VLOOKUP(B11,Viviers!$A$2:$I$9,3,FALSE)</f>
        <v/>
      </c>
      <c r="E11">
        <f>VLOOKUP(B11,Viviers!$A$2:$I$9,8,FALSE)</f>
        <v/>
      </c>
      <c r="F11">
        <f>MIN(1,Reformes!K11*Hypotheses!$B$5)</f>
        <v/>
      </c>
      <c r="G11">
        <f>IF(B11=B10,G10+H10,0)</f>
        <v/>
      </c>
      <c r="H11">
        <f>MAX(0,MIN(F11*(D11-G11),E11*D11-G11))</f>
        <v/>
      </c>
      <c r="I11">
        <f>H11*Reformes!E11</f>
        <v/>
      </c>
      <c r="J11">
        <f>VLOOKUP(B11,Viviers!$A$2:$I$9,9,FALSE)</f>
        <v/>
      </c>
      <c r="K11">
        <f>IF(B11=B10,K10+L10,0)</f>
        <v/>
      </c>
      <c r="L11">
        <f>MIN(I11,MAX(0,J11-K11))</f>
        <v/>
      </c>
      <c r="M11">
        <f>H11*Reformes!F11</f>
        <v/>
      </c>
      <c r="N11">
        <f>MIN(VLOOKUP(VLOOKUP(B11,Viviers!$A$2:$I$9,2,FALSE),Hypotheses!$A$11:$C$15,3,FALSE),VLOOKUP(VLOOKUP(B11,Viviers!$A$2:$I$9,2,FALSE),Hypotheses!$A$11:$C$15,2,FALSE)*(1+Hypotheses!$B$3)^(Hypotheses!$B$2/2))*Hypotheses!$B$7</f>
        <v/>
      </c>
      <c r="O11">
        <f>L11*N11/1000</f>
        <v/>
      </c>
      <c r="P11">
        <f>Reformes!W11</f>
        <v/>
      </c>
      <c r="Q11">
        <f>IF(Reformes!G11=1,Reformes!S11*IF(I11&gt;0,L11/I11,0),Reformes!S11)</f>
        <v/>
      </c>
      <c r="R11">
        <f>Reformes!AA11</f>
        <v/>
      </c>
      <c r="S11">
        <f>O11+P11-Q11+R11</f>
        <v/>
      </c>
      <c r="T11">
        <f>O11*Hypotheses!$B$4+P11-Q11+R11</f>
        <v/>
      </c>
      <c r="U11">
        <f>Reformes!O11*Hypotheses!$B$8</f>
        <v/>
      </c>
    </row>
    <row r="12">
      <c r="A12">
        <f>Reformes!A12</f>
        <v/>
      </c>
      <c r="B12">
        <f>Reformes!C12</f>
        <v/>
      </c>
      <c r="C12">
        <f>Reformes!D12</f>
        <v/>
      </c>
      <c r="D12">
        <f>VLOOKUP(B12,Viviers!$A$2:$I$9,3,FALSE)</f>
        <v/>
      </c>
      <c r="E12">
        <f>VLOOKUP(B12,Viviers!$A$2:$I$9,8,FALSE)</f>
        <v/>
      </c>
      <c r="F12">
        <f>MIN(1,Reformes!K12*Hypotheses!$B$5)</f>
        <v/>
      </c>
      <c r="G12">
        <f>IF(B12=B11,G11+H11,0)</f>
        <v/>
      </c>
      <c r="H12">
        <f>MAX(0,MIN(F12*(D12-G12),E12*D12-G12))</f>
        <v/>
      </c>
      <c r="I12">
        <f>H12*Reformes!E12</f>
        <v/>
      </c>
      <c r="J12">
        <f>VLOOKUP(B12,Viviers!$A$2:$I$9,9,FALSE)</f>
        <v/>
      </c>
      <c r="K12">
        <f>IF(B12=B11,K11+L11,0)</f>
        <v/>
      </c>
      <c r="L12">
        <f>MIN(I12,MAX(0,J12-K12))</f>
        <v/>
      </c>
      <c r="M12">
        <f>H12*Reformes!F12</f>
        <v/>
      </c>
      <c r="N12">
        <f>MIN(VLOOKUP(VLOOKUP(B12,Viviers!$A$2:$I$9,2,FALSE),Hypotheses!$A$11:$C$15,3,FALSE),VLOOKUP(VLOOKUP(B12,Viviers!$A$2:$I$9,2,FALSE),Hypotheses!$A$11:$C$15,2,FALSE)*(1+Hypotheses!$B$3)^(Hypotheses!$B$2/2))*Hypotheses!$B$7</f>
        <v/>
      </c>
      <c r="O12">
        <f>L12*N12/1000</f>
        <v/>
      </c>
      <c r="P12">
        <f>Reformes!W12</f>
        <v/>
      </c>
      <c r="Q12">
        <f>IF(Reformes!G12=1,Reformes!S12*IF(I12&gt;0,L12/I12,0),Reformes!S12)</f>
        <v/>
      </c>
      <c r="R12">
        <f>Reformes!AA12</f>
        <v/>
      </c>
      <c r="S12">
        <f>O12+P12-Q12+R12</f>
        <v/>
      </c>
      <c r="T12">
        <f>O12*Hypotheses!$B$4+P12-Q12+R12</f>
        <v/>
      </c>
      <c r="U12">
        <f>Reformes!O12*Hypotheses!$B$8</f>
        <v/>
      </c>
    </row>
    <row r="13">
      <c r="A13">
        <f>Reformes!A13</f>
        <v/>
      </c>
      <c r="B13">
        <f>Reformes!C13</f>
        <v/>
      </c>
      <c r="C13">
        <f>Reformes!D13</f>
        <v/>
      </c>
      <c r="D13">
        <f>VLOOKUP(B13,Viviers!$A$2:$I$9,3,FALSE)</f>
        <v/>
      </c>
      <c r="E13">
        <f>VLOOKUP(B13,Viviers!$A$2:$I$9,8,FALSE)</f>
        <v/>
      </c>
      <c r="F13">
        <f>MIN(1,Reformes!K13*Hypotheses!$B$5)</f>
        <v/>
      </c>
      <c r="G13">
        <f>IF(B13=B12,G12+H12,0)</f>
        <v/>
      </c>
      <c r="H13">
        <f>MAX(0,MIN(F13*(D13-G13),E13*D13-G13))</f>
        <v/>
      </c>
      <c r="I13">
        <f>H13*Reformes!E13</f>
        <v/>
      </c>
      <c r="J13">
        <f>VLOOKUP(B13,Viviers!$A$2:$I$9,9,FALSE)</f>
        <v/>
      </c>
      <c r="K13">
        <f>IF(B13=B12,K12+L12,0)</f>
        <v/>
      </c>
      <c r="L13">
        <f>MIN(I13,MAX(0,J13-K13))</f>
        <v/>
      </c>
      <c r="M13">
        <f>H13*Reformes!F13</f>
        <v/>
      </c>
      <c r="N13">
        <f>MIN(VLOOKUP(VLOOKUP(B13,Viviers!$A$2:$I$9,2,FALSE),Hypotheses!$A$11:$C$15,3,FALSE),VLOOKUP(VLOOKUP(B13,Viviers!$A$2:$I$9,2,FALSE),Hypotheses!$A$11:$C$15,2,FALSE)*(1+Hypotheses!$B$3)^(Hypotheses!$B$2/2))*Hypotheses!$B$7</f>
        <v/>
      </c>
      <c r="O13">
        <f>L13*N13/1000</f>
        <v/>
      </c>
      <c r="P13">
        <f>Reformes!W13</f>
        <v/>
      </c>
      <c r="Q13">
        <f>IF(Reformes!G13=1,Reformes!S13*IF(I13&gt;0,L13/I13,0),Reformes!S13)</f>
        <v/>
      </c>
      <c r="R13">
        <f>Reformes!AA13</f>
        <v/>
      </c>
      <c r="S13">
        <f>O13+P13-Q13+R13</f>
        <v/>
      </c>
      <c r="T13">
        <f>O13*Hypotheses!$B$4+P13-Q13+R13</f>
        <v/>
      </c>
      <c r="U13">
        <f>Reformes!O13*Hypotheses!$B$8</f>
        <v/>
      </c>
    </row>
    <row r="14">
      <c r="A14">
        <f>Reformes!A14</f>
        <v/>
      </c>
      <c r="B14">
        <f>Reformes!C14</f>
        <v/>
      </c>
      <c r="C14">
        <f>Reformes!D14</f>
        <v/>
      </c>
      <c r="D14">
        <f>VLOOKUP(B14,Viviers!$A$2:$I$9,3,FALSE)</f>
        <v/>
      </c>
      <c r="E14">
        <f>VLOOKUP(B14,Viviers!$A$2:$I$9,8,FALSE)</f>
        <v/>
      </c>
      <c r="F14">
        <f>MIN(1,Reformes!K14*Hypotheses!$B$5)</f>
        <v/>
      </c>
      <c r="G14">
        <f>IF(B14=B13,G13+H13,0)</f>
        <v/>
      </c>
      <c r="H14">
        <f>MAX(0,MIN(F14*(D14-G14),E14*D14-G14))</f>
        <v/>
      </c>
      <c r="I14">
        <f>H14*Reformes!E14</f>
        <v/>
      </c>
      <c r="J14">
        <f>VLOOKUP(B14,Viviers!$A$2:$I$9,9,FALSE)</f>
        <v/>
      </c>
      <c r="K14">
        <f>IF(B14=B13,K13+L13,0)</f>
        <v/>
      </c>
      <c r="L14">
        <f>MIN(I14,MAX(0,J14-K14))</f>
        <v/>
      </c>
      <c r="M14">
        <f>H14*Reformes!F14</f>
        <v/>
      </c>
      <c r="N14">
        <f>MIN(VLOOKUP(VLOOKUP(B14,Viviers!$A$2:$I$9,2,FALSE),Hypotheses!$A$11:$C$15,3,FALSE),VLOOKUP(VLOOKUP(B14,Viviers!$A$2:$I$9,2,FALSE),Hypotheses!$A$11:$C$15,2,FALSE)*(1+Hypotheses!$B$3)^(Hypotheses!$B$2/2))*Hypotheses!$B$7</f>
        <v/>
      </c>
      <c r="O14">
        <f>L14*N14/1000</f>
        <v/>
      </c>
      <c r="P14">
        <f>Reformes!W14</f>
        <v/>
      </c>
      <c r="Q14">
        <f>IF(Reformes!G14=1,Reformes!S14*IF(I14&gt;0,L14/I14,0),Reformes!S14)</f>
        <v/>
      </c>
      <c r="R14">
        <f>Reformes!AA14</f>
        <v/>
      </c>
      <c r="S14">
        <f>O14+P14-Q14+R14</f>
        <v/>
      </c>
      <c r="T14">
        <f>O14*Hypotheses!$B$4+P14-Q14+R14</f>
        <v/>
      </c>
      <c r="U14">
        <f>Reformes!O14*Hypotheses!$B$8</f>
        <v/>
      </c>
    </row>
    <row r="15">
      <c r="A15">
        <f>Reformes!A15</f>
        <v/>
      </c>
      <c r="B15">
        <f>Reformes!C15</f>
        <v/>
      </c>
      <c r="C15">
        <f>Reformes!D15</f>
        <v/>
      </c>
      <c r="D15">
        <f>VLOOKUP(B15,Viviers!$A$2:$I$9,3,FALSE)</f>
        <v/>
      </c>
      <c r="E15">
        <f>VLOOKUP(B15,Viviers!$A$2:$I$9,8,FALSE)</f>
        <v/>
      </c>
      <c r="F15">
        <f>MIN(1,Reformes!K15*Hypotheses!$B$5)</f>
        <v/>
      </c>
      <c r="G15">
        <f>IF(B15=B14,G14+H14,0)</f>
        <v/>
      </c>
      <c r="H15">
        <f>MAX(0,MIN(F15*(D15-G15),E15*D15-G15))</f>
        <v/>
      </c>
      <c r="I15">
        <f>H15*Reformes!E15</f>
        <v/>
      </c>
      <c r="J15">
        <f>VLOOKUP(B15,Viviers!$A$2:$I$9,9,FALSE)</f>
        <v/>
      </c>
      <c r="K15">
        <f>IF(B15=B14,K14+L14,0)</f>
        <v/>
      </c>
      <c r="L15">
        <f>MIN(I15,MAX(0,J15-K15))</f>
        <v/>
      </c>
      <c r="M15">
        <f>H15*Reformes!F15</f>
        <v/>
      </c>
      <c r="N15">
        <f>MIN(VLOOKUP(VLOOKUP(B15,Viviers!$A$2:$I$9,2,FALSE),Hypotheses!$A$11:$C$15,3,FALSE),VLOOKUP(VLOOKUP(B15,Viviers!$A$2:$I$9,2,FALSE),Hypotheses!$A$11:$C$15,2,FALSE)*(1+Hypotheses!$B$3)^(Hypotheses!$B$2/2))*Hypotheses!$B$7</f>
        <v/>
      </c>
      <c r="O15">
        <f>L15*N15/1000</f>
        <v/>
      </c>
      <c r="P15">
        <f>Reformes!W15</f>
        <v/>
      </c>
      <c r="Q15">
        <f>IF(Reformes!G15=1,Reformes!S15*IF(I15&gt;0,L15/I15,0),Reformes!S15)</f>
        <v/>
      </c>
      <c r="R15">
        <f>Reformes!AA15</f>
        <v/>
      </c>
      <c r="S15">
        <f>O15+P15-Q15+R15</f>
        <v/>
      </c>
      <c r="T15">
        <f>O15*Hypotheses!$B$4+P15-Q15+R15</f>
        <v/>
      </c>
      <c r="U15">
        <f>Reformes!O15*Hypotheses!$B$8</f>
        <v/>
      </c>
    </row>
    <row r="16">
      <c r="A16">
        <f>Reformes!A16</f>
        <v/>
      </c>
      <c r="B16">
        <f>Reformes!C16</f>
        <v/>
      </c>
      <c r="C16">
        <f>Reformes!D16</f>
        <v/>
      </c>
      <c r="D16">
        <f>VLOOKUP(B16,Viviers!$A$2:$I$9,3,FALSE)</f>
        <v/>
      </c>
      <c r="E16">
        <f>VLOOKUP(B16,Viviers!$A$2:$I$9,8,FALSE)</f>
        <v/>
      </c>
      <c r="F16">
        <f>MIN(1,Reformes!K16*Hypotheses!$B$5)</f>
        <v/>
      </c>
      <c r="G16">
        <f>IF(B16=B15,G15+H15,0)</f>
        <v/>
      </c>
      <c r="H16">
        <f>MAX(0,MIN(F16*(D16-G16),E16*D16-G16))</f>
        <v/>
      </c>
      <c r="I16">
        <f>H16*Reformes!E16</f>
        <v/>
      </c>
      <c r="J16">
        <f>VLOOKUP(B16,Viviers!$A$2:$I$9,9,FALSE)</f>
        <v/>
      </c>
      <c r="K16">
        <f>IF(B16=B15,K15+L15,0)</f>
        <v/>
      </c>
      <c r="L16">
        <f>MIN(I16,MAX(0,J16-K16))</f>
        <v/>
      </c>
      <c r="M16">
        <f>H16*Reformes!F16</f>
        <v/>
      </c>
      <c r="N16">
        <f>MIN(VLOOKUP(VLOOKUP(B16,Viviers!$A$2:$I$9,2,FALSE),Hypotheses!$A$11:$C$15,3,FALSE),VLOOKUP(VLOOKUP(B16,Viviers!$A$2:$I$9,2,FALSE),Hypotheses!$A$11:$C$15,2,FALSE)*(1+Hypotheses!$B$3)^(Hypotheses!$B$2/2))*Hypotheses!$B$7</f>
        <v/>
      </c>
      <c r="O16">
        <f>L16*N16/1000</f>
        <v/>
      </c>
      <c r="P16">
        <f>Reformes!W16</f>
        <v/>
      </c>
      <c r="Q16">
        <f>IF(Reformes!G16=1,Reformes!S16*IF(I16&gt;0,L16/I16,0),Reformes!S16)</f>
        <v/>
      </c>
      <c r="R16">
        <f>Reformes!AA16</f>
        <v/>
      </c>
      <c r="S16">
        <f>O16+P16-Q16+R16</f>
        <v/>
      </c>
      <c r="T16">
        <f>O16*Hypotheses!$B$4+P16-Q16+R16</f>
        <v/>
      </c>
      <c r="U16">
        <f>Reformes!O16*Hypotheses!$B$8</f>
        <v/>
      </c>
    </row>
    <row r="17">
      <c r="A17">
        <f>Reformes!A17</f>
        <v/>
      </c>
      <c r="B17">
        <f>Reformes!C17</f>
        <v/>
      </c>
      <c r="C17">
        <f>Reformes!D17</f>
        <v/>
      </c>
      <c r="D17">
        <f>VLOOKUP(B17,Viviers!$A$2:$I$9,3,FALSE)</f>
        <v/>
      </c>
      <c r="E17">
        <f>VLOOKUP(B17,Viviers!$A$2:$I$9,8,FALSE)</f>
        <v/>
      </c>
      <c r="F17">
        <f>MIN(1,Reformes!K17*Hypotheses!$B$5)</f>
        <v/>
      </c>
      <c r="G17">
        <f>IF(B17=B16,G16+H16,0)</f>
        <v/>
      </c>
      <c r="H17">
        <f>MAX(0,MIN(F17*(D17-G17),E17*D17-G17))</f>
        <v/>
      </c>
      <c r="I17">
        <f>H17*Reformes!E17</f>
        <v/>
      </c>
      <c r="J17">
        <f>VLOOKUP(B17,Viviers!$A$2:$I$9,9,FALSE)</f>
        <v/>
      </c>
      <c r="K17">
        <f>IF(B17=B16,K16+L16,0)</f>
        <v/>
      </c>
      <c r="L17">
        <f>MIN(I17,MAX(0,J17-K17))</f>
        <v/>
      </c>
      <c r="M17">
        <f>H17*Reformes!F17</f>
        <v/>
      </c>
      <c r="N17">
        <f>MIN(VLOOKUP(VLOOKUP(B17,Viviers!$A$2:$I$9,2,FALSE),Hypotheses!$A$11:$C$15,3,FALSE),VLOOKUP(VLOOKUP(B17,Viviers!$A$2:$I$9,2,FALSE),Hypotheses!$A$11:$C$15,2,FALSE)*(1+Hypotheses!$B$3)^(Hypotheses!$B$2/2))*Hypotheses!$B$7</f>
        <v/>
      </c>
      <c r="O17">
        <f>L17*N17/1000</f>
        <v/>
      </c>
      <c r="P17">
        <f>Reformes!W17</f>
        <v/>
      </c>
      <c r="Q17">
        <f>IF(Reformes!G17=1,Reformes!S17*IF(I17&gt;0,L17/I17,0),Reformes!S17)</f>
        <v/>
      </c>
      <c r="R17">
        <f>Reformes!AA17</f>
        <v/>
      </c>
      <c r="S17">
        <f>O17+P17-Q17+R17</f>
        <v/>
      </c>
      <c r="T17">
        <f>O17*Hypotheses!$B$4+P17-Q17+R17</f>
        <v/>
      </c>
      <c r="U17">
        <f>Reformes!O17*Hypotheses!$B$8</f>
        <v/>
      </c>
    </row>
    <row r="18">
      <c r="A18">
        <f>Reformes!A18</f>
        <v/>
      </c>
      <c r="B18">
        <f>Reformes!C18</f>
        <v/>
      </c>
      <c r="C18">
        <f>Reformes!D18</f>
        <v/>
      </c>
      <c r="D18">
        <f>VLOOKUP(B18,Viviers!$A$2:$I$9,3,FALSE)</f>
        <v/>
      </c>
      <c r="E18">
        <f>VLOOKUP(B18,Viviers!$A$2:$I$9,8,FALSE)</f>
        <v/>
      </c>
      <c r="F18">
        <f>MIN(1,Reformes!K18*Hypotheses!$B$5)</f>
        <v/>
      </c>
      <c r="G18">
        <f>IF(B18=B17,G17+H17,0)</f>
        <v/>
      </c>
      <c r="H18">
        <f>MAX(0,MIN(F18*(D18-G18),E18*D18-G18))</f>
        <v/>
      </c>
      <c r="I18">
        <f>H18*Reformes!E18</f>
        <v/>
      </c>
      <c r="J18">
        <f>VLOOKUP(B18,Viviers!$A$2:$I$9,9,FALSE)</f>
        <v/>
      </c>
      <c r="K18">
        <f>IF(B18=B17,K17+L17,0)</f>
        <v/>
      </c>
      <c r="L18">
        <f>MIN(I18,MAX(0,J18-K18))</f>
        <v/>
      </c>
      <c r="M18">
        <f>H18*Reformes!F18</f>
        <v/>
      </c>
      <c r="N18">
        <f>MIN(VLOOKUP(VLOOKUP(B18,Viviers!$A$2:$I$9,2,FALSE),Hypotheses!$A$11:$C$15,3,FALSE),VLOOKUP(VLOOKUP(B18,Viviers!$A$2:$I$9,2,FALSE),Hypotheses!$A$11:$C$15,2,FALSE)*(1+Hypotheses!$B$3)^(Hypotheses!$B$2/2))*Hypotheses!$B$7</f>
        <v/>
      </c>
      <c r="O18">
        <f>L18*N18/1000</f>
        <v/>
      </c>
      <c r="P18">
        <f>Reformes!W18</f>
        <v/>
      </c>
      <c r="Q18">
        <f>IF(Reformes!G18=1,Reformes!S18*IF(I18&gt;0,L18/I18,0),Reformes!S18)</f>
        <v/>
      </c>
      <c r="R18">
        <f>Reformes!AA18</f>
        <v/>
      </c>
      <c r="S18">
        <f>O18+P18-Q18+R18</f>
        <v/>
      </c>
      <c r="T18">
        <f>O18*Hypotheses!$B$4+P18-Q18+R18</f>
        <v/>
      </c>
      <c r="U18">
        <f>Reformes!O18*Hypotheses!$B$8</f>
        <v/>
      </c>
    </row>
    <row r="19">
      <c r="A19">
        <f>Reformes!A19</f>
        <v/>
      </c>
      <c r="B19">
        <f>Reformes!C19</f>
        <v/>
      </c>
      <c r="C19">
        <f>Reformes!D19</f>
        <v/>
      </c>
      <c r="D19">
        <f>VLOOKUP(B19,Viviers!$A$2:$I$9,3,FALSE)</f>
        <v/>
      </c>
      <c r="E19">
        <f>VLOOKUP(B19,Viviers!$A$2:$I$9,8,FALSE)</f>
        <v/>
      </c>
      <c r="F19">
        <f>MIN(1,Reformes!K19*Hypotheses!$B$5)</f>
        <v/>
      </c>
      <c r="G19">
        <f>IF(B19=B18,G18+H18,0)</f>
        <v/>
      </c>
      <c r="H19">
        <f>MAX(0,MIN(F19*(D19-G19),E19*D19-G19))</f>
        <v/>
      </c>
      <c r="I19">
        <f>H19*Reformes!E19</f>
        <v/>
      </c>
      <c r="J19">
        <f>VLOOKUP(B19,Viviers!$A$2:$I$9,9,FALSE)</f>
        <v/>
      </c>
      <c r="K19">
        <f>IF(B19=B18,K18+L18,0)</f>
        <v/>
      </c>
      <c r="L19">
        <f>MIN(I19,MAX(0,J19-K19))</f>
        <v/>
      </c>
      <c r="M19">
        <f>H19*Reformes!F19</f>
        <v/>
      </c>
      <c r="N19">
        <f>MIN(VLOOKUP(VLOOKUP(B19,Viviers!$A$2:$I$9,2,FALSE),Hypotheses!$A$11:$C$15,3,FALSE),VLOOKUP(VLOOKUP(B19,Viviers!$A$2:$I$9,2,FALSE),Hypotheses!$A$11:$C$15,2,FALSE)*(1+Hypotheses!$B$3)^(Hypotheses!$B$2/2))*Hypotheses!$B$7</f>
        <v/>
      </c>
      <c r="O19">
        <f>L19*N19/1000</f>
        <v/>
      </c>
      <c r="P19">
        <f>Reformes!W19</f>
        <v/>
      </c>
      <c r="Q19">
        <f>IF(Reformes!G19=1,Reformes!S19*IF(I19&gt;0,L19/I19,0),Reformes!S19)</f>
        <v/>
      </c>
      <c r="R19">
        <f>Reformes!AA19</f>
        <v/>
      </c>
      <c r="S19">
        <f>O19+P19-Q19+R19</f>
        <v/>
      </c>
      <c r="T19">
        <f>O19*Hypotheses!$B$4+P19-Q19+R19</f>
        <v/>
      </c>
      <c r="U19">
        <f>Reformes!O19*Hypotheses!$B$8</f>
        <v/>
      </c>
    </row>
    <row r="20">
      <c r="A20">
        <f>Reformes!A20</f>
        <v/>
      </c>
      <c r="B20">
        <f>Reformes!C20</f>
        <v/>
      </c>
      <c r="C20">
        <f>Reformes!D20</f>
        <v/>
      </c>
      <c r="D20">
        <f>VLOOKUP(B20,Viviers!$A$2:$I$9,3,FALSE)</f>
        <v/>
      </c>
      <c r="E20">
        <f>VLOOKUP(B20,Viviers!$A$2:$I$9,8,FALSE)</f>
        <v/>
      </c>
      <c r="F20">
        <f>MIN(1,Reformes!K20*Hypotheses!$B$5)</f>
        <v/>
      </c>
      <c r="G20">
        <f>IF(B20=B19,G19+H19,0)</f>
        <v/>
      </c>
      <c r="H20">
        <f>MAX(0,MIN(F20*(D20-G20),E20*D20-G20))</f>
        <v/>
      </c>
      <c r="I20">
        <f>H20*Reformes!E20</f>
        <v/>
      </c>
      <c r="J20">
        <f>VLOOKUP(B20,Viviers!$A$2:$I$9,9,FALSE)</f>
        <v/>
      </c>
      <c r="K20">
        <f>IF(B20=B19,K19+L19,0)</f>
        <v/>
      </c>
      <c r="L20">
        <f>MIN(I20,MAX(0,J20-K20))</f>
        <v/>
      </c>
      <c r="M20">
        <f>H20*Reformes!F20</f>
        <v/>
      </c>
      <c r="N20">
        <f>MIN(VLOOKUP(VLOOKUP(B20,Viviers!$A$2:$I$9,2,FALSE),Hypotheses!$A$11:$C$15,3,FALSE),VLOOKUP(VLOOKUP(B20,Viviers!$A$2:$I$9,2,FALSE),Hypotheses!$A$11:$C$15,2,FALSE)*(1+Hypotheses!$B$3)^(Hypotheses!$B$2/2))*Hypotheses!$B$7</f>
        <v/>
      </c>
      <c r="O20">
        <f>L20*N20/1000</f>
        <v/>
      </c>
      <c r="P20">
        <f>Reformes!W20</f>
        <v/>
      </c>
      <c r="Q20">
        <f>IF(Reformes!G20=1,Reformes!S20*IF(I20&gt;0,L20/I20,0),Reformes!S20)</f>
        <v/>
      </c>
      <c r="R20">
        <f>Reformes!AA20</f>
        <v/>
      </c>
      <c r="S20">
        <f>O20+P20-Q20+R20</f>
        <v/>
      </c>
      <c r="T20">
        <f>O20*Hypotheses!$B$4+P20-Q20+R20</f>
        <v/>
      </c>
      <c r="U20">
        <f>Reformes!O20*Hypotheses!$B$8</f>
        <v/>
      </c>
    </row>
    <row r="21">
      <c r="A21">
        <f>Reformes!A21</f>
        <v/>
      </c>
      <c r="B21">
        <f>Reformes!C21</f>
        <v/>
      </c>
      <c r="C21">
        <f>Reformes!D21</f>
        <v/>
      </c>
      <c r="D21">
        <f>VLOOKUP(B21,Viviers!$A$2:$I$9,3,FALSE)</f>
        <v/>
      </c>
      <c r="E21">
        <f>VLOOKUP(B21,Viviers!$A$2:$I$9,8,FALSE)</f>
        <v/>
      </c>
      <c r="F21">
        <f>MIN(1,Reformes!K21*Hypotheses!$B$5)</f>
        <v/>
      </c>
      <c r="G21">
        <f>IF(B21=B20,G20+H20,0)</f>
        <v/>
      </c>
      <c r="H21">
        <f>MAX(0,MIN(F21*(D21-G21),E21*D21-G21))</f>
        <v/>
      </c>
      <c r="I21">
        <f>H21*Reformes!E21</f>
        <v/>
      </c>
      <c r="J21">
        <f>VLOOKUP(B21,Viviers!$A$2:$I$9,9,FALSE)</f>
        <v/>
      </c>
      <c r="K21">
        <f>IF(B21=B20,K20+L20,0)</f>
        <v/>
      </c>
      <c r="L21">
        <f>MIN(I21,MAX(0,J21-K21))</f>
        <v/>
      </c>
      <c r="M21">
        <f>H21*Reformes!F21</f>
        <v/>
      </c>
      <c r="N21">
        <f>MIN(VLOOKUP(VLOOKUP(B21,Viviers!$A$2:$I$9,2,FALSE),Hypotheses!$A$11:$C$15,3,FALSE),VLOOKUP(VLOOKUP(B21,Viviers!$A$2:$I$9,2,FALSE),Hypotheses!$A$11:$C$15,2,FALSE)*(1+Hypotheses!$B$3)^(Hypotheses!$B$2/2))*Hypotheses!$B$7</f>
        <v/>
      </c>
      <c r="O21">
        <f>L21*N21/1000</f>
        <v/>
      </c>
      <c r="P21">
        <f>Reformes!W21</f>
        <v/>
      </c>
      <c r="Q21">
        <f>IF(Reformes!G21=1,Reformes!S21*IF(I21&gt;0,L21/I21,0),Reformes!S21)</f>
        <v/>
      </c>
      <c r="R21">
        <f>Reformes!AA21</f>
        <v/>
      </c>
      <c r="S21">
        <f>O21+P21-Q21+R21</f>
        <v/>
      </c>
      <c r="T21">
        <f>O21*Hypotheses!$B$4+P21-Q21+R21</f>
        <v/>
      </c>
      <c r="U21">
        <f>Reformes!O21*Hypotheses!$B$8</f>
        <v/>
      </c>
    </row>
    <row r="22">
      <c r="A22">
        <f>Reformes!A22</f>
        <v/>
      </c>
      <c r="B22">
        <f>Reformes!C22</f>
        <v/>
      </c>
      <c r="C22">
        <f>Reformes!D22</f>
        <v/>
      </c>
      <c r="D22">
        <f>VLOOKUP(B22,Viviers!$A$2:$I$9,3,FALSE)</f>
        <v/>
      </c>
      <c r="E22">
        <f>VLOOKUP(B22,Viviers!$A$2:$I$9,8,FALSE)</f>
        <v/>
      </c>
      <c r="F22">
        <f>MIN(1,Reformes!K22*Hypotheses!$B$5)</f>
        <v/>
      </c>
      <c r="G22">
        <f>IF(B22=B21,G21+H21,0)</f>
        <v/>
      </c>
      <c r="H22">
        <f>MAX(0,MIN(F22*(D22-G22),E22*D22-G22))</f>
        <v/>
      </c>
      <c r="I22">
        <f>H22*Reformes!E22</f>
        <v/>
      </c>
      <c r="J22">
        <f>VLOOKUP(B22,Viviers!$A$2:$I$9,9,FALSE)</f>
        <v/>
      </c>
      <c r="K22">
        <f>IF(B22=B21,K21+L21,0)</f>
        <v/>
      </c>
      <c r="L22">
        <f>MIN(I22,MAX(0,J22-K22))</f>
        <v/>
      </c>
      <c r="M22">
        <f>H22*Reformes!F22</f>
        <v/>
      </c>
      <c r="N22">
        <f>MIN(VLOOKUP(VLOOKUP(B22,Viviers!$A$2:$I$9,2,FALSE),Hypotheses!$A$11:$C$15,3,FALSE),VLOOKUP(VLOOKUP(B22,Viviers!$A$2:$I$9,2,FALSE),Hypotheses!$A$11:$C$15,2,FALSE)*(1+Hypotheses!$B$3)^(Hypotheses!$B$2/2))*Hypotheses!$B$7</f>
        <v/>
      </c>
      <c r="O22">
        <f>L22*N22/1000</f>
        <v/>
      </c>
      <c r="P22">
        <f>Reformes!W22</f>
        <v/>
      </c>
      <c r="Q22">
        <f>IF(Reformes!G22=1,Reformes!S22*IF(I22&gt;0,L22/I22,0),Reformes!S22)</f>
        <v/>
      </c>
      <c r="R22">
        <f>Reformes!AA22</f>
        <v/>
      </c>
      <c r="S22">
        <f>O22+P22-Q22+R22</f>
        <v/>
      </c>
      <c r="T22">
        <f>O22*Hypotheses!$B$4+P22-Q22+R22</f>
        <v/>
      </c>
      <c r="U22">
        <f>Reformes!O22*Hypotheses!$B$8</f>
        <v/>
      </c>
    </row>
    <row r="23">
      <c r="A23">
        <f>Reformes!A23</f>
        <v/>
      </c>
      <c r="B23">
        <f>Reformes!C23</f>
        <v/>
      </c>
      <c r="C23">
        <f>Reformes!D23</f>
        <v/>
      </c>
      <c r="D23">
        <f>VLOOKUP(B23,Viviers!$A$2:$I$9,3,FALSE)</f>
        <v/>
      </c>
      <c r="E23">
        <f>VLOOKUP(B23,Viviers!$A$2:$I$9,8,FALSE)</f>
        <v/>
      </c>
      <c r="F23">
        <f>MIN(1,Reformes!K23*Hypotheses!$B$5)</f>
        <v/>
      </c>
      <c r="G23">
        <f>IF(B23=B22,G22+H22,0)</f>
        <v/>
      </c>
      <c r="H23">
        <f>MAX(0,MIN(F23*(D23-G23),E23*D23-G23))</f>
        <v/>
      </c>
      <c r="I23">
        <f>H23*Reformes!E23</f>
        <v/>
      </c>
      <c r="J23">
        <f>VLOOKUP(B23,Viviers!$A$2:$I$9,9,FALSE)</f>
        <v/>
      </c>
      <c r="K23">
        <f>IF(B23=B22,K22+L22,0)</f>
        <v/>
      </c>
      <c r="L23">
        <f>MIN(I23,MAX(0,J23-K23))</f>
        <v/>
      </c>
      <c r="M23">
        <f>H23*Reformes!F23</f>
        <v/>
      </c>
      <c r="N23">
        <f>MIN(VLOOKUP(VLOOKUP(B23,Viviers!$A$2:$I$9,2,FALSE),Hypotheses!$A$11:$C$15,3,FALSE),VLOOKUP(VLOOKUP(B23,Viviers!$A$2:$I$9,2,FALSE),Hypotheses!$A$11:$C$15,2,FALSE)*(1+Hypotheses!$B$3)^(Hypotheses!$B$2/2))*Hypotheses!$B$7</f>
        <v/>
      </c>
      <c r="O23">
        <f>L23*N23/1000</f>
        <v/>
      </c>
      <c r="P23">
        <f>Reformes!W23</f>
        <v/>
      </c>
      <c r="Q23">
        <f>IF(Reformes!G23=1,Reformes!S23*IF(I23&gt;0,L23/I23,0),Reformes!S23)</f>
        <v/>
      </c>
      <c r="R23">
        <f>Reformes!AA23</f>
        <v/>
      </c>
      <c r="S23">
        <f>O23+P23-Q23+R23</f>
        <v/>
      </c>
      <c r="T23">
        <f>O23*Hypotheses!$B$4+P23-Q23+R23</f>
        <v/>
      </c>
      <c r="U23">
        <f>Reformes!O23*Hypotheses!$B$8</f>
        <v/>
      </c>
    </row>
    <row r="24">
      <c r="A24">
        <f>Reformes!A24</f>
        <v/>
      </c>
      <c r="B24">
        <f>Reformes!C24</f>
        <v/>
      </c>
      <c r="C24">
        <f>Reformes!D24</f>
        <v/>
      </c>
      <c r="D24">
        <f>VLOOKUP(B24,Viviers!$A$2:$I$9,3,FALSE)</f>
        <v/>
      </c>
      <c r="E24">
        <f>VLOOKUP(B24,Viviers!$A$2:$I$9,8,FALSE)</f>
        <v/>
      </c>
      <c r="F24">
        <f>MIN(1,Reformes!K24*Hypotheses!$B$5)</f>
        <v/>
      </c>
      <c r="G24">
        <f>IF(B24=B23,G23+H23,0)</f>
        <v/>
      </c>
      <c r="H24">
        <f>MAX(0,MIN(F24*(D24-G24),E24*D24-G24))</f>
        <v/>
      </c>
      <c r="I24">
        <f>H24*Reformes!E24</f>
        <v/>
      </c>
      <c r="J24">
        <f>VLOOKUP(B24,Viviers!$A$2:$I$9,9,FALSE)</f>
        <v/>
      </c>
      <c r="K24">
        <f>IF(B24=B23,K23+L23,0)</f>
        <v/>
      </c>
      <c r="L24">
        <f>MIN(I24,MAX(0,J24-K24))</f>
        <v/>
      </c>
      <c r="M24">
        <f>H24*Reformes!F24</f>
        <v/>
      </c>
      <c r="N24">
        <f>MIN(VLOOKUP(VLOOKUP(B24,Viviers!$A$2:$I$9,2,FALSE),Hypotheses!$A$11:$C$15,3,FALSE),VLOOKUP(VLOOKUP(B24,Viviers!$A$2:$I$9,2,FALSE),Hypotheses!$A$11:$C$15,2,FALSE)*(1+Hypotheses!$B$3)^(Hypotheses!$B$2/2))*Hypotheses!$B$7</f>
        <v/>
      </c>
      <c r="O24">
        <f>L24*N24/1000</f>
        <v/>
      </c>
      <c r="P24">
        <f>Reformes!W24</f>
        <v/>
      </c>
      <c r="Q24">
        <f>IF(Reformes!G24=1,Reformes!S24*IF(I24&gt;0,L24/I24,0),Reformes!S24)</f>
        <v/>
      </c>
      <c r="R24">
        <f>Reformes!AA24</f>
        <v/>
      </c>
      <c r="S24">
        <f>O24+P24-Q24+R24</f>
        <v/>
      </c>
      <c r="T24">
        <f>O24*Hypotheses!$B$4+P24-Q24+R24</f>
        <v/>
      </c>
      <c r="U24">
        <f>Reformes!O24*Hypotheses!$B$8</f>
        <v/>
      </c>
    </row>
    <row r="25">
      <c r="A25">
        <f>Reformes!A25</f>
        <v/>
      </c>
      <c r="B25">
        <f>Reformes!C25</f>
        <v/>
      </c>
      <c r="C25">
        <f>Reformes!D25</f>
        <v/>
      </c>
      <c r="D25">
        <f>VLOOKUP(B25,Viviers!$A$2:$I$9,3,FALSE)</f>
        <v/>
      </c>
      <c r="E25">
        <f>VLOOKUP(B25,Viviers!$A$2:$I$9,8,FALSE)</f>
        <v/>
      </c>
      <c r="F25">
        <f>MIN(1,Reformes!K25*Hypotheses!$B$5)</f>
        <v/>
      </c>
      <c r="G25">
        <f>IF(B25=B24,G24+H24,0)</f>
        <v/>
      </c>
      <c r="H25">
        <f>MAX(0,MIN(F25*(D25-G25),E25*D25-G25))</f>
        <v/>
      </c>
      <c r="I25">
        <f>H25*Reformes!E25</f>
        <v/>
      </c>
      <c r="J25">
        <f>VLOOKUP(B25,Viviers!$A$2:$I$9,9,FALSE)</f>
        <v/>
      </c>
      <c r="K25">
        <f>IF(B25=B24,K24+L24,0)</f>
        <v/>
      </c>
      <c r="L25">
        <f>MIN(I25,MAX(0,J25-K25))</f>
        <v/>
      </c>
      <c r="M25">
        <f>H25*Reformes!F25</f>
        <v/>
      </c>
      <c r="N25">
        <f>MIN(VLOOKUP(VLOOKUP(B25,Viviers!$A$2:$I$9,2,FALSE),Hypotheses!$A$11:$C$15,3,FALSE),VLOOKUP(VLOOKUP(B25,Viviers!$A$2:$I$9,2,FALSE),Hypotheses!$A$11:$C$15,2,FALSE)*(1+Hypotheses!$B$3)^(Hypotheses!$B$2/2))*Hypotheses!$B$7</f>
        <v/>
      </c>
      <c r="O25">
        <f>L25*N25/1000</f>
        <v/>
      </c>
      <c r="P25">
        <f>Reformes!W25</f>
        <v/>
      </c>
      <c r="Q25">
        <f>IF(Reformes!G25=1,Reformes!S25*IF(I25&gt;0,L25/I25,0),Reformes!S25)</f>
        <v/>
      </c>
      <c r="R25">
        <f>Reformes!AA25</f>
        <v/>
      </c>
      <c r="S25">
        <f>O25+P25-Q25+R25</f>
        <v/>
      </c>
      <c r="T25">
        <f>O25*Hypotheses!$B$4+P25-Q25+R25</f>
        <v/>
      </c>
      <c r="U25">
        <f>Reformes!O25*Hypotheses!$B$8</f>
        <v/>
      </c>
    </row>
    <row r="26">
      <c r="A26">
        <f>Reformes!A26</f>
        <v/>
      </c>
      <c r="B26">
        <f>Reformes!C26</f>
        <v/>
      </c>
      <c r="C26">
        <f>Reformes!D26</f>
        <v/>
      </c>
      <c r="D26">
        <f>VLOOKUP(B26,Viviers!$A$2:$I$9,3,FALSE)</f>
        <v/>
      </c>
      <c r="E26">
        <f>VLOOKUP(B26,Viviers!$A$2:$I$9,8,FALSE)</f>
        <v/>
      </c>
      <c r="F26">
        <f>MIN(1,Reformes!K26*Hypotheses!$B$5)</f>
        <v/>
      </c>
      <c r="G26">
        <f>IF(B26=B25,G25+H25,0)</f>
        <v/>
      </c>
      <c r="H26">
        <f>MAX(0,MIN(F26*(D26-G26),E26*D26-G26))</f>
        <v/>
      </c>
      <c r="I26">
        <f>H26*Reformes!E26</f>
        <v/>
      </c>
      <c r="J26">
        <f>VLOOKUP(B26,Viviers!$A$2:$I$9,9,FALSE)</f>
        <v/>
      </c>
      <c r="K26">
        <f>IF(B26=B25,K25+L25,0)</f>
        <v/>
      </c>
      <c r="L26">
        <f>MIN(I26,MAX(0,J26-K26))</f>
        <v/>
      </c>
      <c r="M26">
        <f>H26*Reformes!F26</f>
        <v/>
      </c>
      <c r="N26">
        <f>MIN(VLOOKUP(VLOOKUP(B26,Viviers!$A$2:$I$9,2,FALSE),Hypotheses!$A$11:$C$15,3,FALSE),VLOOKUP(VLOOKUP(B26,Viviers!$A$2:$I$9,2,FALSE),Hypotheses!$A$11:$C$15,2,FALSE)*(1+Hypotheses!$B$3)^(Hypotheses!$B$2/2))*Hypotheses!$B$7</f>
        <v/>
      </c>
      <c r="O26">
        <f>L26*N26/1000</f>
        <v/>
      </c>
      <c r="P26">
        <f>Reformes!W26</f>
        <v/>
      </c>
      <c r="Q26">
        <f>IF(Reformes!G26=1,Reformes!S26*IF(I26&gt;0,L26/I26,0),Reformes!S26)</f>
        <v/>
      </c>
      <c r="R26">
        <f>Reformes!AA26</f>
        <v/>
      </c>
      <c r="S26">
        <f>O26+P26-Q26+R26</f>
        <v/>
      </c>
      <c r="T26">
        <f>O26*Hypotheses!$B$4+P26-Q26+R26</f>
        <v/>
      </c>
      <c r="U26">
        <f>Reformes!O26*Hypotheses!$B$8</f>
        <v/>
      </c>
    </row>
    <row r="27">
      <c r="A27">
        <f>Reformes!A27</f>
        <v/>
      </c>
      <c r="B27">
        <f>Reformes!C27</f>
        <v/>
      </c>
      <c r="C27">
        <f>Reformes!D27</f>
        <v/>
      </c>
      <c r="D27">
        <f>VLOOKUP(B27,Viviers!$A$2:$I$9,3,FALSE)</f>
        <v/>
      </c>
      <c r="E27">
        <f>VLOOKUP(B27,Viviers!$A$2:$I$9,8,FALSE)</f>
        <v/>
      </c>
      <c r="F27">
        <f>MIN(1,Reformes!K27*Hypotheses!$B$5)</f>
        <v/>
      </c>
      <c r="G27">
        <f>IF(B27=B26,G26+H26,0)</f>
        <v/>
      </c>
      <c r="H27">
        <f>MAX(0,MIN(F27*(D27-G27),E27*D27-G27))</f>
        <v/>
      </c>
      <c r="I27">
        <f>H27*Reformes!E27</f>
        <v/>
      </c>
      <c r="J27">
        <f>VLOOKUP(B27,Viviers!$A$2:$I$9,9,FALSE)</f>
        <v/>
      </c>
      <c r="K27">
        <f>IF(B27=B26,K26+L26,0)</f>
        <v/>
      </c>
      <c r="L27">
        <f>MIN(I27,MAX(0,J27-K27))</f>
        <v/>
      </c>
      <c r="M27">
        <f>H27*Reformes!F27</f>
        <v/>
      </c>
      <c r="N27">
        <f>MIN(VLOOKUP(VLOOKUP(B27,Viviers!$A$2:$I$9,2,FALSE),Hypotheses!$A$11:$C$15,3,FALSE),VLOOKUP(VLOOKUP(B27,Viviers!$A$2:$I$9,2,FALSE),Hypotheses!$A$11:$C$15,2,FALSE)*(1+Hypotheses!$B$3)^(Hypotheses!$B$2/2))*Hypotheses!$B$7</f>
        <v/>
      </c>
      <c r="O27">
        <f>L27*N27/1000</f>
        <v/>
      </c>
      <c r="P27">
        <f>Reformes!W27</f>
        <v/>
      </c>
      <c r="Q27">
        <f>IF(Reformes!G27=1,Reformes!S27*IF(I27&gt;0,L27/I27,0),Reformes!S27)</f>
        <v/>
      </c>
      <c r="R27">
        <f>Reformes!AA27</f>
        <v/>
      </c>
      <c r="S27">
        <f>O27+P27-Q27+R27</f>
        <v/>
      </c>
      <c r="T27">
        <f>O27*Hypotheses!$B$4+P27-Q27+R27</f>
        <v/>
      </c>
      <c r="U27">
        <f>Reformes!O27*Hypotheses!$B$8</f>
        <v/>
      </c>
    </row>
    <row r="28">
      <c r="A28">
        <f>Reformes!A28</f>
        <v/>
      </c>
      <c r="B28">
        <f>Reformes!C28</f>
        <v/>
      </c>
      <c r="C28">
        <f>Reformes!D28</f>
        <v/>
      </c>
      <c r="D28">
        <f>VLOOKUP(B28,Viviers!$A$2:$I$9,3,FALSE)</f>
        <v/>
      </c>
      <c r="E28">
        <f>VLOOKUP(B28,Viviers!$A$2:$I$9,8,FALSE)</f>
        <v/>
      </c>
      <c r="F28">
        <f>MIN(1,Reformes!K28*Hypotheses!$B$5)</f>
        <v/>
      </c>
      <c r="G28">
        <f>IF(B28=B27,G27+H27,0)</f>
        <v/>
      </c>
      <c r="H28">
        <f>MAX(0,MIN(F28*(D28-G28),E28*D28-G28))</f>
        <v/>
      </c>
      <c r="I28">
        <f>H28*Reformes!E28</f>
        <v/>
      </c>
      <c r="J28">
        <f>VLOOKUP(B28,Viviers!$A$2:$I$9,9,FALSE)</f>
        <v/>
      </c>
      <c r="K28">
        <f>IF(B28=B27,K27+L27,0)</f>
        <v/>
      </c>
      <c r="L28">
        <f>MIN(I28,MAX(0,J28-K28))</f>
        <v/>
      </c>
      <c r="M28">
        <f>H28*Reformes!F28</f>
        <v/>
      </c>
      <c r="N28">
        <f>MIN(VLOOKUP(VLOOKUP(B28,Viviers!$A$2:$I$9,2,FALSE),Hypotheses!$A$11:$C$15,3,FALSE),VLOOKUP(VLOOKUP(B28,Viviers!$A$2:$I$9,2,FALSE),Hypotheses!$A$11:$C$15,2,FALSE)*(1+Hypotheses!$B$3)^(Hypotheses!$B$2/2))*Hypotheses!$B$7</f>
        <v/>
      </c>
      <c r="O28">
        <f>L28*N28/1000</f>
        <v/>
      </c>
      <c r="P28">
        <f>Reformes!W28</f>
        <v/>
      </c>
      <c r="Q28">
        <f>IF(Reformes!G28=1,Reformes!S28*IF(I28&gt;0,L28/I28,0),Reformes!S28)</f>
        <v/>
      </c>
      <c r="R28">
        <f>Reformes!AA28</f>
        <v/>
      </c>
      <c r="S28">
        <f>O28+P28-Q28+R28</f>
        <v/>
      </c>
      <c r="T28">
        <f>O28*Hypotheses!$B$4+P28-Q28+R28</f>
        <v/>
      </c>
      <c r="U28">
        <f>Reformes!O28*Hypotheses!$B$8</f>
        <v/>
      </c>
    </row>
    <row r="29">
      <c r="A29">
        <f>Reformes!A29</f>
        <v/>
      </c>
      <c r="B29">
        <f>Reformes!C29</f>
        <v/>
      </c>
      <c r="C29">
        <f>Reformes!D29</f>
        <v/>
      </c>
      <c r="D29">
        <f>VLOOKUP(B29,Viviers!$A$2:$I$9,3,FALSE)</f>
        <v/>
      </c>
      <c r="E29">
        <f>VLOOKUP(B29,Viviers!$A$2:$I$9,8,FALSE)</f>
        <v/>
      </c>
      <c r="F29">
        <f>MIN(1,Reformes!K29*Hypotheses!$B$5)</f>
        <v/>
      </c>
      <c r="G29">
        <f>IF(B29=B28,G28+H28,0)</f>
        <v/>
      </c>
      <c r="H29">
        <f>MAX(0,MIN(F29*(D29-G29),E29*D29-G29))</f>
        <v/>
      </c>
      <c r="I29">
        <f>H29*Reformes!E29</f>
        <v/>
      </c>
      <c r="J29">
        <f>VLOOKUP(B29,Viviers!$A$2:$I$9,9,FALSE)</f>
        <v/>
      </c>
      <c r="K29">
        <f>IF(B29=B28,K28+L28,0)</f>
        <v/>
      </c>
      <c r="L29">
        <f>MIN(I29,MAX(0,J29-K29))</f>
        <v/>
      </c>
      <c r="M29">
        <f>H29*Reformes!F29</f>
        <v/>
      </c>
      <c r="N29">
        <f>MIN(VLOOKUP(VLOOKUP(B29,Viviers!$A$2:$I$9,2,FALSE),Hypotheses!$A$11:$C$15,3,FALSE),VLOOKUP(VLOOKUP(B29,Viviers!$A$2:$I$9,2,FALSE),Hypotheses!$A$11:$C$15,2,FALSE)*(1+Hypotheses!$B$3)^(Hypotheses!$B$2/2))*Hypotheses!$B$7</f>
        <v/>
      </c>
      <c r="O29">
        <f>L29*N29/1000</f>
        <v/>
      </c>
      <c r="P29">
        <f>Reformes!W29</f>
        <v/>
      </c>
      <c r="Q29">
        <f>IF(Reformes!G29=1,Reformes!S29*IF(I29&gt;0,L29/I29,0),Reformes!S29)</f>
        <v/>
      </c>
      <c r="R29">
        <f>Reformes!AA29</f>
        <v/>
      </c>
      <c r="S29">
        <f>O29+P29-Q29+R29</f>
        <v/>
      </c>
      <c r="T29">
        <f>O29*Hypotheses!$B$4+P29-Q29+R29</f>
        <v/>
      </c>
      <c r="U29">
        <f>Reformes!O29*Hypotheses!$B$8</f>
        <v/>
      </c>
    </row>
    <row r="30">
      <c r="A30">
        <f>Reformes!A30</f>
        <v/>
      </c>
      <c r="B30">
        <f>Reformes!C30</f>
        <v/>
      </c>
      <c r="C30">
        <f>Reformes!D30</f>
        <v/>
      </c>
      <c r="D30">
        <f>VLOOKUP(B30,Viviers!$A$2:$I$9,3,FALSE)</f>
        <v/>
      </c>
      <c r="E30">
        <f>VLOOKUP(B30,Viviers!$A$2:$I$9,8,FALSE)</f>
        <v/>
      </c>
      <c r="F30">
        <f>MIN(1,Reformes!K30*Hypotheses!$B$5)</f>
        <v/>
      </c>
      <c r="G30">
        <f>IF(B30=B29,G29+H29,0)</f>
        <v/>
      </c>
      <c r="H30">
        <f>MAX(0,MIN(F30*(D30-G30),E30*D30-G30))</f>
        <v/>
      </c>
      <c r="I30">
        <f>H30*Reformes!E30</f>
        <v/>
      </c>
      <c r="J30">
        <f>VLOOKUP(B30,Viviers!$A$2:$I$9,9,FALSE)</f>
        <v/>
      </c>
      <c r="K30">
        <f>IF(B30=B29,K29+L29,0)</f>
        <v/>
      </c>
      <c r="L30">
        <f>MIN(I30,MAX(0,J30-K30))</f>
        <v/>
      </c>
      <c r="M30">
        <f>H30*Reformes!F30</f>
        <v/>
      </c>
      <c r="N30">
        <f>MIN(VLOOKUP(VLOOKUP(B30,Viviers!$A$2:$I$9,2,FALSE),Hypotheses!$A$11:$C$15,3,FALSE),VLOOKUP(VLOOKUP(B30,Viviers!$A$2:$I$9,2,FALSE),Hypotheses!$A$11:$C$15,2,FALSE)*(1+Hypotheses!$B$3)^(Hypotheses!$B$2/2))*Hypotheses!$B$7</f>
        <v/>
      </c>
      <c r="O30">
        <f>L30*N30/1000</f>
        <v/>
      </c>
      <c r="P30">
        <f>Reformes!W30</f>
        <v/>
      </c>
      <c r="Q30">
        <f>IF(Reformes!G30=1,Reformes!S30*IF(I30&gt;0,L30/I30,0),Reformes!S30)</f>
        <v/>
      </c>
      <c r="R30">
        <f>Reformes!AA30</f>
        <v/>
      </c>
      <c r="S30">
        <f>O30+P30-Q30+R30</f>
        <v/>
      </c>
      <c r="T30">
        <f>O30*Hypotheses!$B$4+P30-Q30+R30</f>
        <v/>
      </c>
      <c r="U30">
        <f>Reformes!O30*Hypotheses!$B$8</f>
        <v/>
      </c>
    </row>
    <row r="31">
      <c r="A31">
        <f>Reformes!A31</f>
        <v/>
      </c>
      <c r="B31">
        <f>Reformes!C31</f>
        <v/>
      </c>
      <c r="C31">
        <f>Reformes!D31</f>
        <v/>
      </c>
      <c r="D31">
        <f>VLOOKUP(B31,Viviers!$A$2:$I$9,3,FALSE)</f>
        <v/>
      </c>
      <c r="E31">
        <f>VLOOKUP(B31,Viviers!$A$2:$I$9,8,FALSE)</f>
        <v/>
      </c>
      <c r="F31">
        <f>MIN(1,Reformes!K31*Hypotheses!$B$5)</f>
        <v/>
      </c>
      <c r="G31">
        <f>IF(B31=B30,G30+H30,0)</f>
        <v/>
      </c>
      <c r="H31">
        <f>MAX(0,MIN(F31*(D31-G31),E31*D31-G31))</f>
        <v/>
      </c>
      <c r="I31">
        <f>H31*Reformes!E31</f>
        <v/>
      </c>
      <c r="J31">
        <f>VLOOKUP(B31,Viviers!$A$2:$I$9,9,FALSE)</f>
        <v/>
      </c>
      <c r="K31">
        <f>IF(B31=B30,K30+L30,0)</f>
        <v/>
      </c>
      <c r="L31">
        <f>MIN(I31,MAX(0,J31-K31))</f>
        <v/>
      </c>
      <c r="M31">
        <f>H31*Reformes!F31</f>
        <v/>
      </c>
      <c r="N31">
        <f>MIN(VLOOKUP(VLOOKUP(B31,Viviers!$A$2:$I$9,2,FALSE),Hypotheses!$A$11:$C$15,3,FALSE),VLOOKUP(VLOOKUP(B31,Viviers!$A$2:$I$9,2,FALSE),Hypotheses!$A$11:$C$15,2,FALSE)*(1+Hypotheses!$B$3)^(Hypotheses!$B$2/2))*Hypotheses!$B$7</f>
        <v/>
      </c>
      <c r="O31">
        <f>L31*N31/1000</f>
        <v/>
      </c>
      <c r="P31">
        <f>Reformes!W31</f>
        <v/>
      </c>
      <c r="Q31">
        <f>IF(Reformes!G31=1,Reformes!S31*IF(I31&gt;0,L31/I31,0),Reformes!S31)</f>
        <v/>
      </c>
      <c r="R31">
        <f>Reformes!AA31</f>
        <v/>
      </c>
      <c r="S31">
        <f>O31+P31-Q31+R31</f>
        <v/>
      </c>
      <c r="T31">
        <f>O31*Hypotheses!$B$4+P31-Q31+R31</f>
        <v/>
      </c>
      <c r="U31">
        <f>Reformes!O31*Hypotheses!$B$8</f>
        <v/>
      </c>
    </row>
    <row r="32">
      <c r="A32" s="1" t="inlineStr">
        <is>
          <t>Total</t>
        </is>
      </c>
      <c r="H32" s="1">
        <f>SUM(H2:H31)</f>
        <v/>
      </c>
      <c r="L32" s="1">
        <f>SUM(L2:L31)</f>
        <v/>
      </c>
      <c r="M32" s="1">
        <f>SUM(M2:M31)</f>
        <v/>
      </c>
      <c r="O32" s="1">
        <f>SUM(O2:O31)</f>
        <v/>
      </c>
      <c r="P32" s="1">
        <f>SUM(P2:P31)</f>
        <v/>
      </c>
      <c r="Q32" s="1">
        <f>SUM(Q2:Q31)</f>
        <v/>
      </c>
      <c r="R32" s="1">
        <f>SUM(R2:R31)</f>
        <v/>
      </c>
      <c r="S32" s="1">
        <f>SUM(S2:S31)</f>
        <v/>
      </c>
      <c r="T32" s="1">
        <f>SUM(T2:T31)</f>
        <v/>
      </c>
      <c r="U32" s="1">
        <f>SUM(U2:U31)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" customWidth="1" min="2" max="2"/>
    <col width="36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3" t="inlineStr">
        <is>
          <t>variante</t>
        </is>
      </c>
      <c r="B1" s="3" t="inlineStr">
        <is>
          <t>sens</t>
        </is>
      </c>
      <c r="C1" s="3" t="inlineStr">
        <is>
          <t>libelle</t>
        </is>
      </c>
      <c r="D1" s="3" t="inlineStr">
        <is>
          <t>scenario</t>
        </is>
      </c>
      <c r="E1" s="3" t="inlineStr">
        <is>
          <t>postes_2036</t>
        </is>
      </c>
      <c r="F1" s="3" t="inlineStr">
        <is>
          <t>net_2036</t>
        </is>
      </c>
      <c r="G1" s="3" t="inlineStr">
        <is>
          <t>cumul_net_10</t>
        </is>
      </c>
      <c r="H1" s="3" t="inlineStr">
        <is>
          <t>cumul_consolide_10</t>
        </is>
      </c>
      <c r="I1" s="3" t="inlineStr">
        <is>
          <t>invest</t>
        </is>
      </c>
      <c r="J1" s="3" t="inlineStr">
        <is>
          <t>(résultats de scripts/12_sensibilites.py, moteur annuel)</t>
        </is>
      </c>
    </row>
    <row r="2">
      <c r="A2" t="inlineStr">
        <is>
          <t>Centrale</t>
        </is>
      </c>
      <c r="B2" t="inlineStr"/>
      <c r="C2" t="inlineStr"/>
      <c r="D2" t="inlineStr">
        <is>
          <t>prudent</t>
        </is>
      </c>
      <c r="E2" t="n">
        <v>11106.4</v>
      </c>
      <c r="F2" t="n">
        <v>617.9</v>
      </c>
      <c r="G2" t="n">
        <v>3464.1</v>
      </c>
      <c r="H2" t="n">
        <v>2385</v>
      </c>
      <c r="I2" t="n">
        <v>857.1</v>
      </c>
    </row>
    <row r="3">
      <c r="A3" t="inlineStr">
        <is>
          <t>Centrale</t>
        </is>
      </c>
      <c r="B3" t="inlineStr"/>
      <c r="C3" t="inlineStr"/>
      <c r="D3" t="inlineStr">
        <is>
          <t>intermediaire</t>
        </is>
      </c>
      <c r="E3" t="n">
        <v>56141.6</v>
      </c>
      <c r="F3" t="n">
        <v>2517.1</v>
      </c>
      <c r="G3" t="n">
        <v>12626.6</v>
      </c>
      <c r="H3" t="n">
        <v>7402.6</v>
      </c>
      <c r="I3" t="n">
        <v>3952.8</v>
      </c>
    </row>
    <row r="4">
      <c r="A4" t="inlineStr">
        <is>
          <t>Centrale</t>
        </is>
      </c>
      <c r="B4" t="inlineStr"/>
      <c r="C4" t="inlineStr"/>
      <c r="D4" t="inlineStr">
        <is>
          <t>ambitieux</t>
        </is>
      </c>
      <c r="E4" t="n">
        <v>120249.7</v>
      </c>
      <c r="F4" t="n">
        <v>5280.1</v>
      </c>
      <c r="G4" t="n">
        <v>25701.1</v>
      </c>
      <c r="H4" t="n">
        <v>15179.3</v>
      </c>
      <c r="I4" t="n">
        <v>7202.5</v>
      </c>
    </row>
    <row r="5">
      <c r="A5" t="inlineStr">
        <is>
          <t>Centrale</t>
        </is>
      </c>
      <c r="B5" t="inlineStr"/>
      <c r="C5" t="inlineStr"/>
      <c r="D5" t="inlineStr">
        <is>
          <t>radical</t>
        </is>
      </c>
      <c r="E5" t="n">
        <v>194475.8</v>
      </c>
      <c r="F5" t="n">
        <v>8429.700000000001</v>
      </c>
      <c r="G5" t="n">
        <v>35448.4</v>
      </c>
      <c r="H5" t="n">
        <v>20011.5</v>
      </c>
      <c r="I5" t="n">
        <v>13504.6</v>
      </c>
    </row>
    <row r="6">
      <c r="A6" t="inlineStr">
        <is>
          <t>Taux de réduction des fiches</t>
        </is>
      </c>
      <c r="B6" t="inlineStr">
        <is>
          <t>bas</t>
        </is>
      </c>
      <c r="C6" t="inlineStr">
        <is>
          <t>× 0,5</t>
        </is>
      </c>
      <c r="D6" t="inlineStr">
        <is>
          <t>prudent</t>
        </is>
      </c>
      <c r="E6" t="n">
        <v>5557.7</v>
      </c>
      <c r="F6" t="n">
        <v>389.7</v>
      </c>
      <c r="G6" t="n">
        <v>1923.9</v>
      </c>
      <c r="H6" t="n">
        <v>1383.9</v>
      </c>
      <c r="I6" t="n">
        <v>857.1</v>
      </c>
    </row>
    <row r="7">
      <c r="A7" t="inlineStr">
        <is>
          <t>Taux de réduction des fiches</t>
        </is>
      </c>
      <c r="B7" t="inlineStr">
        <is>
          <t>bas</t>
        </is>
      </c>
      <c r="C7" t="inlineStr">
        <is>
          <t>× 0,5</t>
        </is>
      </c>
      <c r="D7" t="inlineStr">
        <is>
          <t>intermediaire</t>
        </is>
      </c>
      <c r="E7" t="n">
        <v>28361</v>
      </c>
      <c r="F7" t="n">
        <v>1376.3</v>
      </c>
      <c r="G7" t="n">
        <v>5240.9</v>
      </c>
      <c r="H7" t="n">
        <v>2601.9</v>
      </c>
      <c r="I7" t="n">
        <v>3952.8</v>
      </c>
    </row>
    <row r="8">
      <c r="A8" t="inlineStr">
        <is>
          <t>Taux de réduction des fiches</t>
        </is>
      </c>
      <c r="B8" t="inlineStr">
        <is>
          <t>bas</t>
        </is>
      </c>
      <c r="C8" t="inlineStr">
        <is>
          <t>× 0,5</t>
        </is>
      </c>
      <c r="D8" t="inlineStr">
        <is>
          <t>ambitieux</t>
        </is>
      </c>
      <c r="E8" t="n">
        <v>61715.7</v>
      </c>
      <c r="F8" t="n">
        <v>2869.7</v>
      </c>
      <c r="G8" t="n">
        <v>11524</v>
      </c>
      <c r="H8" t="n">
        <v>5818.3</v>
      </c>
      <c r="I8" t="n">
        <v>7202.5</v>
      </c>
    </row>
    <row r="9">
      <c r="A9" t="inlineStr">
        <is>
          <t>Taux de réduction des fiches</t>
        </is>
      </c>
      <c r="B9" t="inlineStr">
        <is>
          <t>bas</t>
        </is>
      </c>
      <c r="C9" t="inlineStr">
        <is>
          <t>× 0,5</t>
        </is>
      </c>
      <c r="D9" t="inlineStr">
        <is>
          <t>radical</t>
        </is>
      </c>
      <c r="E9" t="n">
        <v>114424.6</v>
      </c>
      <c r="F9" t="n">
        <v>5108.5</v>
      </c>
      <c r="G9" t="n">
        <v>18380.4</v>
      </c>
      <c r="H9" t="n">
        <v>8616.299999999999</v>
      </c>
      <c r="I9" t="n">
        <v>13504.6</v>
      </c>
    </row>
    <row r="10">
      <c r="A10" t="inlineStr">
        <is>
          <t>Taux de réduction des fiches</t>
        </is>
      </c>
      <c r="B10" t="inlineStr">
        <is>
          <t>haut</t>
        </is>
      </c>
      <c r="C10" t="inlineStr">
        <is>
          <t>× 1,5</t>
        </is>
      </c>
      <c r="D10" t="inlineStr">
        <is>
          <t>prudent</t>
        </is>
      </c>
      <c r="E10" t="n">
        <v>16646.3</v>
      </c>
      <c r="F10" t="n">
        <v>845.8</v>
      </c>
      <c r="G10" t="n">
        <v>5001.5</v>
      </c>
      <c r="H10" t="n">
        <v>3384.3</v>
      </c>
      <c r="I10" t="n">
        <v>857.1</v>
      </c>
    </row>
    <row r="11">
      <c r="A11" t="inlineStr">
        <is>
          <t>Taux de réduction des fiches</t>
        </is>
      </c>
      <c r="B11" t="inlineStr">
        <is>
          <t>haut</t>
        </is>
      </c>
      <c r="C11" t="inlineStr">
        <is>
          <t>× 1,5</t>
        </is>
      </c>
      <c r="D11" t="inlineStr">
        <is>
          <t>intermediaire</t>
        </is>
      </c>
      <c r="E11" t="n">
        <v>83352.8</v>
      </c>
      <c r="F11" t="n">
        <v>3633.8</v>
      </c>
      <c r="G11" t="n">
        <v>19861.2</v>
      </c>
      <c r="H11" t="n">
        <v>12105.1</v>
      </c>
      <c r="I11" t="n">
        <v>3952.8</v>
      </c>
    </row>
    <row r="12">
      <c r="A12" t="inlineStr">
        <is>
          <t>Taux de réduction des fiches</t>
        </is>
      </c>
      <c r="B12" t="inlineStr">
        <is>
          <t>haut</t>
        </is>
      </c>
      <c r="C12" t="inlineStr">
        <is>
          <t>× 1,5</t>
        </is>
      </c>
      <c r="D12" t="inlineStr">
        <is>
          <t>ambitieux</t>
        </is>
      </c>
      <c r="E12" t="n">
        <v>159777</v>
      </c>
      <c r="F12" t="n">
        <v>6955</v>
      </c>
      <c r="G12" t="n">
        <v>35644.8</v>
      </c>
      <c r="H12" t="n">
        <v>21743.6</v>
      </c>
      <c r="I12" t="n">
        <v>7202.5</v>
      </c>
    </row>
    <row r="13">
      <c r="A13" t="inlineStr">
        <is>
          <t>Taux de réduction des fiches</t>
        </is>
      </c>
      <c r="B13" t="inlineStr">
        <is>
          <t>haut</t>
        </is>
      </c>
      <c r="C13" t="inlineStr">
        <is>
          <t>× 1,5</t>
        </is>
      </c>
      <c r="D13" t="inlineStr">
        <is>
          <t>radical</t>
        </is>
      </c>
      <c r="E13" t="n">
        <v>247300.2</v>
      </c>
      <c r="F13" t="n">
        <v>10187.4</v>
      </c>
      <c r="G13" t="n">
        <v>41441.6</v>
      </c>
      <c r="H13" t="n">
        <v>23907.1</v>
      </c>
      <c r="I13" t="n">
        <v>13504.6</v>
      </c>
    </row>
    <row r="14">
      <c r="A14" t="inlineStr">
        <is>
          <t>Coût par ETP</t>
        </is>
      </c>
      <c r="B14" t="inlineStr">
        <is>
          <t>bas</t>
        </is>
      </c>
      <c r="C14" t="inlineStr">
        <is>
          <t>× 0,8</t>
        </is>
      </c>
      <c r="D14" t="inlineStr">
        <is>
          <t>prudent</t>
        </is>
      </c>
      <c r="E14" t="n">
        <v>11106.4</v>
      </c>
      <c r="F14" t="n">
        <v>526.6</v>
      </c>
      <c r="G14" t="n">
        <v>2847.5</v>
      </c>
      <c r="H14" t="n">
        <v>1984.2</v>
      </c>
      <c r="I14" t="n">
        <v>857.1</v>
      </c>
    </row>
    <row r="15">
      <c r="A15" t="inlineStr">
        <is>
          <t>Coût par ETP</t>
        </is>
      </c>
      <c r="B15" t="inlineStr">
        <is>
          <t>bas</t>
        </is>
      </c>
      <c r="C15" t="inlineStr">
        <is>
          <t>× 0,8</t>
        </is>
      </c>
      <c r="D15" t="inlineStr">
        <is>
          <t>intermediaire</t>
        </is>
      </c>
      <c r="E15" t="n">
        <v>56141.6</v>
      </c>
      <c r="F15" t="n">
        <v>2055.9</v>
      </c>
      <c r="G15" t="n">
        <v>9641.5</v>
      </c>
      <c r="H15" t="n">
        <v>5462.3</v>
      </c>
      <c r="I15" t="n">
        <v>3952.8</v>
      </c>
    </row>
    <row r="16">
      <c r="A16" t="inlineStr">
        <is>
          <t>Coût par ETP</t>
        </is>
      </c>
      <c r="B16" t="inlineStr">
        <is>
          <t>bas</t>
        </is>
      </c>
      <c r="C16" t="inlineStr">
        <is>
          <t>× 0,8</t>
        </is>
      </c>
      <c r="D16" t="inlineStr">
        <is>
          <t>ambitieux</t>
        </is>
      </c>
      <c r="E16" t="n">
        <v>120249.7</v>
      </c>
      <c r="F16" t="n">
        <v>4285.1</v>
      </c>
      <c r="G16" t="n">
        <v>19688.7</v>
      </c>
      <c r="H16" t="n">
        <v>11271.2</v>
      </c>
      <c r="I16" t="n">
        <v>7202.5</v>
      </c>
    </row>
    <row r="17">
      <c r="A17" t="inlineStr">
        <is>
          <t>Coût par ETP</t>
        </is>
      </c>
      <c r="B17" t="inlineStr">
        <is>
          <t>bas</t>
        </is>
      </c>
      <c r="C17" t="inlineStr">
        <is>
          <t>× 0,8</t>
        </is>
      </c>
      <c r="D17" t="inlineStr">
        <is>
          <t>radical</t>
        </is>
      </c>
      <c r="E17" t="n">
        <v>194475.8</v>
      </c>
      <c r="F17" t="n">
        <v>6884.6</v>
      </c>
      <c r="G17" t="n">
        <v>26627.3</v>
      </c>
      <c r="H17" t="n">
        <v>14277.8</v>
      </c>
      <c r="I17" t="n">
        <v>13504.6</v>
      </c>
    </row>
    <row r="18">
      <c r="A18" t="inlineStr">
        <is>
          <t>Coût par ETP</t>
        </is>
      </c>
      <c r="B18" t="inlineStr">
        <is>
          <t>haut</t>
        </is>
      </c>
      <c r="C18" t="inlineStr">
        <is>
          <t>× 1,2</t>
        </is>
      </c>
      <c r="D18" t="inlineStr">
        <is>
          <t>prudent</t>
        </is>
      </c>
      <c r="E18" t="n">
        <v>11106.4</v>
      </c>
      <c r="F18" t="n">
        <v>709.3</v>
      </c>
      <c r="G18" t="n">
        <v>4080.7</v>
      </c>
      <c r="H18" t="n">
        <v>2785.8</v>
      </c>
      <c r="I18" t="n">
        <v>857.1</v>
      </c>
    </row>
    <row r="19">
      <c r="A19" t="inlineStr">
        <is>
          <t>Coût par ETP</t>
        </is>
      </c>
      <c r="B19" t="inlineStr">
        <is>
          <t>haut</t>
        </is>
      </c>
      <c r="C19" t="inlineStr">
        <is>
          <t>× 1,2</t>
        </is>
      </c>
      <c r="D19" t="inlineStr">
        <is>
          <t>intermediaire</t>
        </is>
      </c>
      <c r="E19" t="n">
        <v>56141.6</v>
      </c>
      <c r="F19" t="n">
        <v>2978.3</v>
      </c>
      <c r="G19" t="n">
        <v>15611.8</v>
      </c>
      <c r="H19" t="n">
        <v>9343</v>
      </c>
      <c r="I19" t="n">
        <v>3952.8</v>
      </c>
    </row>
    <row r="20">
      <c r="A20" t="inlineStr">
        <is>
          <t>Coût par ETP</t>
        </is>
      </c>
      <c r="B20" t="inlineStr">
        <is>
          <t>haut</t>
        </is>
      </c>
      <c r="C20" t="inlineStr">
        <is>
          <t>× 1,2</t>
        </is>
      </c>
      <c r="D20" t="inlineStr">
        <is>
          <t>ambitieux</t>
        </is>
      </c>
      <c r="E20" t="n">
        <v>120249.7</v>
      </c>
      <c r="F20" t="n">
        <v>6275.2</v>
      </c>
      <c r="G20" t="n">
        <v>31713.5</v>
      </c>
      <c r="H20" t="n">
        <v>19087.4</v>
      </c>
      <c r="I20" t="n">
        <v>7202.5</v>
      </c>
    </row>
    <row r="21">
      <c r="A21" t="inlineStr">
        <is>
          <t>Coût par ETP</t>
        </is>
      </c>
      <c r="B21" t="inlineStr">
        <is>
          <t>haut</t>
        </is>
      </c>
      <c r="C21" t="inlineStr">
        <is>
          <t>× 1,2</t>
        </is>
      </c>
      <c r="D21" t="inlineStr">
        <is>
          <t>radical</t>
        </is>
      </c>
      <c r="E21" t="n">
        <v>194475.8</v>
      </c>
      <c r="F21" t="n">
        <v>9974.9</v>
      </c>
      <c r="G21" t="n">
        <v>44269.5</v>
      </c>
      <c r="H21" t="n">
        <v>25745.2</v>
      </c>
      <c r="I21" t="n">
        <v>13504.6</v>
      </c>
    </row>
    <row r="22">
      <c r="A22" t="inlineStr">
        <is>
          <t>Départs mobilisables</t>
        </is>
      </c>
      <c r="B22" t="inlineStr">
        <is>
          <t>bas</t>
        </is>
      </c>
      <c r="C22" t="inlineStr">
        <is>
          <t>retraites × 0,8</t>
        </is>
      </c>
      <c r="D22" t="inlineStr">
        <is>
          <t>prudent</t>
        </is>
      </c>
      <c r="E22" t="n">
        <v>11106.4</v>
      </c>
      <c r="F22" t="n">
        <v>617.9</v>
      </c>
      <c r="G22" t="n">
        <v>3464.1</v>
      </c>
      <c r="H22" t="n">
        <v>2385</v>
      </c>
      <c r="I22" t="n">
        <v>857.1</v>
      </c>
    </row>
    <row r="23">
      <c r="A23" t="inlineStr">
        <is>
          <t>Départs mobilisables</t>
        </is>
      </c>
      <c r="B23" t="inlineStr">
        <is>
          <t>bas</t>
        </is>
      </c>
      <c r="C23" t="inlineStr">
        <is>
          <t>retraites × 0,8</t>
        </is>
      </c>
      <c r="D23" t="inlineStr">
        <is>
          <t>intermediaire</t>
        </is>
      </c>
      <c r="E23" t="n">
        <v>56141.6</v>
      </c>
      <c r="F23" t="n">
        <v>2517.1</v>
      </c>
      <c r="G23" t="n">
        <v>12626.6</v>
      </c>
      <c r="H23" t="n">
        <v>7402.6</v>
      </c>
      <c r="I23" t="n">
        <v>3952.8</v>
      </c>
    </row>
    <row r="24">
      <c r="A24" t="inlineStr">
        <is>
          <t>Départs mobilisables</t>
        </is>
      </c>
      <c r="B24" t="inlineStr">
        <is>
          <t>bas</t>
        </is>
      </c>
      <c r="C24" t="inlineStr">
        <is>
          <t>retraites × 0,8</t>
        </is>
      </c>
      <c r="D24" t="inlineStr">
        <is>
          <t>ambitieux</t>
        </is>
      </c>
      <c r="E24" t="n">
        <v>119675.9</v>
      </c>
      <c r="F24" t="n">
        <v>5207.4</v>
      </c>
      <c r="G24" t="n">
        <v>24292.3</v>
      </c>
      <c r="H24" t="n">
        <v>14334.9</v>
      </c>
      <c r="I24" t="n">
        <v>7202.5</v>
      </c>
    </row>
    <row r="25">
      <c r="A25" t="inlineStr">
        <is>
          <t>Départs mobilisables</t>
        </is>
      </c>
      <c r="B25" t="inlineStr">
        <is>
          <t>bas</t>
        </is>
      </c>
      <c r="C25" t="inlineStr">
        <is>
          <t>retraites × 0,8</t>
        </is>
      </c>
      <c r="D25" t="inlineStr">
        <is>
          <t>radical</t>
        </is>
      </c>
      <c r="E25" t="n">
        <v>185706.2</v>
      </c>
      <c r="F25" t="n">
        <v>7960.6</v>
      </c>
      <c r="G25" t="n">
        <v>30491.3</v>
      </c>
      <c r="H25" t="n">
        <v>16789.4</v>
      </c>
      <c r="I25" t="n">
        <v>13504.6</v>
      </c>
    </row>
    <row r="26">
      <c r="A26" t="inlineStr">
        <is>
          <t>Départs mobilisables</t>
        </is>
      </c>
      <c r="B26" t="inlineStr">
        <is>
          <t>haut</t>
        </is>
      </c>
      <c r="C26" t="inlineStr">
        <is>
          <t>toutes sorties (× 1,61)</t>
        </is>
      </c>
      <c r="D26" t="inlineStr">
        <is>
          <t>prudent</t>
        </is>
      </c>
      <c r="E26" t="n">
        <v>11106.4</v>
      </c>
      <c r="F26" t="n">
        <v>617.9</v>
      </c>
      <c r="G26" t="n">
        <v>3464.1</v>
      </c>
      <c r="H26" t="n">
        <v>2385</v>
      </c>
      <c r="I26" t="n">
        <v>857.1</v>
      </c>
    </row>
    <row r="27">
      <c r="A27" t="inlineStr">
        <is>
          <t>Départs mobilisables</t>
        </is>
      </c>
      <c r="B27" t="inlineStr">
        <is>
          <t>haut</t>
        </is>
      </c>
      <c r="C27" t="inlineStr">
        <is>
          <t>toutes sorties (× 1,61)</t>
        </is>
      </c>
      <c r="D27" t="inlineStr">
        <is>
          <t>intermediaire</t>
        </is>
      </c>
      <c r="E27" t="n">
        <v>56141.6</v>
      </c>
      <c r="F27" t="n">
        <v>2517.1</v>
      </c>
      <c r="G27" t="n">
        <v>12626.6</v>
      </c>
      <c r="H27" t="n">
        <v>7402.6</v>
      </c>
      <c r="I27" t="n">
        <v>3952.8</v>
      </c>
    </row>
    <row r="28">
      <c r="A28" t="inlineStr">
        <is>
          <t>Départs mobilisables</t>
        </is>
      </c>
      <c r="B28" t="inlineStr">
        <is>
          <t>haut</t>
        </is>
      </c>
      <c r="C28" t="inlineStr">
        <is>
          <t>toutes sorties (× 1,61)</t>
        </is>
      </c>
      <c r="D28" t="inlineStr">
        <is>
          <t>ambitieux</t>
        </is>
      </c>
      <c r="E28" t="n">
        <v>120249.7</v>
      </c>
      <c r="F28" t="n">
        <v>5297.1</v>
      </c>
      <c r="G28" t="n">
        <v>26992.9</v>
      </c>
      <c r="H28" t="n">
        <v>15873.1</v>
      </c>
      <c r="I28" t="n">
        <v>7202.5</v>
      </c>
    </row>
    <row r="29">
      <c r="A29" t="inlineStr">
        <is>
          <t>Départs mobilisables</t>
        </is>
      </c>
      <c r="B29" t="inlineStr">
        <is>
          <t>haut</t>
        </is>
      </c>
      <c r="C29" t="inlineStr">
        <is>
          <t>toutes sorties (× 1,61)</t>
        </is>
      </c>
      <c r="D29" t="inlineStr">
        <is>
          <t>radical</t>
        </is>
      </c>
      <c r="E29" t="n">
        <v>216842.7</v>
      </c>
      <c r="F29" t="n">
        <v>9229.6</v>
      </c>
      <c r="G29" t="n">
        <v>41531</v>
      </c>
      <c r="H29" t="n">
        <v>23831.4</v>
      </c>
      <c r="I29" t="n">
        <v>13504.6</v>
      </c>
    </row>
    <row r="30">
      <c r="A30" t="inlineStr">
        <is>
          <t>Conversion du temps libéré par l'IA</t>
        </is>
      </c>
      <c r="B30" t="inlineStr">
        <is>
          <t>bas</t>
        </is>
      </c>
      <c r="C30" t="inlineStr">
        <is>
          <t>aucune</t>
        </is>
      </c>
      <c r="D30" t="inlineStr">
        <is>
          <t>prudent</t>
        </is>
      </c>
      <c r="E30" t="n">
        <v>11106.4</v>
      </c>
      <c r="F30" t="n">
        <v>617.9</v>
      </c>
      <c r="G30" t="n">
        <v>3464.1</v>
      </c>
      <c r="H30" t="n">
        <v>2385</v>
      </c>
      <c r="I30" t="n">
        <v>857.1</v>
      </c>
    </row>
    <row r="31">
      <c r="A31" t="inlineStr">
        <is>
          <t>Conversion du temps libéré par l'IA</t>
        </is>
      </c>
      <c r="B31" t="inlineStr">
        <is>
          <t>bas</t>
        </is>
      </c>
      <c r="C31" t="inlineStr">
        <is>
          <t>aucune</t>
        </is>
      </c>
      <c r="D31" t="inlineStr">
        <is>
          <t>intermediaire</t>
        </is>
      </c>
      <c r="E31" t="n">
        <v>46758.9</v>
      </c>
      <c r="F31" t="n">
        <v>2139.7</v>
      </c>
      <c r="G31" t="n">
        <v>10407.7</v>
      </c>
      <c r="H31" t="n">
        <v>5960.3</v>
      </c>
      <c r="I31" t="n">
        <v>3952.8</v>
      </c>
    </row>
    <row r="32">
      <c r="A32" t="inlineStr">
        <is>
          <t>Conversion du temps libéré par l'IA</t>
        </is>
      </c>
      <c r="B32" t="inlineStr">
        <is>
          <t>bas</t>
        </is>
      </c>
      <c r="C32" t="inlineStr">
        <is>
          <t>aucune</t>
        </is>
      </c>
      <c r="D32" t="inlineStr">
        <is>
          <t>ambitieux</t>
        </is>
      </c>
      <c r="E32" t="n">
        <v>93383.60000000001</v>
      </c>
      <c r="F32" t="n">
        <v>4211.6</v>
      </c>
      <c r="G32" t="n">
        <v>20183.6</v>
      </c>
      <c r="H32" t="n">
        <v>11540.2</v>
      </c>
      <c r="I32" t="n">
        <v>7202.5</v>
      </c>
    </row>
    <row r="33">
      <c r="A33" t="inlineStr">
        <is>
          <t>Conversion du temps libéré par l'IA</t>
        </is>
      </c>
      <c r="B33" t="inlineStr">
        <is>
          <t>bas</t>
        </is>
      </c>
      <c r="C33" t="inlineStr">
        <is>
          <t>aucune</t>
        </is>
      </c>
      <c r="D33" t="inlineStr">
        <is>
          <t>radical</t>
        </is>
      </c>
      <c r="E33" t="n">
        <v>161960.8</v>
      </c>
      <c r="F33" t="n">
        <v>7186.3</v>
      </c>
      <c r="G33" t="n">
        <v>29020.1</v>
      </c>
      <c r="H33" t="n">
        <v>15833.1</v>
      </c>
      <c r="I33" t="n">
        <v>13504.6</v>
      </c>
    </row>
    <row r="34">
      <c r="A34" t="inlineStr">
        <is>
          <t>Conversion du temps libéré par l'IA</t>
        </is>
      </c>
      <c r="B34" t="inlineStr">
        <is>
          <t>haut</t>
        </is>
      </c>
      <c r="C34" t="inlineStr">
        <is>
          <t>× 2</t>
        </is>
      </c>
      <c r="D34" t="inlineStr">
        <is>
          <t>prudent</t>
        </is>
      </c>
      <c r="E34" t="n">
        <v>11106.4</v>
      </c>
      <c r="F34" t="n">
        <v>617.9</v>
      </c>
      <c r="G34" t="n">
        <v>3464.1</v>
      </c>
      <c r="H34" t="n">
        <v>2385</v>
      </c>
      <c r="I34" t="n">
        <v>857.1</v>
      </c>
    </row>
    <row r="35">
      <c r="A35" t="inlineStr">
        <is>
          <t>Conversion du temps libéré par l'IA</t>
        </is>
      </c>
      <c r="B35" t="inlineStr">
        <is>
          <t>haut</t>
        </is>
      </c>
      <c r="C35" t="inlineStr">
        <is>
          <t>× 2</t>
        </is>
      </c>
      <c r="D35" t="inlineStr">
        <is>
          <t>intermediaire</t>
        </is>
      </c>
      <c r="E35" t="n">
        <v>65524.3</v>
      </c>
      <c r="F35" t="n">
        <v>2894.5</v>
      </c>
      <c r="G35" t="n">
        <v>14845.6</v>
      </c>
      <c r="H35" t="n">
        <v>8844.9</v>
      </c>
      <c r="I35" t="n">
        <v>3952.8</v>
      </c>
    </row>
    <row r="36">
      <c r="A36" t="inlineStr">
        <is>
          <t>Conversion du temps libéré par l'IA</t>
        </is>
      </c>
      <c r="B36" t="inlineStr">
        <is>
          <t>haut</t>
        </is>
      </c>
      <c r="C36" t="inlineStr">
        <is>
          <t>× 2</t>
        </is>
      </c>
      <c r="D36" t="inlineStr">
        <is>
          <t>ambitieux</t>
        </is>
      </c>
      <c r="E36" t="n">
        <v>144195.9</v>
      </c>
      <c r="F36" t="n">
        <v>6216.6</v>
      </c>
      <c r="G36" t="n">
        <v>30742.4</v>
      </c>
      <c r="H36" t="n">
        <v>18489.8</v>
      </c>
      <c r="I36" t="n">
        <v>7202.5</v>
      </c>
    </row>
    <row r="37">
      <c r="A37" t="inlineStr">
        <is>
          <t>Conversion du temps libéré par l'IA</t>
        </is>
      </c>
      <c r="B37" t="inlineStr">
        <is>
          <t>haut</t>
        </is>
      </c>
      <c r="C37" t="inlineStr">
        <is>
          <t>× 2</t>
        </is>
      </c>
      <c r="D37" t="inlineStr">
        <is>
          <t>radical</t>
        </is>
      </c>
      <c r="E37" t="n">
        <v>226990.7</v>
      </c>
      <c r="F37" t="n">
        <v>9596.799999999999</v>
      </c>
      <c r="G37" t="n">
        <v>38713.1</v>
      </c>
      <c r="H37" t="n">
        <v>22133.6</v>
      </c>
      <c r="I37" t="n">
        <v>13504.6</v>
      </c>
    </row>
    <row r="38">
      <c r="A38" t="inlineStr">
        <is>
          <t>Investissements</t>
        </is>
      </c>
      <c r="B38" t="inlineStr">
        <is>
          <t>bas</t>
        </is>
      </c>
      <c r="C38" t="inlineStr">
        <is>
          <t>× 0,5</t>
        </is>
      </c>
      <c r="D38" t="inlineStr">
        <is>
          <t>prudent</t>
        </is>
      </c>
      <c r="E38" t="n">
        <v>11106.4</v>
      </c>
      <c r="F38" t="n">
        <v>617.9</v>
      </c>
      <c r="G38" t="n">
        <v>3892.6</v>
      </c>
      <c r="H38" t="n">
        <v>2813.5</v>
      </c>
      <c r="I38" t="n">
        <v>428.5</v>
      </c>
    </row>
    <row r="39">
      <c r="A39" t="inlineStr">
        <is>
          <t>Investissements</t>
        </is>
      </c>
      <c r="B39" t="inlineStr">
        <is>
          <t>bas</t>
        </is>
      </c>
      <c r="C39" t="inlineStr">
        <is>
          <t>× 0,5</t>
        </is>
      </c>
      <c r="D39" t="inlineStr">
        <is>
          <t>intermediaire</t>
        </is>
      </c>
      <c r="E39" t="n">
        <v>56141.6</v>
      </c>
      <c r="F39" t="n">
        <v>2517.1</v>
      </c>
      <c r="G39" t="n">
        <v>14603</v>
      </c>
      <c r="H39" t="n">
        <v>9379</v>
      </c>
      <c r="I39" t="n">
        <v>1976.4</v>
      </c>
    </row>
    <row r="40">
      <c r="A40" t="inlineStr">
        <is>
          <t>Investissements</t>
        </is>
      </c>
      <c r="B40" t="inlineStr">
        <is>
          <t>bas</t>
        </is>
      </c>
      <c r="C40" t="inlineStr">
        <is>
          <t>× 0,5</t>
        </is>
      </c>
      <c r="D40" t="inlineStr">
        <is>
          <t>ambitieux</t>
        </is>
      </c>
      <c r="E40" t="n">
        <v>120249.7</v>
      </c>
      <c r="F40" t="n">
        <v>5280.1</v>
      </c>
      <c r="G40" t="n">
        <v>29302.3</v>
      </c>
      <c r="H40" t="n">
        <v>18780.6</v>
      </c>
      <c r="I40" t="n">
        <v>3601.2</v>
      </c>
    </row>
    <row r="41">
      <c r="A41" t="inlineStr">
        <is>
          <t>Investissements</t>
        </is>
      </c>
      <c r="B41" t="inlineStr">
        <is>
          <t>bas</t>
        </is>
      </c>
      <c r="C41" t="inlineStr">
        <is>
          <t>× 0,5</t>
        </is>
      </c>
      <c r="D41" t="inlineStr">
        <is>
          <t>radical</t>
        </is>
      </c>
      <c r="E41" t="n">
        <v>194475.8</v>
      </c>
      <c r="F41" t="n">
        <v>8429.700000000001</v>
      </c>
      <c r="G41" t="n">
        <v>42200.7</v>
      </c>
      <c r="H41" t="n">
        <v>26763.8</v>
      </c>
      <c r="I41" t="n">
        <v>6752.3</v>
      </c>
    </row>
    <row r="42">
      <c r="A42" t="inlineStr">
        <is>
          <t>Investissements</t>
        </is>
      </c>
      <c r="B42" t="inlineStr">
        <is>
          <t>haut</t>
        </is>
      </c>
      <c r="C42" t="inlineStr">
        <is>
          <t>× 2</t>
        </is>
      </c>
      <c r="D42" t="inlineStr">
        <is>
          <t>prudent</t>
        </is>
      </c>
      <c r="E42" t="n">
        <v>11106.4</v>
      </c>
      <c r="F42" t="n">
        <v>617.9</v>
      </c>
      <c r="G42" t="n">
        <v>2607</v>
      </c>
      <c r="H42" t="n">
        <v>1527.9</v>
      </c>
      <c r="I42" t="n">
        <v>1714.2</v>
      </c>
    </row>
    <row r="43">
      <c r="A43" t="inlineStr">
        <is>
          <t>Investissements</t>
        </is>
      </c>
      <c r="B43" t="inlineStr">
        <is>
          <t>haut</t>
        </is>
      </c>
      <c r="C43" t="inlineStr">
        <is>
          <t>× 2</t>
        </is>
      </c>
      <c r="D43" t="inlineStr">
        <is>
          <t>intermediaire</t>
        </is>
      </c>
      <c r="E43" t="n">
        <v>56141.6</v>
      </c>
      <c r="F43" t="n">
        <v>2517.1</v>
      </c>
      <c r="G43" t="n">
        <v>8673.9</v>
      </c>
      <c r="H43" t="n">
        <v>3449.8</v>
      </c>
      <c r="I43" t="n">
        <v>7905.6</v>
      </c>
    </row>
    <row r="44">
      <c r="A44" t="inlineStr">
        <is>
          <t>Investissements</t>
        </is>
      </c>
      <c r="B44" t="inlineStr">
        <is>
          <t>haut</t>
        </is>
      </c>
      <c r="C44" t="inlineStr">
        <is>
          <t>× 2</t>
        </is>
      </c>
      <c r="D44" t="inlineStr">
        <is>
          <t>ambitieux</t>
        </is>
      </c>
      <c r="E44" t="n">
        <v>120249.7</v>
      </c>
      <c r="F44" t="n">
        <v>5280.1</v>
      </c>
      <c r="G44" t="n">
        <v>18498.6</v>
      </c>
      <c r="H44" t="n">
        <v>7976.9</v>
      </c>
      <c r="I44" t="n">
        <v>14404.9</v>
      </c>
    </row>
    <row r="45">
      <c r="A45" t="inlineStr">
        <is>
          <t>Investissements</t>
        </is>
      </c>
      <c r="B45" t="inlineStr">
        <is>
          <t>haut</t>
        </is>
      </c>
      <c r="C45" t="inlineStr">
        <is>
          <t>× 2</t>
        </is>
      </c>
      <c r="D45" t="inlineStr">
        <is>
          <t>radical</t>
        </is>
      </c>
      <c r="E45" t="n">
        <v>194475.8</v>
      </c>
      <c r="F45" t="n">
        <v>8429.700000000001</v>
      </c>
      <c r="G45" t="n">
        <v>21943.8</v>
      </c>
      <c r="H45" t="n">
        <v>6506.9</v>
      </c>
      <c r="I45" t="n">
        <v>27009.2</v>
      </c>
    </row>
    <row r="46">
      <c r="A46" t="inlineStr">
        <is>
          <t>GVT individuel réel</t>
        </is>
      </c>
      <c r="B46" t="inlineStr">
        <is>
          <t>bas</t>
        </is>
      </c>
      <c r="C46" t="inlineStr">
        <is>
          <t>0 %</t>
        </is>
      </c>
      <c r="D46" t="inlineStr">
        <is>
          <t>prudent</t>
        </is>
      </c>
      <c r="E46" t="n">
        <v>11106.4</v>
      </c>
      <c r="F46" t="n">
        <v>589.5</v>
      </c>
      <c r="G46" t="n">
        <v>3354</v>
      </c>
      <c r="H46" t="n">
        <v>2313.4</v>
      </c>
      <c r="I46" t="n">
        <v>857.1</v>
      </c>
    </row>
    <row r="47">
      <c r="A47" t="inlineStr">
        <is>
          <t>GVT individuel réel</t>
        </is>
      </c>
      <c r="B47" t="inlineStr">
        <is>
          <t>bas</t>
        </is>
      </c>
      <c r="C47" t="inlineStr">
        <is>
          <t>0 %</t>
        </is>
      </c>
      <c r="D47" t="inlineStr">
        <is>
          <t>intermediaire</t>
        </is>
      </c>
      <c r="E47" t="n">
        <v>56141.6</v>
      </c>
      <c r="F47" t="n">
        <v>2380.1</v>
      </c>
      <c r="G47" t="n">
        <v>12113.2</v>
      </c>
      <c r="H47" t="n">
        <v>7068.9</v>
      </c>
      <c r="I47" t="n">
        <v>3952.8</v>
      </c>
    </row>
    <row r="48">
      <c r="A48" t="inlineStr">
        <is>
          <t>GVT individuel réel</t>
        </is>
      </c>
      <c r="B48" t="inlineStr">
        <is>
          <t>bas</t>
        </is>
      </c>
      <c r="C48" t="inlineStr">
        <is>
          <t>0 %</t>
        </is>
      </c>
      <c r="D48" t="inlineStr">
        <is>
          <t>ambitieux</t>
        </is>
      </c>
      <c r="E48" t="n">
        <v>120249.7</v>
      </c>
      <c r="F48" t="n">
        <v>5005.8</v>
      </c>
      <c r="G48" t="n">
        <v>24701.9</v>
      </c>
      <c r="H48" t="n">
        <v>14529.8</v>
      </c>
      <c r="I48" t="n">
        <v>7202.5</v>
      </c>
    </row>
    <row r="49">
      <c r="A49" t="inlineStr">
        <is>
          <t>GVT individuel réel</t>
        </is>
      </c>
      <c r="B49" t="inlineStr">
        <is>
          <t>bas</t>
        </is>
      </c>
      <c r="C49" t="inlineStr">
        <is>
          <t>0 %</t>
        </is>
      </c>
      <c r="D49" t="inlineStr">
        <is>
          <t>radical</t>
        </is>
      </c>
      <c r="E49" t="n">
        <v>194475.8</v>
      </c>
      <c r="F49" t="n">
        <v>8029.8</v>
      </c>
      <c r="G49" t="n">
        <v>34011.2</v>
      </c>
      <c r="H49" t="n">
        <v>19077.3</v>
      </c>
      <c r="I49" t="n">
        <v>13504.6</v>
      </c>
    </row>
    <row r="50">
      <c r="A50" t="inlineStr">
        <is>
          <t>GVT individuel réel</t>
        </is>
      </c>
      <c r="B50" t="inlineStr">
        <is>
          <t>haut</t>
        </is>
      </c>
      <c r="C50" t="inlineStr">
        <is>
          <t>2 %</t>
        </is>
      </c>
      <c r="D50" t="inlineStr">
        <is>
          <t>prudent</t>
        </is>
      </c>
      <c r="E50" t="n">
        <v>11106.4</v>
      </c>
      <c r="F50" t="n">
        <v>635.4</v>
      </c>
      <c r="G50" t="n">
        <v>3556</v>
      </c>
      <c r="H50" t="n">
        <v>2444.7</v>
      </c>
      <c r="I50" t="n">
        <v>857.1</v>
      </c>
    </row>
    <row r="51">
      <c r="A51" t="inlineStr">
        <is>
          <t>GVT individuel réel</t>
        </is>
      </c>
      <c r="B51" t="inlineStr">
        <is>
          <t>haut</t>
        </is>
      </c>
      <c r="C51" t="inlineStr">
        <is>
          <t>2 %</t>
        </is>
      </c>
      <c r="D51" t="inlineStr">
        <is>
          <t>intermediaire</t>
        </is>
      </c>
      <c r="E51" t="n">
        <v>56141.6</v>
      </c>
      <c r="F51" t="n">
        <v>2607</v>
      </c>
      <c r="G51" t="n">
        <v>13066.1</v>
      </c>
      <c r="H51" t="n">
        <v>7688.3</v>
      </c>
      <c r="I51" t="n">
        <v>3952.8</v>
      </c>
    </row>
    <row r="52">
      <c r="A52" t="inlineStr">
        <is>
          <t>GVT individuel réel</t>
        </is>
      </c>
      <c r="B52" t="inlineStr">
        <is>
          <t>haut</t>
        </is>
      </c>
      <c r="C52" t="inlineStr">
        <is>
          <t>2 %</t>
        </is>
      </c>
      <c r="D52" t="inlineStr">
        <is>
          <t>ambitieux</t>
        </is>
      </c>
      <c r="E52" t="n">
        <v>120249.7</v>
      </c>
      <c r="F52" t="n">
        <v>5465.7</v>
      </c>
      <c r="G52" t="n">
        <v>26561.3</v>
      </c>
      <c r="H52" t="n">
        <v>15738.5</v>
      </c>
      <c r="I52" t="n">
        <v>7202.5</v>
      </c>
    </row>
    <row r="53">
      <c r="A53" t="inlineStr">
        <is>
          <t>GVT individuel réel</t>
        </is>
      </c>
      <c r="B53" t="inlineStr">
        <is>
          <t>haut</t>
        </is>
      </c>
      <c r="C53" t="inlineStr">
        <is>
          <t>2 %</t>
        </is>
      </c>
      <c r="D53" t="inlineStr">
        <is>
          <t>radical</t>
        </is>
      </c>
      <c r="E53" t="n">
        <v>194475.8</v>
      </c>
      <c r="F53" t="n">
        <v>8702.4</v>
      </c>
      <c r="G53" t="n">
        <v>36684.4</v>
      </c>
      <c r="H53" t="n">
        <v>20814.9</v>
      </c>
      <c r="I53" t="n">
        <v>13504.6</v>
      </c>
    </row>
    <row r="54">
      <c r="A54" t="inlineStr">
        <is>
          <t>Conservation APU (lecture consolidée)</t>
        </is>
      </c>
      <c r="B54" t="inlineStr">
        <is>
          <t>bas</t>
        </is>
      </c>
      <c r="C54" t="inlineStr">
        <is>
          <t>0,50</t>
        </is>
      </c>
      <c r="D54" t="inlineStr">
        <is>
          <t>prudent</t>
        </is>
      </c>
      <c r="E54" t="n">
        <v>11106.4</v>
      </c>
      <c r="F54" t="n">
        <v>617.9</v>
      </c>
      <c r="G54" t="n">
        <v>3464.1</v>
      </c>
      <c r="H54" t="n">
        <v>1922.5</v>
      </c>
      <c r="I54" t="n">
        <v>857.1</v>
      </c>
    </row>
    <row r="55">
      <c r="A55" t="inlineStr">
        <is>
          <t>Conservation APU (lecture consolidée)</t>
        </is>
      </c>
      <c r="B55" t="inlineStr">
        <is>
          <t>bas</t>
        </is>
      </c>
      <c r="C55" t="inlineStr">
        <is>
          <t>0,50</t>
        </is>
      </c>
      <c r="D55" t="inlineStr">
        <is>
          <t>intermediaire</t>
        </is>
      </c>
      <c r="E55" t="n">
        <v>56141.6</v>
      </c>
      <c r="F55" t="n">
        <v>2517.1</v>
      </c>
      <c r="G55" t="n">
        <v>12626.6</v>
      </c>
      <c r="H55" t="n">
        <v>5163.8</v>
      </c>
      <c r="I55" t="n">
        <v>3952.8</v>
      </c>
    </row>
    <row r="56">
      <c r="A56" t="inlineStr">
        <is>
          <t>Conservation APU (lecture consolidée)</t>
        </is>
      </c>
      <c r="B56" t="inlineStr">
        <is>
          <t>bas</t>
        </is>
      </c>
      <c r="C56" t="inlineStr">
        <is>
          <t>0,50</t>
        </is>
      </c>
      <c r="D56" t="inlineStr">
        <is>
          <t>ambitieux</t>
        </is>
      </c>
      <c r="E56" t="n">
        <v>120249.7</v>
      </c>
      <c r="F56" t="n">
        <v>5280.1</v>
      </c>
      <c r="G56" t="n">
        <v>25701.1</v>
      </c>
      <c r="H56" t="n">
        <v>10670</v>
      </c>
      <c r="I56" t="n">
        <v>7202.5</v>
      </c>
    </row>
    <row r="57">
      <c r="A57" t="inlineStr">
        <is>
          <t>Conservation APU (lecture consolidée)</t>
        </is>
      </c>
      <c r="B57" t="inlineStr">
        <is>
          <t>bas</t>
        </is>
      </c>
      <c r="C57" t="inlineStr">
        <is>
          <t>0,50</t>
        </is>
      </c>
      <c r="D57" t="inlineStr">
        <is>
          <t>radical</t>
        </is>
      </c>
      <c r="E57" t="n">
        <v>194475.8</v>
      </c>
      <c r="F57" t="n">
        <v>8429.700000000001</v>
      </c>
      <c r="G57" t="n">
        <v>35448.4</v>
      </c>
      <c r="H57" t="n">
        <v>13395.7</v>
      </c>
      <c r="I57" t="n">
        <v>13504.6</v>
      </c>
    </row>
    <row r="58">
      <c r="A58" t="inlineStr">
        <is>
          <t>Conservation APU (lecture consolidée)</t>
        </is>
      </c>
      <c r="B58" t="inlineStr">
        <is>
          <t>haut</t>
        </is>
      </c>
      <c r="C58" t="inlineStr">
        <is>
          <t>0,80</t>
        </is>
      </c>
      <c r="D58" t="inlineStr">
        <is>
          <t>prudent</t>
        </is>
      </c>
      <c r="E58" t="n">
        <v>11106.4</v>
      </c>
      <c r="F58" t="n">
        <v>617.9</v>
      </c>
      <c r="G58" t="n">
        <v>3464.1</v>
      </c>
      <c r="H58" t="n">
        <v>2847.5</v>
      </c>
      <c r="I58" t="n">
        <v>857.1</v>
      </c>
    </row>
    <row r="59">
      <c r="A59" t="inlineStr">
        <is>
          <t>Conservation APU (lecture consolidée)</t>
        </is>
      </c>
      <c r="B59" t="inlineStr">
        <is>
          <t>haut</t>
        </is>
      </c>
      <c r="C59" t="inlineStr">
        <is>
          <t>0,80</t>
        </is>
      </c>
      <c r="D59" t="inlineStr">
        <is>
          <t>intermediaire</t>
        </is>
      </c>
      <c r="E59" t="n">
        <v>56141.6</v>
      </c>
      <c r="F59" t="n">
        <v>2517.1</v>
      </c>
      <c r="G59" t="n">
        <v>12626.6</v>
      </c>
      <c r="H59" t="n">
        <v>9641.5</v>
      </c>
      <c r="I59" t="n">
        <v>3952.8</v>
      </c>
    </row>
    <row r="60">
      <c r="A60" t="inlineStr">
        <is>
          <t>Conservation APU (lecture consolidée)</t>
        </is>
      </c>
      <c r="B60" t="inlineStr">
        <is>
          <t>haut</t>
        </is>
      </c>
      <c r="C60" t="inlineStr">
        <is>
          <t>0,80</t>
        </is>
      </c>
      <c r="D60" t="inlineStr">
        <is>
          <t>ambitieux</t>
        </is>
      </c>
      <c r="E60" t="n">
        <v>120249.7</v>
      </c>
      <c r="F60" t="n">
        <v>5280.1</v>
      </c>
      <c r="G60" t="n">
        <v>25701.1</v>
      </c>
      <c r="H60" t="n">
        <v>19688.7</v>
      </c>
      <c r="I60" t="n">
        <v>7202.5</v>
      </c>
    </row>
    <row r="61">
      <c r="A61" t="inlineStr">
        <is>
          <t>Conservation APU (lecture consolidée)</t>
        </is>
      </c>
      <c r="B61" t="inlineStr">
        <is>
          <t>haut</t>
        </is>
      </c>
      <c r="C61" t="inlineStr">
        <is>
          <t>0,80</t>
        </is>
      </c>
      <c r="D61" t="inlineStr">
        <is>
          <t>radical</t>
        </is>
      </c>
      <c r="E61" t="n">
        <v>194475.8</v>
      </c>
      <c r="F61" t="n">
        <v>8429.700000000001</v>
      </c>
      <c r="G61" t="n">
        <v>35448.4</v>
      </c>
      <c r="H61" t="n">
        <v>26627.3</v>
      </c>
      <c r="I61" t="n">
        <v>13504.6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2026-10-30T22:30:22Z</dcterms:created>
  <dcterms:modified xsi:type="dcterms:W3CDTF">2026-10-30T22:30:22Z</dcterms:modified>
</cp:coreProperties>
</file>